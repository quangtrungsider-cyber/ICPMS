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beb3c0f20041cb" /></Relationships>
</file>

<file path=xl/workbook.xml><?xml version="1.0" encoding="utf-8"?>
<x:workbook xmlns:x="http://schemas.openxmlformats.org/spreadsheetml/2006/main">
  <x:sheets>
    <x:sheet xmlns:r="http://schemas.openxmlformats.org/officeDocument/2006/relationships" name="01_Dashboard" sheetId="1" r:id="R36194eb1c7eb4b97"/>
    <x:sheet xmlns:r="http://schemas.openxmlformats.org/officeDocument/2006/relationships" name="02_Ma_tran_tuan_thu" sheetId="2" r:id="Ra170ef1b190f46c1"/>
    <x:sheet xmlns:r="http://schemas.openxmlformats.org/officeDocument/2006/relationships" name="03_Theo_linh_vuc" sheetId="3" r:id="R9c81341a45de4781"/>
    <x:sheet xmlns:r="http://schemas.openxmlformats.org/officeDocument/2006/relationships" name="04_Theo_don_vi" sheetId="4" r:id="R13a57ce10b414c86"/>
    <x:sheet xmlns:r="http://schemas.openxmlformats.org/officeDocument/2006/relationships" name="05_Bao_cao_tinh_trang" sheetId="5" r:id="R60abb535f81e4fc5"/>
    <x:sheet xmlns:r="http://schemas.openxmlformats.org/officeDocument/2006/relationships" name="06_Bang_chung_Ho_so" sheetId="6" r:id="R06876ab678f847d3"/>
    <x:sheet xmlns:r="http://schemas.openxmlformats.org/officeDocument/2006/relationships" name="07_Quy_trinh_Bieu_mau" sheetId="7" r:id="Rff115d5c6acf4cfb"/>
    <x:sheet xmlns:r="http://schemas.openxmlformats.org/officeDocument/2006/relationships" name="08_Nguon_Tham_chieu" sheetId="8" r:id="Redf37ab3bf344128"/>
    <x:sheet xmlns:r="http://schemas.openxmlformats.org/officeDocument/2006/relationships" name="09_Danh_muc" sheetId="9" r:id="Rc664442787df476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dd/mm/yyyy"/>
  </x:numFmts>
  <x:fonts count="6">
    <x:font>
      <x:sz val="11"/>
      <x:name val="Carlito"/>
    </x:font>
    <x:font>
      <x:b/>
      <x:sz val="11"/>
      <x:color rgb="FFFFFFFF"/>
      <x:name val="Carlito"/>
    </x:font>
    <x:font>
      <x:b/>
      <x:sz val="16"/>
      <x:color rgb="FFFFFFFF"/>
      <x:name val="Carlito"/>
    </x:font>
    <x:font>
      <x:i/>
      <x:sz val="11"/>
      <x:color rgb="FF1F4E78"/>
      <x:name val="Carlito"/>
    </x:font>
    <x:font>
      <x:b/>
      <x:sz val="11"/>
      <x:color rgb="FF1F4E78"/>
      <x:name val="Carlito"/>
    </x:font>
    <x:font>
      <x:b/>
      <x:sz val="14"/>
      <x:name val="Carlito"/>
    </x:font>
  </x:fonts>
  <x:fills count="7">
    <x:fill>
      <x:patternFill patternType="none"/>
    </x:fill>
    <x:fill>
      <x:patternFill patternType="gray125"/>
    </x:fill>
    <x:fill>
      <x:patternFill patternType="solid">
        <x:fgColor rgb="FF1F4E78"/>
      </x:patternFill>
    </x:fill>
    <x:fill>
      <x:patternFill patternType="solid">
        <x:fgColor rgb="FF0B1F33"/>
      </x:patternFill>
    </x:fill>
    <x:fill>
      <x:patternFill patternType="solid">
        <x:fgColor rgb="FFEAF2F8"/>
      </x:patternFill>
    </x:fill>
    <x:fill>
      <x:patternFill patternType="solid">
        <x:fgColor rgb="FFD9EAF7"/>
      </x:patternFill>
    </x:fill>
    <x:fill>
      <x:patternFill patternType="solid">
        <x:fgColor rgb="FFFFFFFF"/>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200" fontId="5" fillId="6" borderId="0" xfId="0" applyNumberFormat="1" applyFont="1" applyFill="1" applyBorder="1" applyAlignment="1">
      <x:alignment horizontal="center" vertical="center"/>
    </x:xf>
    <x:xf numFmtId="200" fontId="5" fillId="6" borderId="1" xfId="0" applyNumberFormat="1" applyFont="1" applyFill="1" applyBorder="1" applyAlignment="1">
      <x:alignment horizontal="center" vertical="center"/>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cellXfs>
  <x:cellStyles count="1">
    <x:cellStyle name="Normal" xfId="0"/>
  </x:cellStyles>
  <x:dxfs count="8">
    <x:dxf>
      <x:font>
        <x:color rgb="FF375623"/>
      </x:font>
      <x:fill>
        <x:patternFill patternType="solid">
          <x:bgColor rgb="FFC6E0B4"/>
        </x:patternFill>
      </x:fill>
    </x:dxf>
    <x:dxf>
      <x:font>
        <x:color rgb="FF7F6000"/>
      </x:font>
      <x:fill>
        <x:patternFill patternType="solid">
          <x:bgColor rgb="FFFFF2CC"/>
        </x:patternFill>
      </x:fill>
    </x:dxf>
    <x:dxf>
      <x:font>
        <x:color rgb="FF9C0006"/>
      </x:font>
      <x:fill>
        <x:patternFill patternType="solid">
          <x:bgColor rgb="FFFCE4D6"/>
        </x:patternFill>
      </x:fill>
    </x:dxf>
    <x:dxf>
      <x:font>
        <x:color rgb="FF375623"/>
      </x:font>
      <x:fill>
        <x:patternFill patternType="solid">
          <x:bgColor rgb="FFC6E0B4"/>
        </x:patternFill>
      </x:fill>
    </x:dxf>
    <x:dxf>
      <x:font>
        <x:color rgb="FF9C0006"/>
      </x:font>
      <x:fill>
        <x:patternFill patternType="solid">
          <x:bgColor rgb="FFFCE4D6"/>
        </x:patternFill>
      </x:fill>
    </x:dxf>
    <x:dxf>
      <x:font>
        <x:color rgb="FF7F6000"/>
      </x:font>
      <x:fill>
        <x:patternFill patternType="solid">
          <x:bgColor rgb="FFFFF2CC"/>
        </x:patternFill>
      </x:fill>
    </x:dxf>
    <x:dxf>
      <x:font>
        <x:b/>
        <x:color rgb="FF9C0006"/>
      </x:font>
      <x:fill>
        <x:patternFill patternType="solid">
          <x:bgColor rgb="FFFCE4D6"/>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4f82c8fedf450d" /><Relationship Type="http://schemas.openxmlformats.org/officeDocument/2006/relationships/theme" Target="/xl/theme/theme1.xml" Id="R8e1310cf1ddd428b" /><Relationship Type="http://schemas.openxmlformats.org/officeDocument/2006/relationships/sharedStrings" Target="/xl/sharedStrings.xml" Id="Rb0235de7d2254546" /><Relationship Type="http://schemas.openxmlformats.org/officeDocument/2006/relationships/worksheet" Target="/xl/worksheets/sheet1.xml" Id="R36194eb1c7eb4b97" /><Relationship Type="http://schemas.openxmlformats.org/officeDocument/2006/relationships/worksheet" Target="/xl/worksheets/sheet2.xml" Id="Ra170ef1b190f46c1" /><Relationship Type="http://schemas.openxmlformats.org/officeDocument/2006/relationships/worksheet" Target="/xl/worksheets/sheet3.xml" Id="R9c81341a45de4781" /><Relationship Type="http://schemas.openxmlformats.org/officeDocument/2006/relationships/worksheet" Target="/xl/worksheets/sheet4.xml" Id="R13a57ce10b414c86" /><Relationship Type="http://schemas.openxmlformats.org/officeDocument/2006/relationships/worksheet" Target="/xl/worksheets/sheet5.xml" Id="R60abb535f81e4fc5" /><Relationship Type="http://schemas.openxmlformats.org/officeDocument/2006/relationships/worksheet" Target="/xl/worksheets/sheet6.xml" Id="R06876ab678f847d3" /><Relationship Type="http://schemas.openxmlformats.org/officeDocument/2006/relationships/worksheet" Target="/xl/worksheets/sheet7.xml" Id="Rff115d5c6acf4cfb" /><Relationship Type="http://schemas.openxmlformats.org/officeDocument/2006/relationships/worksheet" Target="/xl/worksheets/sheet8.xml" Id="Redf37ab3bf344128" /><Relationship Type="http://schemas.openxmlformats.org/officeDocument/2006/relationships/worksheet" Target="/xl/worksheets/sheet9.xml" Id="Rc664442787df47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614c5c00dcb47f7" /><Relationship Type="http://schemas.openxmlformats.org/officeDocument/2006/relationships/chart" Target="/xl/drawings/charts/chart2.xml" Id="R1ba50801247e4ea4"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Số nhiệm vụ</c:v>
          </c:tx>
          <c:cat>
            <c:strRef>
              <c:f>'01_Dashboard'!$A$13:$A$24</c:f>
              <c:strCache>
                <c:ptCount val="0"/>
              </c:strCache>
            </c:strRef>
          </c:cat>
          <c:val>
            <c:numRef>
              <c:f>'01_Dashboard'!$B$13:$B$24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varyColors val="0"/>
        <c:ser>
          <c:idx val="0"/>
          <c:order val="0"/>
          <c:tx>
            <c:v>Số nhiệm vụ</c:v>
          </c:tx>
          <c:cat>
            <c:strRef>
              <c:f>'01_Dashboard'!$D$13:$D$19</c:f>
              <c:strCache>
                <c:ptCount val="0"/>
              </c:strCache>
            </c:strRef>
          </c:cat>
          <c:val>
            <c:numRef>
              <c:f>'01_Dashboard'!$E$13:$E$19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14c5c00dcb47f7"/>
        </a:graphicData>
      </a:graphic>
    </xdr:graphicFrame>
    <xdr:clientData/>
  </xdr:twoCellAnchor>
  <xdr:twoCellAnchor>
    <xdr:from>
      <xdr:col>6</xdr:col>
      <xdr:colOff>0</xdr:colOff>
      <xdr:row>19</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a50801247e4ea4"/>
        </a:graphicData>
      </a:graphic>
    </xdr:graphicFrame>
    <xdr:clientData/>
  </xdr:twoCellAnchor>
</xdr:wsDr>
</file>

<file path=xl/tables/table1.xml><?xml version="1.0" encoding="utf-8"?>
<x:table xmlns:x="http://schemas.openxmlformats.org/spreadsheetml/2006/main" id="1" name="tbl_Master" displayName="tbl_Master" ref="A1:AB642" headerRowCount="1">
  <x:tableColumns count="28">
    <x:tableColumn id="1" name="Mã tổng hợp"/>
    <x:tableColumn id="2" name="Mã nguồn"/>
    <x:tableColumn id="3" name="Văn bản nguồn"/>
    <x:tableColumn id="4" name="File nguồn"/>
    <x:tableColumn id="5" name="Sheet nguồn"/>
    <x:tableColumn id="6" name="Dòng nguồn"/>
    <x:tableColumn id="7" name="Điều/khoản/phụ lục"/>
    <x:tableColumn id="8" name="Nhóm lĩnh vực"/>
    <x:tableColumn id="9" name="Tiểu nhóm"/>
    <x:tableColumn id="10" name="Nhóm/nguồn gốc trong bảng"/>
    <x:tableColumn id="11" name="Mức liên quan VATM"/>
    <x:tableColumn id="12" name="Loại nghĩa vụ"/>
    <x:tableColumn id="13" name="Vai trò/Tư cách VATM"/>
    <x:tableColumn id="14" name="Nhiệm vụ/công việc VATM"/>
    <x:tableColumn id="15" name="Biện pháp/việc cần làm"/>
    <x:tableColumn id="16" name="Sản phẩm/KPI/Kết quả đầu ra"/>
    <x:tableColumn id="17" name="Hồ sơ/bằng chứng yêu cầu"/>
    <x:tableColumn id="18" name="Quy trình/biểu mẫu cần sửa/ban hành"/>
    <x:tableColumn id="19" name="Đơn vị chủ trì"/>
    <x:tableColumn id="20" name="Đơn vị phối hợp nội bộ"/>
    <x:tableColumn id="21" name="Phối hợp ngoài VATM"/>
    <x:tableColumn id="22" name="Thời hạn/Tần suất/Mốc"/>
    <x:tableColumn id="23" name="Ưu tiên"/>
    <x:tableColumn id="24" name="Rủi ro nếu không tuân thủ"/>
    <x:tableColumn id="25" name="Trạng thái gợi ý"/>
    <x:tableColumn id="26" name="Ghi chú"/>
    <x:tableColumn id="27" name="URL nguồn"/>
    <x:tableColumn id="28" name="Từ khóa theo dõi"/>
  </x:tableColumns>
  <x:tableStyleInfo name="TableStyleMedium2" showRowStripes="1"/>
</x:table>
</file>

<file path=xl/tables/table2.xml><?xml version="1.0" encoding="utf-8"?>
<x:table xmlns:x="http://schemas.openxmlformats.org/spreadsheetml/2006/main" id="5" name="tbl_ByDomain" displayName="tbl_ByDomain" ref="A1:N38" headerRowCount="1">
  <x:tableColumns count="14">
    <x:tableColumn id="1" name="Nhóm lĩnh vực"/>
    <x:tableColumn id="2" name="Tiểu nhóm"/>
    <x:tableColumn id="3" name="Tổng nhiệm vụ"/>
    <x:tableColumn id="4" name="Trực tiếp"/>
    <x:tableColumn id="5" name="P1/Rất cao"/>
    <x:tableColumn id="6" name="Chưa bắt đầu"/>
    <x:tableColumn id="7" name="Đang thực hiện"/>
    <x:tableColumn id="8" name="Hoàn thành"/>
    <x:tableColumn id="9" name="% hoàn thành"/>
    <x:tableColumn id="10" name="Đơn vị chủ trì trọng tâm"/>
    <x:tableColumn id="11" name="Đơn vị phối hợp nội bộ trọng tâm"/>
    <x:tableColumn id="12" name="Phối hợp ngoài VATM thường gặp"/>
    <x:tableColumn id="13" name="Hồ sơ/bằng chứng trọng tâm"/>
    <x:tableColumn id="14" name="Ghi chú đôn đốc"/>
  </x:tableColumns>
  <x:tableStyleInfo name="TableStyleMedium2" showRowStripes="1"/>
</x:table>
</file>

<file path=xl/tables/table3.xml><?xml version="1.0" encoding="utf-8"?>
<x:table xmlns:x="http://schemas.openxmlformats.org/spreadsheetml/2006/main" id="6" name="tbl_ByUnit" displayName="tbl_ByUnit" ref="A1:J17" headerRowCount="1">
  <x:tableColumns count="10">
    <x:tableColumn id="1" name="Đơn vị VATM"/>
    <x:tableColumn id="2" name="Tổng nhiệm vụ chủ trì"/>
    <x:tableColumn id="3" name="P1/Rất cao chủ trì"/>
    <x:tableColumn id="4" name="Chưa bắt đầu"/>
    <x:tableColumn id="5" name="Đang thực hiện"/>
    <x:tableColumn id="6" name="Hoàn thành"/>
    <x:tableColumn id="7" name="Nhiệm vụ phối hợp"/>
    <x:tableColumn id="8" name="Nhóm/lĩnh vực trọng tâm"/>
    <x:tableColumn id="9" name="Đầu mối cập nhật đề xuất"/>
    <x:tableColumn id="10" name="Ghi chú đôn đốc"/>
  </x:tableColumns>
  <x:tableStyleInfo name="TableStyleMedium2" showRowStripes="1"/>
</x:table>
</file>

<file path=xl/tables/table4.xml><?xml version="1.0" encoding="utf-8"?>
<x:table xmlns:x="http://schemas.openxmlformats.org/spreadsheetml/2006/main" id="2" name="tbl_Status" displayName="tbl_Status" ref="A1:Q642" headerRowCount="1">
  <x:tableColumns count="17">
    <x:tableColumn id="1" name="Mã tổng hợp"/>
    <x:tableColumn id="2" name="Nhóm lĩnh vực"/>
    <x:tableColumn id="3" name="Tiểu nhóm"/>
    <x:tableColumn id="4" name="Nhiệm vụ/công việc VATM"/>
    <x:tableColumn id="5" name="Đơn vị chủ trì"/>
    <x:tableColumn id="6" name="Ưu tiên"/>
    <x:tableColumn id="7" name="Thời hạn/Tần suất/Mốc"/>
    <x:tableColumn id="8" name="Trạng thái hiện tại"/>
    <x:tableColumn id="9" name="% hoàn thành"/>
    <x:tableColumn id="10" name="Ngày cập nhật"/>
    <x:tableColumn id="11" name="Người cập nhật"/>
    <x:tableColumn id="12" name="Bằng chứng đã có"/>
    <x:tableColumn id="13" name="Link/chỉ dẫn hồ sơ"/>
    <x:tableColumn id="14" name="Vướng mắc/rủi ro"/>
    <x:tableColumn id="15" name="Hành động tiếp theo"/>
    <x:tableColumn id="16" name="Ngày hoàn thành thực tế"/>
    <x:tableColumn id="17" name="Ghi chú kiểm tra"/>
  </x:tableColumns>
  <x:tableStyleInfo name="TableStyleMedium2" showRowStripes="1"/>
</x:table>
</file>

<file path=xl/tables/table5.xml><?xml version="1.0" encoding="utf-8"?>
<x:table xmlns:x="http://schemas.openxmlformats.org/spreadsheetml/2006/main" id="3" name="tbl_Evidence" displayName="tbl_Evidence" ref="A1:M642" headerRowCount="1">
  <x:tableColumns count="13">
    <x:tableColumn id="1" name="Mã bằng chứng"/>
    <x:tableColumn id="2" name="Mã tổng hợp"/>
    <x:tableColumn id="3" name="Nhóm lĩnh vực"/>
    <x:tableColumn id="4" name="Tiểu nhóm"/>
    <x:tableColumn id="5" name="Tên/yêu cầu bằng chứng"/>
    <x:tableColumn id="6" name="Loại bằng chứng"/>
    <x:tableColumn id="7" name="Đơn vị lưu giữ/chủ trì"/>
    <x:tableColumn id="8" name="Link/đường dẫn hồ sơ"/>
    <x:tableColumn id="9" name="Ngày phát hành"/>
    <x:tableColumn id="10" name="Ngày cập nhật"/>
    <x:tableColumn id="11" name="Người cập nhật"/>
    <x:tableColumn id="12" name="Tình trạng bằng chứng"/>
    <x:tableColumn id="13" name="Ghi chú"/>
  </x:tableColumns>
  <x:tableStyleInfo name="TableStyleMedium2" showRowStripes="1"/>
</x:table>
</file>

<file path=xl/tables/table6.xml><?xml version="1.0" encoding="utf-8"?>
<x:table xmlns:x="http://schemas.openxmlformats.org/spreadsheetml/2006/main" id="4" name="tbl_Processes" displayName="tbl_Processes" ref="A1:N485" headerRowCount="1">
  <x:tableColumns count="14">
    <x:tableColumn id="1" name="Mã quy trình/biểu mẫu"/>
    <x:tableColumn id="2" name="Mã nhiệm vụ liên quan"/>
    <x:tableColumn id="3" name="Nhóm lĩnh vực"/>
    <x:tableColumn id="4" name="Tiểu nhóm"/>
    <x:tableColumn id="5" name="Quy trình/biểu mẫu/hướng dẫn cần sửa/ban hành"/>
    <x:tableColumn id="6" name="Loại tài liệu"/>
    <x:tableColumn id="7" name="Đơn vị chủ trì đề xuất"/>
    <x:tableColumn id="8" name="Đơn vị phối hợp"/>
    <x:tableColumn id="9" name="Căn cứ pháp lý"/>
    <x:tableColumn id="10" name="Ưu tiên"/>
    <x:tableColumn id="11" name="Trạng thái"/>
    <x:tableColumn id="12" name="Hạn hoàn thành"/>
    <x:tableColumn id="13" name="Bằng chứng sau cập nhật"/>
    <x:tableColumn id="14" name="Ghi chú"/>
  </x:tableColumns>
  <x:tableStyleInfo name="TableStyleMedium2" showRowStripes="1"/>
</x:table>
</file>

<file path=xl/tables/table7.xml><?xml version="1.0" encoding="utf-8"?>
<x:table xmlns:x="http://schemas.openxmlformats.org/spreadsheetml/2006/main" id="7" name="tbl_Sources" displayName="tbl_Sources" ref="A1:G62" headerRowCount="1">
  <x:tableColumns count="7">
    <x:tableColumn id="1" name="STT"/>
    <x:tableColumn id="2" name="Văn bản/nguồn"/>
    <x:tableColumn id="3" name="File nguồn"/>
    <x:tableColumn id="4" name="Sheet"/>
    <x:tableColumn id="5" name="Vùng dữ liệu"/>
    <x:tableColumn id="6" name="Loại dữ liệu"/>
    <x:tableColumn id="7" name="Ghi chú/URL"/>
  </x:tableColumns>
  <x:tableStyleInfo name="TableStyleMedium2" showRowStripes="1"/>
</x:table>
</file>

<file path=xl/tables/table8.xml><?xml version="1.0" encoding="utf-8"?>
<x:table xmlns:x="http://schemas.openxmlformats.org/spreadsheetml/2006/main" id="8" name="tbl_Dictionary" displayName="tbl_Dictionary" ref="A1:G38" headerRowCount="1">
  <x:tableColumns count="7">
    <x:tableColumn id="1" name="Trạng thái"/>
    <x:tableColumn id="2" name="Ưu tiên"/>
    <x:tableColumn id="3" name="Nhóm lĩnh vực"/>
    <x:tableColumn id="4" name="Tiểu nhóm"/>
    <x:tableColumn id="5" name="Đơn vị VATM"/>
    <x:tableColumn id="6" name="Tình trạng bằng chứng"/>
    <x:tableColumn id="7" name="Loại bằng chứ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161e2791c04e4a" /></Relationships>
</file>

<file path=xl/worksheets/_rels/sheet2.xml.rels>&#65279;<?xml version="1.0" encoding="utf-8"?><Relationships xmlns="http://schemas.openxmlformats.org/package/2006/relationships"><Relationship Type="http://schemas.openxmlformats.org/officeDocument/2006/relationships/table" Target="/xl/tables/table1.xml" Id="R464cabcfa3c74469" /></Relationships>
</file>

<file path=xl/worksheets/_rels/sheet3.xml.rels>&#65279;<?xml version="1.0" encoding="utf-8"?><Relationships xmlns="http://schemas.openxmlformats.org/package/2006/relationships"><Relationship Type="http://schemas.openxmlformats.org/officeDocument/2006/relationships/table" Target="/xl/tables/table2.xml" Id="R34aaa381c84242e9" /></Relationships>
</file>

<file path=xl/worksheets/_rels/sheet4.xml.rels>&#65279;<?xml version="1.0" encoding="utf-8"?><Relationships xmlns="http://schemas.openxmlformats.org/package/2006/relationships"><Relationship Type="http://schemas.openxmlformats.org/officeDocument/2006/relationships/table" Target="/xl/tables/table3.xml" Id="Rb6f130d360e249d2" /></Relationships>
</file>

<file path=xl/worksheets/_rels/sheet5.xml.rels>&#65279;<?xml version="1.0" encoding="utf-8"?><Relationships xmlns="http://schemas.openxmlformats.org/package/2006/relationships"><Relationship Type="http://schemas.openxmlformats.org/officeDocument/2006/relationships/table" Target="/xl/tables/table4.xml" Id="Rf800027d4ddb459d" /></Relationships>
</file>

<file path=xl/worksheets/_rels/sheet6.xml.rels>&#65279;<?xml version="1.0" encoding="utf-8"?><Relationships xmlns="http://schemas.openxmlformats.org/package/2006/relationships"><Relationship Type="http://schemas.openxmlformats.org/officeDocument/2006/relationships/table" Target="/xl/tables/table5.xml" Id="R599bdf150237473e" /></Relationships>
</file>

<file path=xl/worksheets/_rels/sheet7.xml.rels>&#65279;<?xml version="1.0" encoding="utf-8"?><Relationships xmlns="http://schemas.openxmlformats.org/package/2006/relationships"><Relationship Type="http://schemas.openxmlformats.org/officeDocument/2006/relationships/table" Target="/xl/tables/table6.xml" Id="R3510f6c5ef9c4265" /></Relationships>
</file>

<file path=xl/worksheets/_rels/sheet8.xml.rels>&#65279;<?xml version="1.0" encoding="utf-8"?><Relationships xmlns="http://schemas.openxmlformats.org/package/2006/relationships"><Relationship Type="http://schemas.openxmlformats.org/officeDocument/2006/relationships/table" Target="/xl/tables/table7.xml" Id="R8156a93dfb35459d" /></Relationships>
</file>

<file path=xl/worksheets/_rels/sheet9.xml.rels>&#65279;<?xml version="1.0" encoding="utf-8"?><Relationships xmlns="http://schemas.openxmlformats.org/package/2006/relationships"><Relationship Type="http://schemas.openxmlformats.org/officeDocument/2006/relationships/table" Target="/xl/tables/table8.xml" Id="R839327abf2eb4706"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24" customHeight="1">
      <x:c r="A1" s="25" t="str">
        <x:v>BẢNG THEO DÕI TUÂN THỦ VATM THEO LUẬT HKDD 2025 VÀ VĂN BẢN HƯỚNG DẪN</x:v>
      </x:c>
      <x:c r="B1" s="25"/>
      <x:c r="C1" s="25"/>
      <x:c r="D1" s="25"/>
      <x:c r="E1" s="25"/>
      <x:c r="F1" s="25"/>
      <x:c r="G1" s="25"/>
      <x:c r="H1" s="25"/>
    </x:row>
    <x:row r="2" ht="24" customHeight="1">
      <x:c r="A2" s="32" t="str">
        <x:v>Tổng hợp từ 6 file nguồn, 641 nhiệm vụ/đầu việc; cập nhật ngày 22/06/2026</x:v>
      </x:c>
      <x:c r="B2" s="32"/>
      <x:c r="C2" s="32"/>
      <x:c r="D2" s="32"/>
      <x:c r="E2" s="32"/>
      <x:c r="F2" s="32"/>
      <x:c r="G2" s="32"/>
      <x:c r="H2" s="32"/>
    </x:row>
    <x:row r="3" ht="24" customHeight="1"/>
    <x:row r="4" ht="24" customHeight="1">
      <x:c r="A4" s="38" t="str">
        <x:v>Tổng nhiệm vụ</x:v>
      </x:c>
      <x:c r="C4" s="38" t="str">
        <x:v>P1/Rất cao</x:v>
      </x:c>
      <x:c r="E4" s="38" t="str">
        <x:v>Rủi ro Cao/Rất cao</x:v>
      </x:c>
    </x:row>
    <x:row r="5" ht="24" customHeight="1">
      <x:c r="A5" s="45" t="n">
        <x:f>COUNTA('02_Ma_tran_tuan_thu'!$A$2:$A$642)</x:f>
        <x:v>641</x:v>
      </x:c>
      <x:c r="C5" s="45" t="n">
        <x:f>COUNTIF('02_Ma_tran_tuan_thu'!$W$2:$W$642,"P1")+COUNTIF('02_Ma_tran_tuan_thu'!$W$2:$W$642,"Rất cao")</x:f>
        <x:v>339</x:v>
      </x:c>
      <x:c r="E5" s="45" t="n">
        <x:f>COUNTIF('02_Ma_tran_tuan_thu'!$X$2:$X$642,"Cao")+COUNTIF('02_Ma_tran_tuan_thu'!$X$2:$X$642,"Rất cao")+COUNTIF('02_Ma_tran_tuan_thu'!$X$2:$X$642,"Trung bình/Cao")</x:f>
        <x:v>225</x:v>
      </x:c>
    </x:row>
    <x:row r="6" ht="24" customHeight="1"/>
    <x:row r="7" ht="24" customHeight="1">
      <x:c r="A7" s="38" t="str">
        <x:v>% hoàn thành TB</x:v>
      </x:c>
      <x:c r="C7" s="38" t="str">
        <x:v>Chưa có bằng chứng</x:v>
      </x:c>
      <x:c r="E7" s="38" t="str">
        <x:v>Quy trình/biểu mẫu cần xử lý</x:v>
      </x:c>
    </x:row>
    <x:row r="8" ht="24" customHeight="1">
      <x:c r="A8" s="50" t="n">
        <x:f>IFERROR(AVERAGE('05_Bao_cao_tinh_trang'!$I$2:$I$642),0)</x:f>
        <x:v>0.0039001560062402497</x:v>
      </x:c>
      <x:c r="C8" s="45" t="n">
        <x:f>COUNTIF('06_Bang_chung_Ho_so'!$L$2:$L$642,"Chưa có")</x:f>
        <x:v>641</x:v>
      </x:c>
      <x:c r="E8" s="45" t="n">
        <x:f>COUNTA('07_Quy_trinh_Bieu_mau'!$A$2:$A$485)</x:f>
        <x:v>484</x:v>
      </x:c>
    </x:row>
    <x:row r="9" ht="24" customHeight="1"/>
    <x:row r="10" ht="24" customHeight="1"/>
    <x:row r="12">
      <x:c r="A12" s="53" t="str">
        <x:v>Nhóm lĩnh vực</x:v>
      </x:c>
      <x:c r="B12" s="53" t="str">
        <x:v>Số nhiệm vụ</x:v>
      </x:c>
      <x:c r="D12" s="53" t="str">
        <x:v>Trạng thái</x:v>
      </x:c>
      <x:c r="E12" s="53" t="str">
        <x:v>Số nhiệm vụ</x:v>
      </x:c>
    </x:row>
    <x:row r="13">
      <x:c r="A13" s="12" t="str">
        <x:v>ANS - AIS/AIM/Tin tức HK</x:v>
      </x:c>
      <x:c r="B13" s="12" t="n">
        <x:f>COUNTIF('02_Ma_tran_tuan_thu'!$H:$H,A13)</x:f>
        <x:v>14</x:v>
      </x:c>
      <x:c r="D13" t="str">
        <x:v>Chưa bắt đầu</x:v>
      </x:c>
      <x:c r="E13" t="n">
        <x:f>COUNTIF('05_Bao_cao_tinh_trang'!$H$2:$H$642,D13)</x:f>
        <x:v>636</x:v>
      </x:c>
    </x:row>
    <x:row r="14">
      <x:c r="A14" s="12" t="str">
        <x:v>ANS - ATM/ATS/ATFM</x:v>
      </x:c>
      <x:c r="B14" s="12" t="n">
        <x:f>COUNTIF('02_Ma_tran_tuan_thu'!$H:$H,A14)</x:f>
        <x:v>29</x:v>
      </x:c>
      <x:c r="D14" t="str">
        <x:v>Đang thực hiện</x:v>
      </x:c>
      <x:c r="E14" t="n">
        <x:f>COUNTIF('05_Bao_cao_tinh_trang'!$H$2:$H$642,D14)</x:f>
        <x:v>5</x:v>
      </x:c>
    </x:row>
    <x:row r="15">
      <x:c r="A15" s="12" t="str">
        <x:v>ANS - CNS/IT/Kỹ thuật</x:v>
      </x:c>
      <x:c r="B15" s="12" t="n">
        <x:f>COUNTIF('02_Ma_tran_tuan_thu'!$H:$H,A15)</x:f>
        <x:v>8</x:v>
      </x:c>
      <x:c r="D15" t="str">
        <x:v>Đang chờ phối hợp</x:v>
      </x:c>
      <x:c r="E15" t="n">
        <x:f>COUNTIF('05_Bao_cao_tinh_trang'!$H$2:$H$642,D15)</x:f>
        <x:v>0</x:v>
      </x:c>
    </x:row>
    <x:row r="16">
      <x:c r="A16" s="12" t="str">
        <x:v>ANS - MET/Khí tượng hàng không</x:v>
      </x:c>
      <x:c r="B16" s="12" t="n">
        <x:f>COUNTIF('02_Ma_tran_tuan_thu'!$H:$H,A16)</x:f>
        <x:v>4</x:v>
      </x:c>
      <x:c r="D16" t="str">
        <x:v>Hoàn thành</x:v>
      </x:c>
      <x:c r="E16" t="n">
        <x:f>COUNTIF('05_Bao_cao_tinh_trang'!$H$2:$H$642,D16)</x:f>
        <x:v>0</x:v>
      </x:c>
    </x:row>
    <x:row r="17">
      <x:c r="A17" s="12" t="str">
        <x:v>ANS - Tìm kiếm cứu nạn &amp; khẩn nguy</x:v>
      </x:c>
      <x:c r="B17" s="12" t="n">
        <x:f>COUNTIF('02_Ma_tran_tuan_thu'!$H:$H,A17)</x:f>
        <x:v>7</x:v>
      </x:c>
      <x:c r="D17" t="str">
        <x:v>Quá hạn</x:v>
      </x:c>
      <x:c r="E17" t="n">
        <x:f>COUNTIF('05_Bao_cao_tinh_trang'!$H$2:$H$642,D17)</x:f>
        <x:v>0</x:v>
      </x:c>
    </x:row>
    <x:row r="18">
      <x:c r="A18" s="12" t="str">
        <x:v>An ninh hàng không</x:v>
      </x:c>
      <x:c r="B18" s="12" t="n">
        <x:f>COUNTIF('02_Ma_tran_tuan_thu'!$H:$H,A18)</x:f>
        <x:v>90</x:v>
      </x:c>
      <x:c r="D18" t="str">
        <x:v>Không áp dụng</x:v>
      </x:c>
      <x:c r="E18" t="n">
        <x:f>COUNTIF('05_Bao_cao_tinh_trang'!$H$2:$H$642,D18)</x:f>
        <x:v>0</x:v>
      </x:c>
    </x:row>
    <x:row r="19">
      <x:c r="A19" s="12" t="str">
        <x:v>An toàn hàng không / SMS</x:v>
      </x:c>
      <x:c r="B19" s="12" t="n">
        <x:f>COUNTIF('02_Ma_tran_tuan_thu'!$H:$H,A19)</x:f>
        <x:v>256</x:v>
      </x:c>
      <x:c r="D19" t="str">
        <x:v>Cần rà soát thêm</x:v>
      </x:c>
      <x:c r="E19" t="n">
        <x:f>COUNTIF('05_Bao_cao_tinh_trang'!$H$2:$H$642,D19)</x:f>
        <x:v>0</x:v>
      </x:c>
    </x:row>
    <x:row r="20">
      <x:c r="A20" s="12" t="str">
        <x:v>Huấn luyện đào tạo &amp; nhân viên HK</x:v>
      </x:c>
      <x:c r="B20" s="12" t="n">
        <x:f>COUNTIF('02_Ma_tran_tuan_thu'!$H:$H,A20)</x:f>
        <x:v>21</x:v>
      </x:c>
    </x:row>
    <x:row r="21">
      <x:c r="A21" s="12" t="str">
        <x:v>Quản lý khai thác cảng/sân bay</x:v>
      </x:c>
      <x:c r="B21" s="12" t="n">
        <x:f>COUNTIF('02_Ma_tran_tuan_thu'!$H:$H,A21)</x:f>
        <x:v>88</x:v>
      </x:c>
    </x:row>
    <x:row r="22">
      <x:c r="A22" s="12" t="str">
        <x:v>Tuân thủ, dữ liệu &amp; chuyển đổi số</x:v>
      </x:c>
      <x:c r="B22" s="12" t="n">
        <x:f>COUNTIF('02_Ma_tran_tuan_thu'!$H:$H,A22)</x:f>
        <x:v>10</x:v>
      </x:c>
    </x:row>
    <x:row r="23">
      <x:c r="A23" s="12" t="str">
        <x:v>Tuân thủ, pháp chế &amp; quản trị</x:v>
      </x:c>
      <x:c r="B23" s="12" t="n">
        <x:f>COUNTIF('02_Ma_tran_tuan_thu'!$H:$H,A23)</x:f>
        <x:v>71</x:v>
      </x:c>
    </x:row>
    <x:row r="24">
      <x:c r="A24" s="12" t="str">
        <x:v>Tài chính - Kế hoạch đầu tư</x:v>
      </x:c>
      <x:c r="B24" s="12" t="n">
        <x:f>COUNTIF('02_Ma_tran_tuan_thu'!$H:$H,A24)</x:f>
        <x:v>43</x:v>
      </x:c>
    </x:row>
    <x:row r="27">
      <x:c r="A27" s="53" t="str">
        <x:v>Hướng dẫn sử dụng nhanh</x:v>
      </x:c>
      <x:c r="B27" s="53"/>
      <x:c r="C27" s="53"/>
      <x:c r="D27" s="53"/>
      <x:c r="E27" s="53"/>
      <x:c r="F27" s="53"/>
      <x:c r="G27" s="53"/>
      <x:c r="H27" s="53"/>
    </x:row>
    <x:row r="28">
      <x:c r="A28" s="12" t="str">
        <x:v>1) Lọc sheet 02 theo Nhóm lĩnh vực/Tiểu nhóm/Đơn vị chủ trì để giao việc.</x:v>
      </x:c>
      <x:c r="B28" s="12"/>
      <x:c r="C28" s="12"/>
      <x:c r="D28" s="12"/>
      <x:c r="E28" s="12"/>
      <x:c r="F28" s="12"/>
      <x:c r="G28" s="12"/>
      <x:c r="H28" s="12"/>
    </x:row>
    <x:row r="29">
      <x:c r="A29" s="12" t="str">
        <x:v>2) Cập nhật Trạng thái, % hoàn thành tự động và bằng chứng tại sheet 05–06.</x:v>
      </x:c>
      <x:c r="B29" s="12"/>
      <x:c r="C29" s="12"/>
      <x:c r="D29" s="12"/>
      <x:c r="E29" s="12"/>
      <x:c r="F29" s="12"/>
      <x:c r="G29" s="12"/>
      <x:c r="H29" s="12"/>
    </x:row>
    <x:row r="30">
      <x:c r="A30" s="12" t="str">
        <x:v>3) Sheet 07 dùng để đôn đốc sửa/ban hành quy trình, SOP, biểu mẫu, checklist.</x:v>
      </x:c>
      <x:c r="B30" s="12"/>
      <x:c r="C30" s="12"/>
      <x:c r="D30" s="12"/>
      <x:c r="E30" s="12"/>
      <x:c r="F30" s="12"/>
      <x:c r="G30" s="12"/>
      <x:c r="H30" s="12"/>
    </x:row>
    <x:row r="31">
      <x:c r="A31" s="12" t="str">
        <x:v>4) Sheet 03–04 dùng họp giao ban tuần: theo lĩnh vực và theo đơn vị VATM.</x:v>
      </x:c>
      <x:c r="B31" s="12"/>
      <x:c r="C31" s="12"/>
      <x:c r="D31" s="12"/>
      <x:c r="E31" s="12"/>
      <x:c r="F31" s="12"/>
      <x:c r="G31" s="12"/>
      <x:c r="H31" s="12"/>
    </x:row>
  </x:sheetData>
  <x:mergeCells>
    <x:mergeCell ref="A1:H1"/>
    <x:mergeCell ref="A2:H2"/>
    <x:mergeCell ref="A27:H27"/>
    <x:mergeCell ref="A28:H28"/>
    <x:mergeCell ref="A29:H29"/>
    <x:mergeCell ref="A30:H30"/>
    <x:mergeCell ref="A31:H31"/>
  </x:mergeCells>
  <x:pageMargins left="0.7" right="0.7" top="0.75" bottom="0.75" header="0.3" footer="0.3"/>
  <x:drawing xmlns:r="http://schemas.openxmlformats.org/officeDocument/2006/relationships" r:id="Ra7161e2791c04e4a"/>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30" hidden="0" customWidth="1"/>
    <x:col min="4" max="4" width="34" hidden="0" customWidth="1"/>
    <x:col min="5" max="5" width="18" hidden="0" customWidth="1"/>
    <x:col min="6" max="6" width="10" hidden="0" customWidth="1"/>
    <x:col min="7" max="7" width="18" hidden="0" customWidth="1"/>
    <x:col min="8" max="8" width="26" hidden="0" customWidth="1"/>
    <x:col min="9" max="9" width="30" hidden="0" customWidth="1"/>
    <x:col min="10" max="10" width="24" hidden="0" customWidth="1"/>
    <x:col min="11" max="11" width="18" hidden="0" customWidth="1"/>
    <x:col min="12" max="12" width="22" hidden="0" customWidth="1"/>
    <x:col min="13" max="13" width="22" hidden="0" customWidth="1"/>
    <x:col min="14" max="14" width="48" hidden="0" customWidth="1"/>
    <x:col min="15" max="15" width="48" hidden="0" customWidth="1"/>
    <x:col min="16" max="16" width="42" hidden="0" customWidth="1"/>
    <x:col min="17" max="17" width="42" hidden="0" customWidth="1"/>
    <x:col min="18" max="18" width="42" hidden="0" customWidth="1"/>
    <x:col min="19" max="19" width="36" hidden="0" customWidth="1"/>
    <x:col min="20" max="20" width="36" hidden="0" customWidth="1"/>
    <x:col min="21" max="21" width="34" hidden="0" customWidth="1"/>
    <x:col min="22" max="22" width="24" hidden="0" customWidth="1"/>
    <x:col min="23" max="23" width="12" hidden="0" customWidth="1"/>
    <x:col min="24" max="24" width="16" hidden="0" customWidth="1"/>
    <x:col min="25" max="25" width="16" hidden="0" customWidth="1"/>
    <x:col min="26" max="26" width="32" hidden="0" customWidth="1"/>
    <x:col min="27" max="27" width="38" hidden="0" customWidth="1"/>
    <x:col min="28" max="28" width="24" hidden="0" customWidth="1"/>
  </x:cols>
  <x:sheetData>
    <x:row r="1">
      <x:c r="A1" s="6" t="str">
        <x:v>Mã tổng hợp</x:v>
      </x:c>
      <x:c r="B1" s="6" t="str">
        <x:v>Mã nguồn</x:v>
      </x:c>
      <x:c r="C1" s="6" t="str">
        <x:v>Văn bản nguồn</x:v>
      </x:c>
      <x:c r="D1" s="6" t="str">
        <x:v>File nguồn</x:v>
      </x:c>
      <x:c r="E1" s="6" t="str">
        <x:v>Sheet nguồn</x:v>
      </x:c>
      <x:c r="F1" s="6" t="str">
        <x:v>Dòng nguồn</x:v>
      </x:c>
      <x:c r="G1" s="6" t="str">
        <x:v>Điều/khoản/phụ lục</x:v>
      </x:c>
      <x:c r="H1" s="6" t="str">
        <x:v>Nhóm lĩnh vực</x:v>
      </x:c>
      <x:c r="I1" s="6" t="str">
        <x:v>Tiểu nhóm</x:v>
      </x:c>
      <x:c r="J1" s="6" t="str">
        <x:v>Nhóm/nguồn gốc trong bảng</x:v>
      </x:c>
      <x:c r="K1" s="6" t="str">
        <x:v>Mức liên quan VATM</x:v>
      </x:c>
      <x:c r="L1" s="6" t="str">
        <x:v>Loại nghĩa vụ</x:v>
      </x:c>
      <x:c r="M1" s="6" t="str">
        <x:v>Vai trò/Tư cách VATM</x:v>
      </x:c>
      <x:c r="N1" s="6" t="str">
        <x:v>Nhiệm vụ/công việc VATM</x:v>
      </x:c>
      <x:c r="O1" s="6" t="str">
        <x:v>Biện pháp/việc cần làm</x:v>
      </x:c>
      <x:c r="P1" s="6" t="str">
        <x:v>Sản phẩm/KPI/Kết quả đầu ra</x:v>
      </x:c>
      <x:c r="Q1" s="6" t="str">
        <x:v>Hồ sơ/bằng chứng yêu cầu</x:v>
      </x:c>
      <x:c r="R1" s="6" t="str">
        <x:v>Quy trình/biểu mẫu cần sửa/ban hành</x:v>
      </x:c>
      <x:c r="S1" s="6" t="str">
        <x:v>Đơn vị chủ trì</x:v>
      </x:c>
      <x:c r="T1" s="6" t="str">
        <x:v>Đơn vị phối hợp nội bộ</x:v>
      </x:c>
      <x:c r="U1" s="6" t="str">
        <x:v>Phối hợp ngoài VATM</x:v>
      </x:c>
      <x:c r="V1" s="6" t="str">
        <x:v>Thời hạn/Tần suất/Mốc</x:v>
      </x:c>
      <x:c r="W1" s="6" t="str">
        <x:v>Ưu tiên</x:v>
      </x:c>
      <x:c r="X1" s="6" t="str">
        <x:v>Rủi ro nếu không tuân thủ</x:v>
      </x:c>
      <x:c r="Y1" s="6" t="str">
        <x:v>Trạng thái gợi ý</x:v>
      </x:c>
      <x:c r="Z1" s="6" t="str">
        <x:v>Ghi chú</x:v>
      </x:c>
      <x:c r="AA1" s="6" t="str">
        <x:v>URL nguồn</x:v>
      </x:c>
      <x:c r="AB1" s="6" t="str">
        <x:v>Từ khóa theo dõi</x:v>
      </x:c>
    </x:row>
    <x:row r="2">
      <x:c r="A2" s="14" t="str">
        <x:v>VATM-0001</x:v>
      </x:c>
      <x:c r="B2" s="14" t="str">
        <x:v>1</x:v>
      </x:c>
      <x:c r="C2" s="14" t="str">
        <x:v>Nghị định 205/2026/NĐ-CP</x:v>
      </x:c>
      <x:c r="D2" s="14" t="str">
        <x:v>Ra_soat_sau_ND205_VATM_ANSP_day_du.xlsx</x:v>
      </x:c>
      <x:c r="E2" s="14" t="str">
        <x:v>01_Nhiem_vu_chi_tiet</x:v>
      </x:c>
      <x:c r="F2" s="56" t="n">
        <x:v>2</x:v>
      </x:c>
      <x:c r="G2" s="14" t="str">
        <x:v>Điều 1-3</x:v>
      </x:c>
      <x:c r="H2" s="14" t="str">
        <x:v>Quản lý khai thác cảng/sân bay</x:v>
      </x:c>
      <x:c r="I2" s="14" t="str">
        <x:v>Công trình, chướng ngại và thi công</x:v>
      </x:c>
      <x:c r="J2" s="14" t="str">
        <x:v>Phạm vi, đối tượng, giải thích</x:v>
      </x:c>
      <x:c r="K2" s="14" t="str">
        <x:v>Phối hợp/Gián tiếp</x:v>
      </x:c>
      <x:c r="L2" s="14" t="str">
        <x:v>Quy trình/SOP/biểu mẫu</x:v>
      </x:c>
      <x:c r="M2" s="14" t="str">
        <x:v>ANSP/doanh nghiệp hàng không</x:v>
      </x:c>
      <x:c r="N2" s="14" t="str">
        <x:v>Xác định toàn bộ công trình, hạ tầng, thiết bị, dịch vụ ANS của VATM có liên quan đến cảng hàng không, bãi cất hạ cánh và phạm vi quản lý trong/ngoài sân bay.</x:v>
      </x:c>
      <x:c r="O2" s="14" t="str">
        <x:v>Lập danh mục hạ tầng ANS tại từng cảng; phân loại công trình trong sân bay/gắn với đường cất hạ cánh/ngoài sân bay; xác định chủ sở hữu, đơn vị khai thác, tình trạng pháp lý.</x:v>
      </x:c>
      <x:c r="P2" s="14" t="str">
        <x:v>Danh mục thống nhất, không bỏ sót hạng mục ảnh hưởng an toàn bay</x:v>
      </x:c>
      <x:c r="Q2" s="14" t="str">
        <x:v>Danh mục tài sản/công trình ANS; sơ đồ vị trí; biên bản đối chiếu với cảng và Cảng vụ</x:v>
      </x:c>
      <x:c r="R2" s="14" t="str">
        <x:v>Quy trình quản lý tài sản kỹ thuật ANS; quy chế phối hợp cảng; Mẫu danh mục công trình ANS tại cảng; mẫu phiếu đối chiếu ranh giới</x:v>
      </x:c>
      <x:c r="S2" s="14" t="str">
        <x:v>Ban Kế hoạch - Đầu tư; Ban Không lưu; Ban Kỹ thuật - CNS/IT/Môi trường; Văn phòng - Pháp chế</x:v>
      </x:c>
      <x:c r="T2" s="14" t="str">
        <x:v>Các Công ty Quản lý bay khu vực Bắc/Trung/Nam; Ban Kế hoạch - Đầu tư; Ban Không lưu; Ban Kỹ thuật - CNS/IT/Môi trường</x:v>
      </x:c>
      <x:c r="U2" s="14" t="str">
        <x:v>CHK Việt Nam, Cảng vụ HK, ACV/người khai thác cảng</x:v>
      </x:c>
      <x:c r="V2" s="14" t="str">
        <x:v>Hoàn thành trước 01/7/2026 và cập nhật hàng năm</x:v>
      </x:c>
      <x:c r="W2" s="14" t="str">
        <x:v>P1</x:v>
      </x:c>
      <x:c r="X2" s="14" t="str">
        <x:v>Cao</x:v>
      </x:c>
      <x:c r="Y2" s="14" t="str">
        <x:v>Chưa bắt đầu</x:v>
      </x:c>
      <x:c r="Z2" s="14" t="str">
        <x:v>Là nền để xác định trách nhiệm VATM trong các điều sau.</x:v>
      </x:c>
      <x:c r="AA2" s="14" t="str"/>
      <x:c r="AB2" s="14" t="str">
        <x:v>cang; san bay; ans; atm; cns; phap che</x:v>
      </x:c>
    </x:row>
    <x:row r="3">
      <x:c r="A3" s="14" t="str">
        <x:v>VATM-0002</x:v>
      </x:c>
      <x:c r="B3" s="14" t="str">
        <x:v>2</x:v>
      </x:c>
      <x:c r="C3" s="14" t="str">
        <x:v>Nghị định 205/2026/NĐ-CP</x:v>
      </x:c>
      <x:c r="D3" s="14" t="str">
        <x:v>Ra_soat_sau_ND205_VATM_ANSP_day_du.xlsx</x:v>
      </x:c>
      <x:c r="E3" s="14" t="str">
        <x:v>01_Nhiem_vu_chi_tiet</x:v>
      </x:c>
      <x:c r="F3" s="56" t="n">
        <x:v>3</x:v>
      </x:c>
      <x:c r="G3" s="14" t="str">
        <x:v>Điều 4</x:v>
      </x:c>
      <x:c r="H3" s="14" t="str">
        <x:v>Tuân thủ, pháp chế &amp; quản trị</x:v>
      </x:c>
      <x:c r="I3" s="14" t="str">
        <x:v>Rà soát văn bản, quy trình và GAP</x:v>
      </x:c>
      <x:c r="J3" s="14" t="str">
        <x:v>Tiếp nhận thủ tục hành chính</x:v>
      </x:c>
      <x:c r="K3" s="14" t="str">
        <x:v>Phối hợp/Gián tiếp</x:v>
      </x:c>
      <x:c r="L3" s="14" t="str">
        <x:v>Dữ liệu/số hóa</x:v>
      </x:c>
      <x:c r="M3" s="14" t="str">
        <x:v>Doanh nghiệp hàng không/đơn vị phối hợp</x:v>
      </x:c>
      <x:c r="N3" s="14" t="str">
        <x:v>Chuẩn bị dữ liệu, văn bản, bản vẽ, tài liệu điện tử khi tham gia hồ sơ TTHC liên quan đến công trình, khai thác, thi công, bãi cất hạ cánh, công trình lưỡng dụng.</x:v>
      </x:c>
      <x:c r="O3" s="14" t="str">
        <x:v>Chuẩn hóa quy trình nội bộ cung cấp hồ sơ số; đầu mối kiểm soát phiên bản; ký số và lưu trữ văn bản điện tử.</x:v>
      </x:c>
      <x:c r="P3" s="14" t="str">
        <x:v>Hồ sơ đúng mẫu, đúng hạn, truy xuất được</x:v>
      </x:c>
      <x:c r="Q3" s="14" t="str">
        <x:v>Bản nộp điện tử; văn bản góp ý; nhật ký luân chuyển hồ sơ</x:v>
      </x:c>
      <x:c r="R3" s="14" t="str">
        <x:v>Quy trình văn thư điện tử; quy trình phối hợp hồ sơ pháp lý; Checklist hồ sơ VATM tham gia TTHC NĐ205</x:v>
      </x:c>
      <x:c r="S3" s="14" t="str">
        <x:v>Văn phòng - Pháp chế</x:v>
      </x:c>
      <x:c r="T3" s="14" t="str">
        <x:v>Văn phòng - Pháp chế</x:v>
      </x:c>
      <x:c r="U3" s="14" t="str">
        <x:v>CHK Việt Nam, Bộ Xây dựng, Cảng vụ, chủ đầu tư</x:v>
      </x:c>
      <x:c r="V3" s="14" t="str">
        <x:v>Theo từng hồ sơ/TTHC</x:v>
      </x:c>
      <x:c r="W3" s="14" t="str">
        <x:v>P2</x:v>
      </x:c>
      <x:c r="X3" s="14" t="str">
        <x:v>Trung bình</x:v>
      </x:c>
      <x:c r="Y3" s="14" t="str">
        <x:v>Chưa bắt đầu</x:v>
      </x:c>
      <x:c r="Z3" s="14" t="str">
        <x:v>NĐ 205 số hóa TTHC nên VATM cần kiểm soát dữ liệu.</x:v>
      </x:c>
      <x:c r="AA3" s="14" t="str"/>
      <x:c r="AB3" s="14" t="str">
        <x:v>phap che; du lieu</x:v>
      </x:c>
    </x:row>
    <x:row r="4">
      <x:c r="A4" s="14" t="str">
        <x:v>VATM-0003</x:v>
      </x:c>
      <x:c r="B4" s="14" t="str">
        <x:v>3</x:v>
      </x:c>
      <x:c r="C4" s="14" t="str">
        <x:v>Nghị định 205/2026/NĐ-CP</x:v>
      </x:c>
      <x:c r="D4" s="14" t="str">
        <x:v>Ra_soat_sau_ND205_VATM_ANSP_day_du.xlsx</x:v>
      </x:c>
      <x:c r="E4" s="14" t="str">
        <x:v>01_Nhiem_vu_chi_tiet</x:v>
      </x:c>
      <x:c r="F4" s="56" t="n">
        <x:v>4</x:v>
      </x:c>
      <x:c r="G4" s="14" t="str">
        <x:v>Điều 5-7</x:v>
      </x:c>
      <x:c r="H4" s="14" t="str">
        <x:v>Tài chính - Kế hoạch đầu tư</x:v>
      </x:c>
      <x:c r="I4" s="14" t="str">
        <x:v>Phí, thanh toán, hợp đồng và billing</x:v>
      </x:c>
      <x:c r="J4" s="14" t="str">
        <x:v>Tài liệu vốn chủ sở hữu, điều kiện kinh doanh, nhượng quyền</x:v>
      </x:c>
      <x:c r="K4" s="14" t="str">
        <x:v>Phối hợp/Gián tiếp</x:v>
      </x:c>
      <x:c r="L4" s="14" t="str">
        <x:v>Quy trình/SOP/biểu mẫu</x:v>
      </x:c>
      <x:c r="M4" s="14" t="str">
        <x:v>Doanh nghiệp hàng không nếu tham gia hoạt động kinh doanh liên quan</x:v>
      </x:c>
      <x:c r="N4" s="14" t="str">
        <x:v>Theo dõi điều kiện kinh doanh liên quan đến dịch vụ/hợp đồng/nhượng quyền nếu VATM hoặc đơn vị thành viên tham gia lĩnh vực bị điều chỉnh.</x:v>
      </x:c>
      <x:c r="O4" s="14" t="str">
        <x:v>Rà soát hợp đồng nhượng quyền/hợp đồng cung cấp dịch vụ tại cảng; bảo đảm không phát sinh nghĩa vụ cấp phép ngoài phạm vi.</x:v>
      </x:c>
      <x:c r="P4" s="14" t="str">
        <x:v>Không ký hợp đồng vượt phạm vi giấy phép/nhiệm vụ</x:v>
      </x:c>
      <x:c r="Q4" s="14" t="str">
        <x:v>Hợp đồng; hồ sơ điều kiện kinh doanh; ý kiến pháp chế</x:v>
      </x:c>
      <x:c r="R4" s="14" t="str">
        <x:v>Quy trình rà soát hợp đồng dịch vụ tại cảng; Mẫu checklist pháp lý hợp đồng tại cảng</x:v>
      </x:c>
      <x:c r="S4" s="14" t="str">
        <x:v>Ban Tài chính; Văn phòng - Pháp chế</x:v>
      </x:c>
      <x:c r="T4" s="14" t="str">
        <x:v>Ban Tài chính; Ban Kế hoạch - Đầu tư</x:v>
      </x:c>
      <x:c r="U4" s="14" t="str">
        <x:v>CHK Việt Nam, đối tác, tổ chức tín dụng</x:v>
      </x:c>
      <x:c r="V4" s="14" t="str">
        <x:v>Khi ký mới/gia hạn hợp đồng</x:v>
      </x:c>
      <x:c r="W4" s="14" t="str">
        <x:v>P2</x:v>
      </x:c>
      <x:c r="X4" s="14" t="str">
        <x:v>Trung bình</x:v>
      </x:c>
      <x:c r="Y4" s="14" t="str">
        <x:v>Chưa bắt đầu</x:v>
      </x:c>
      <x:c r="Z4" s="14" t="str">
        <x:v>VATM chủ yếu cung cấp ANS, không kinh doanh cảng, nhưng cần tránh nhầm phạm vi.</x:v>
      </x:c>
      <x:c r="AA4" s="14" t="str"/>
      <x:c r="AB4" s="14" t="str">
        <x:v>tai chinh; atm; phap che</x:v>
      </x:c>
    </x:row>
    <x:row r="5">
      <x:c r="A5" s="14" t="str">
        <x:v>VATM-0004</x:v>
      </x:c>
      <x:c r="B5" s="14" t="str">
        <x:v>4</x:v>
      </x:c>
      <x:c r="C5" s="14" t="str">
        <x:v>Nghị định 205/2026/NĐ-CP</x:v>
      </x:c>
      <x:c r="D5" s="14" t="str">
        <x:v>Ra_soat_sau_ND205_VATM_ANSP_day_du.xlsx</x:v>
      </x:c>
      <x:c r="E5" s="14" t="str">
        <x:v>01_Nhiem_vu_chi_tiet</x:v>
      </x:c>
      <x:c r="F5" s="56" t="n">
        <x:v>5</x:v>
      </x:c>
      <x:c r="G5" s="14" t="str">
        <x:v>Điều 8</x:v>
      </x:c>
      <x:c r="H5" s="14" t="str">
        <x:v>Quản lý khai thác cảng/sân bay</x:v>
      </x:c>
      <x:c r="I5" s="14" t="str">
        <x:v>Điều phối năng lực khai thác cảng</x:v>
      </x:c>
      <x:c r="J5" s="14" t="str">
        <x:v>Tạo thuận lợi hàng không</x:v>
      </x:c>
      <x:c r="K5" s="14" t="str">
        <x:v>Phối hợp/Gián tiếp</x:v>
      </x:c>
      <x:c r="L5" s="14" t="str">
        <x:v>Báo cáo/điều tra/khắc phục</x:v>
      </x:c>
      <x:c r="M5" s="14" t="str">
        <x:v>ANSP</x:v>
      </x:c>
      <x:c r="N5" s="14" t="str">
        <x:v>Phối hợp bảo đảm không tạo thuận lợi hàng không trái quy định, không bố trí hạ tầng, quy trình gây chậm trễ, ùn tắc hoặc mất an toàn.</x:v>
      </x:c>
      <x:c r="O5" s="14" t="str">
        <x:v>Tham gia họp điều phối slot/luồng; đánh giá năng lực khai thác; cung cấp dữ liệu ANS cho điều phối khai thác cảng.</x:v>
      </x:c>
      <x:c r="P5" s="14" t="str">
        <x:v>Dòng chảy khai thác thông suốt, có căn cứ ANS</x:v>
      </x:c>
      <x:c r="Q5" s="14" t="str">
        <x:v>Biên bản họp điều phối; dữ liệu năng lực đường bay/sân bay; báo cáo ATFM</x:v>
      </x:c>
      <x:c r="R5" s="14" t="str">
        <x:v>Quy trình phối hợp ATFM-CDM với cảng; Mẫu báo cáo năng lực ANS phục vụ tạo thuận lợi HK</x:v>
      </x:c>
      <x:c r="S5" s="14" t="str">
        <x:v>Ban Kế hoạch - Đầu tư; Ban Không lưu; Ban Kỹ thuật - CNS/IT/Môi trường; Ban An toàn - Chất lượng</x:v>
      </x:c>
      <x:c r="T5" s="14" t="str">
        <x:v>Các Công ty Quản lý bay khu vực Bắc/Trung/Nam; Ban Kế hoạch - Đầu tư; Ban Không lưu; Ban Kỹ thuật - CNS/IT/Môi trường</x:v>
      </x:c>
      <x:c r="U5" s="14" t="str">
        <x:v>CHK Việt Nam, Cảng vụ, ACV, hãng bay</x:v>
      </x:c>
      <x:c r="V5" s="14" t="str">
        <x:v>Định kỳ và khi có yêu cầu</x:v>
      </x:c>
      <x:c r="W5" s="14" t="str">
        <x:v>P1</x:v>
      </x:c>
      <x:c r="X5" s="14" t="str">
        <x:v>Cao</x:v>
      </x:c>
      <x:c r="Y5" s="14" t="str">
        <x:v>Chưa bắt đầu</x:v>
      </x:c>
      <x:c r="Z5" s="14" t="str">
        <x:v>Gắn với ATFM, CDM và khai thác cảng.</x:v>
      </x:c>
      <x:c r="AA5" s="14" t="str"/>
      <x:c r="AB5" s="14" t="str">
        <x:v>cang; san bay; an toan</x:v>
      </x:c>
    </x:row>
    <x:row r="6">
      <x:c r="A6" s="14" t="str">
        <x:v>VATM-0005</x:v>
      </x:c>
      <x:c r="B6" s="14" t="str">
        <x:v>5</x:v>
      </x:c>
      <x:c r="C6" s="14" t="str">
        <x:v>Nghị định 205/2026/NĐ-CP</x:v>
      </x:c>
      <x:c r="D6" s="14" t="str">
        <x:v>Ra_soat_sau_ND205_VATM_ANSP_day_du.xlsx</x:v>
      </x:c>
      <x:c r="E6" s="14" t="str">
        <x:v>01_Nhiem_vu_chi_tiet</x:v>
      </x:c>
      <x:c r="F6" s="56" t="n">
        <x:v>6</x:v>
      </x:c>
      <x:c r="G6" s="14" t="str">
        <x:v>Điều 9-12</x:v>
      </x:c>
      <x:c r="H6" s="14" t="str">
        <x:v>Quản lý khai thác cảng/sân bay</x:v>
      </x:c>
      <x:c r="I6" s="14" t="str">
        <x:v>Quy hoạch, mặt bằng và phối hợp cảng</x:v>
      </x:c>
      <x:c r="J6" s="14" t="str">
        <x:v>Quy hoạch cảng hàng không</x:v>
      </x:c>
      <x:c r="K6" s="14" t="str">
        <x:v>Phối hợp/Gián tiếp</x:v>
      </x:c>
      <x:c r="L6" s="14" t="str">
        <x:v>Dữ liệu/số hóa</x:v>
      </x:c>
      <x:c r="M6" s="14" t="str">
        <x:v>ANSP</x:v>
      </x:c>
      <x:c r="N6" s="14" t="str">
        <x:v>Theo dõi quy hoạch cảng hàng không và yêu cầu cơ sở dữ liệu quy hoạch; cung cấp dữ liệu ANS phục vụ lập quy hoạch khi được yêu cầu.</x:v>
      </x:c>
      <x:c r="O6" s="14" t="str">
        <x:v>Cung cấp bản đồ, dữ liệu tọa độ, cao độ, vùng phủ, phương thức bay; tổ chức rà soát liên ngành; lưu ý bằng văn bản.</x:v>
      </x:c>
      <x:c r="P6" s="14" t="str">
        <x:v>Ý kiến rõ căn cứ kỹ thuật, phát hiện sớm xung đột ANS</x:v>
      </x:c>
      <x:c r="Q6" s="14" t="str">
        <x:v>Văn bản góp ý; bản đồ/số liệu; biên bản họp; danh mục kiến nghị</x:v>
      </x:c>
      <x:c r="R6" s="14" t="str">
        <x:v>Quy trình tham gia quy hoạch hàng không; quy trình quản lý dữ liệu địa hình/chướng ngại vật; Mẫu phiếu rà soát quy hoạch theo ANS; checklist CNS/ATM/AIS/MET/SAR</x:v>
      </x:c>
      <x:c r="S6" s="14" t="str">
        <x:v>Ban Kế hoạch - Đầu tư; Ban Không lưu; Ban Kỹ thuật - CNS/IT/Môi trường; Trung tâm Thông báo tin tức hàng không</x:v>
      </x:c>
      <x:c r="T6" s="14" t="str">
        <x:v>Các Công ty Quản lý bay khu vực Bắc/Trung/Nam; Ban Kế hoạch - Đầu tư; Ban Không lưu; Ban Kỹ thuật - CNS/IT/Môi trường</x:v>
      </x:c>
      <x:c r="U6" s="14" t="str">
        <x:v>Bộ Xây dựng, CHK Việt Nam, Cảng vụ, ACV, địa phương</x:v>
      </x:c>
      <x:c r="V6" s="14" t="str">
        <x:v>Theo yêu cầu của cơ quan lập/thẩm định quy hoạch; rà soát tối thiểu hàng năm</x:v>
      </x:c>
      <x:c r="W6" s="14" t="str">
        <x:v>P1</x:v>
      </x:c>
      <x:c r="X6" s="14" t="str">
        <x:v>Cao</x:v>
      </x:c>
      <x:c r="Y6" s="14" t="str">
        <x:v>Chưa bắt đầu</x:v>
      </x:c>
      <x:c r="Z6" s="14" t="str">
        <x:v>VATM không phê duyệt quy hoạch nhưng chịu tác động trực tiếp về khai thác.</x:v>
      </x:c>
      <x:c r="AA6" s="14" t="str"/>
      <x:c r="AB6" s="14" t="str">
        <x:v>cang; san bay; ans; du lieu; cns</x:v>
      </x:c>
    </x:row>
    <x:row r="7">
      <x:c r="A7" s="14" t="str">
        <x:v>VATM-0006</x:v>
      </x:c>
      <x:c r="B7" s="14" t="str">
        <x:v>6</x:v>
      </x:c>
      <x:c r="C7" s="14" t="str">
        <x:v>Nghị định 205/2026/NĐ-CP</x:v>
      </x:c>
      <x:c r="D7" s="14" t="str">
        <x:v>Ra_soat_sau_ND205_VATM_ANSP_day_du.xlsx</x:v>
      </x:c>
      <x:c r="E7" s="14" t="str">
        <x:v>01_Nhiem_vu_chi_tiet</x:v>
      </x:c>
      <x:c r="F7" s="56" t="n">
        <x:v>7</x:v>
      </x:c>
      <x:c r="G7" s="14" t="str">
        <x:v>Điều 13-17</x:v>
      </x:c>
      <x:c r="H7" s="14" t="str">
        <x:v>Quản lý khai thác cảng/sân bay</x:v>
      </x:c>
      <x:c r="I7" s="14" t="str">
        <x:v>Quy hoạch, mặt bằng và phối hợp cảng</x:v>
      </x:c>
      <x:c r="J7" s="14" t="str">
        <x:v>Quy hoạch cảng hàng không</x:v>
      </x:c>
      <x:c r="K7" s="14" t="str">
        <x:v>Phối hợp/Gián tiếp</x:v>
      </x:c>
      <x:c r="L7" s="14" t="str">
        <x:v>Dữ liệu/số hóa</x:v>
      </x:c>
      <x:c r="M7" s="14" t="str">
        <x:v>ANSP</x:v>
      </x:c>
      <x:c r="N7" s="14" t="str">
        <x:v>Tham gia góp ý đề cương, nhiệm vụ lập quy hoạch chi tiết cảng hàng không khi có tác động đến hệ thống đường cất hạ cánh, vùng trời, CNS, AIS, MET, SAR.</x:v>
      </x:c>
      <x:c r="O7" s="14" t="str">
        <x:v>Cung cấp bản đồ, dữ liệu tọa độ, cao độ, vùng phủ, phương thức bay; tổ chức rà soát liên ngành; lưu ý bằng văn bản.</x:v>
      </x:c>
      <x:c r="P7" s="14" t="str">
        <x:v>Ý kiến rõ căn cứ kỹ thuật, phát hiện sớm xung đột ANS</x:v>
      </x:c>
      <x:c r="Q7" s="14" t="str">
        <x:v>Văn bản góp ý; bản đồ/số liệu; biên bản họp; danh mục kiến nghị</x:v>
      </x:c>
      <x:c r="R7" s="14" t="str">
        <x:v>Quy trình tham gia quy hoạch hàng không; quy trình quản lý dữ liệu địa hình/chướng ngại vật; Mẫu phiếu rà soát quy hoạch theo ANS; checklist CNS/ATM/AIS/MET/SAR</x:v>
      </x:c>
      <x:c r="S7" s="14" t="str">
        <x:v>Ban Kế hoạch - Đầu tư; Ban Không lưu; Ban Kỹ thuật - CNS/IT/Môi trường; Trung tâm Thông báo tin tức hàng không</x:v>
      </x:c>
      <x:c r="T7" s="14" t="str">
        <x:v>Các Công ty Quản lý bay khu vực Bắc/Trung/Nam; Ban Kế hoạch - Đầu tư; Ban Không lưu; Ban Kỹ thuật - CNS/IT/Môi trường</x:v>
      </x:c>
      <x:c r="U7" s="14" t="str">
        <x:v>Bộ Xây dựng, CHK Việt Nam, Cảng vụ, ACV, địa phương</x:v>
      </x:c>
      <x:c r="V7" s="14" t="str">
        <x:v>Theo yêu cầu của cơ quan lập/thẩm định quy hoạch; rà soát tối thiểu hàng năm</x:v>
      </x:c>
      <x:c r="W7" s="14" t="str">
        <x:v>P1</x:v>
      </x:c>
      <x:c r="X7" s="14" t="str">
        <x:v>Cao</x:v>
      </x:c>
      <x:c r="Y7" s="14" t="str">
        <x:v>Chưa bắt đầu</x:v>
      </x:c>
      <x:c r="Z7" s="14" t="str">
        <x:v>VATM không phê duyệt quy hoạch nhưng chịu tác động trực tiếp về khai thác.</x:v>
      </x:c>
      <x:c r="AA7" s="14" t="str"/>
      <x:c r="AB7" s="14" t="str">
        <x:v>cang; san bay; cns; ais; met; sar</x:v>
      </x:c>
    </x:row>
    <x:row r="8">
      <x:c r="A8" s="14" t="str">
        <x:v>VATM-0007</x:v>
      </x:c>
      <x:c r="B8" s="14" t="str">
        <x:v>7</x:v>
      </x:c>
      <x:c r="C8" s="14" t="str">
        <x:v>Nghị định 205/2026/NĐ-CP</x:v>
      </x:c>
      <x:c r="D8" s="14" t="str">
        <x:v>Ra_soat_sau_ND205_VATM_ANSP_day_du.xlsx</x:v>
      </x:c>
      <x:c r="E8" s="14" t="str">
        <x:v>01_Nhiem_vu_chi_tiet</x:v>
      </x:c>
      <x:c r="F8" s="56" t="n">
        <x:v>8</x:v>
      </x:c>
      <x:c r="G8" s="14" t="str">
        <x:v>Điều 18</x:v>
      </x:c>
      <x:c r="H8" s="14" t="str">
        <x:v>Quản lý khai thác cảng/sân bay</x:v>
      </x:c>
      <x:c r="I8" s="14" t="str">
        <x:v>Quy hoạch, mặt bằng và phối hợp cảng</x:v>
      </x:c>
      <x:c r="J8" s="14" t="str">
        <x:v>Quy hoạch cảng hàng không</x:v>
      </x:c>
      <x:c r="K8" s="14" t="str">
        <x:v>Phối hợp/Gián tiếp</x:v>
      </x:c>
      <x:c r="L8" s="14" t="str">
        <x:v>Dữ liệu/số hóa</x:v>
      </x:c>
      <x:c r="M8" s="14" t="str">
        <x:v>ANSP</x:v>
      </x:c>
      <x:c r="N8" s="14" t="str">
        <x:v>Đối chiếu nội dung quy hoạch chi tiết với vị trí công trình bảo đảm hoạt động bay, hướng đường cất hạ cánh, khu bay, bề mặt giới hạn chướng ngại vật, bản đồ tiếng ồn.</x:v>
      </x:c>
      <x:c r="O8" s="14" t="str">
        <x:v>Cung cấp bản đồ, dữ liệu tọa độ, cao độ, vùng phủ, phương thức bay; tổ chức rà soát liên ngành; lưu ý bằng văn bản.</x:v>
      </x:c>
      <x:c r="P8" s="14" t="str">
        <x:v>Ý kiến rõ căn cứ kỹ thuật, phát hiện sớm xung đột ANS</x:v>
      </x:c>
      <x:c r="Q8" s="14" t="str">
        <x:v>Văn bản góp ý; bản đồ/số liệu; biên bản họp; danh mục kiến nghị</x:v>
      </x:c>
      <x:c r="R8" s="14" t="str">
        <x:v>Quy trình tham gia quy hoạch hàng không; quy trình quản lý dữ liệu địa hình/chướng ngại vật; Mẫu phiếu rà soát quy hoạch theo ANS; checklist CNS/ATM/AIS/MET/SAR</x:v>
      </x:c>
      <x:c r="S8" s="14" t="str">
        <x:v>Ban Kế hoạch - Đầu tư; Ban Không lưu; Ban Kỹ thuật - CNS/IT/Môi trường; Trung tâm Thông báo tin tức hàng không</x:v>
      </x:c>
      <x:c r="T8" s="14" t="str">
        <x:v>Các Công ty Quản lý bay khu vực Bắc/Trung/Nam; Ban Kế hoạch - Đầu tư; Ban Không lưu; Ban Kỹ thuật - CNS/IT/Môi trường</x:v>
      </x:c>
      <x:c r="U8" s="14" t="str">
        <x:v>Bộ Xây dựng, CHK Việt Nam, Cảng vụ, ACV, địa phương</x:v>
      </x:c>
      <x:c r="V8" s="14" t="str">
        <x:v>Theo yêu cầu của cơ quan lập/thẩm định quy hoạch; rà soát tối thiểu hàng năm</x:v>
      </x:c>
      <x:c r="W8" s="14" t="str">
        <x:v>P1</x:v>
      </x:c>
      <x:c r="X8" s="14" t="str">
        <x:v>Cao</x:v>
      </x:c>
      <x:c r="Y8" s="14" t="str">
        <x:v>Chưa bắt đầu</x:v>
      </x:c>
      <x:c r="Z8" s="14" t="str">
        <x:v>VATM không phê duyệt quy hoạch nhưng chịu tác động trực tiếp về khai thác.</x:v>
      </x:c>
      <x:c r="AA8" s="14" t="str"/>
      <x:c r="AB8" s="14" t="str">
        <x:v>cang; san bay; cns</x:v>
      </x:c>
    </x:row>
    <x:row r="9">
      <x:c r="A9" s="14" t="str">
        <x:v>VATM-0008</x:v>
      </x:c>
      <x:c r="B9" s="14" t="str">
        <x:v>8</x:v>
      </x:c>
      <x:c r="C9" s="14" t="str">
        <x:v>Nghị định 205/2026/NĐ-CP</x:v>
      </x:c>
      <x:c r="D9" s="14" t="str">
        <x:v>Ra_soat_sau_ND205_VATM_ANSP_day_du.xlsx</x:v>
      </x:c>
      <x:c r="E9" s="14" t="str">
        <x:v>01_Nhiem_vu_chi_tiet</x:v>
      </x:c>
      <x:c r="F9" s="56" t="n">
        <x:v>9</x:v>
      </x:c>
      <x:c r="G9" s="14" t="str">
        <x:v>Điều 19-25</x:v>
      </x:c>
      <x:c r="H9" s="14" t="str">
        <x:v>Quản lý khai thác cảng/sân bay</x:v>
      </x:c>
      <x:c r="I9" s="14" t="str">
        <x:v>Quy hoạch, mặt bằng và phối hợp cảng</x:v>
      </x:c>
      <x:c r="J9" s="14" t="str">
        <x:v>Quy hoạch cảng hàng không</x:v>
      </x:c>
      <x:c r="K9" s="14" t="str">
        <x:v>Phối hợp/Gián tiếp</x:v>
      </x:c>
      <x:c r="L9" s="14" t="str">
        <x:v>Dữ liệu/số hóa</x:v>
      </x:c>
      <x:c r="M9" s="14" t="str">
        <x:v>ANSP</x:v>
      </x:c>
      <x:c r="N9" s="14" t="str">
        <x:v>Tham gia ý kiến/thẩm định quy hoạch chi tiết nếu được mời; rà soát hồ sơ sau thẩm định để bảo đảm không ảnh hưởng công trình ANS.</x:v>
      </x:c>
      <x:c r="O9" s="14" t="str">
        <x:v>Cung cấp bản đồ, dữ liệu tọa độ, cao độ, vùng phủ, phương thức bay; tổ chức rà soát liên ngành; lưu ý bằng văn bản.</x:v>
      </x:c>
      <x:c r="P9" s="14" t="str">
        <x:v>Ý kiến rõ căn cứ kỹ thuật, phát hiện sớm xung đột ANS</x:v>
      </x:c>
      <x:c r="Q9" s="14" t="str">
        <x:v>Văn bản góp ý; bản đồ/số liệu; biên bản họp; danh mục kiến nghị</x:v>
      </x:c>
      <x:c r="R9" s="14" t="str">
        <x:v>Quy trình tham gia quy hoạch hàng không; quy trình quản lý dữ liệu địa hình/chướng ngại vật; Mẫu phiếu rà soát quy hoạch theo ANS; checklist CNS/ATM/AIS/MET/SAR</x:v>
      </x:c>
      <x:c r="S9" s="14" t="str">
        <x:v>Ban Kế hoạch - Đầu tư; Ban Không lưu; Ban Kỹ thuật - CNS/IT/Môi trường; Trung tâm Thông báo tin tức hàng không</x:v>
      </x:c>
      <x:c r="T9" s="14" t="str">
        <x:v>Các Công ty Quản lý bay khu vực Bắc/Trung/Nam; Ban Kế hoạch - Đầu tư; Ban Không lưu; Ban Kỹ thuật - CNS/IT/Môi trường</x:v>
      </x:c>
      <x:c r="U9" s="14" t="str">
        <x:v>Bộ Xây dựng, CHK Việt Nam, Cảng vụ, ACV, địa phương</x:v>
      </x:c>
      <x:c r="V9" s="14" t="str">
        <x:v>Theo yêu cầu của cơ quan lập/thẩm định quy hoạch; rà soát tối thiểu hàng năm</x:v>
      </x:c>
      <x:c r="W9" s="14" t="str">
        <x:v>P1</x:v>
      </x:c>
      <x:c r="X9" s="14" t="str">
        <x:v>Cao</x:v>
      </x:c>
      <x:c r="Y9" s="14" t="str">
        <x:v>Chưa bắt đầu</x:v>
      </x:c>
      <x:c r="Z9" s="14" t="str">
        <x:v>VATM không phê duyệt quy hoạch nhưng chịu tác động trực tiếp về khai thác.</x:v>
      </x:c>
      <x:c r="AA9" s="14" t="str"/>
      <x:c r="AB9" s="14" t="str">
        <x:v>cang; san bay; ans; cns</x:v>
      </x:c>
    </x:row>
    <x:row r="10">
      <x:c r="A10" s="14" t="str">
        <x:v>VATM-0009</x:v>
      </x:c>
      <x:c r="B10" s="14" t="str">
        <x:v>9</x:v>
      </x:c>
      <x:c r="C10" s="14" t="str">
        <x:v>Nghị định 205/2026/NĐ-CP</x:v>
      </x:c>
      <x:c r="D10" s="14" t="str">
        <x:v>Ra_soat_sau_ND205_VATM_ANSP_day_du.xlsx</x:v>
      </x:c>
      <x:c r="E10" s="14" t="str">
        <x:v>01_Nhiem_vu_chi_tiet</x:v>
      </x:c>
      <x:c r="F10" s="56" t="n">
        <x:v>10</x:v>
      </x:c>
      <x:c r="G10" s="14" t="str">
        <x:v>Điều 26</x:v>
      </x:c>
      <x:c r="H10" s="14" t="str">
        <x:v>Quản lý khai thác cảng/sân bay</x:v>
      </x:c>
      <x:c r="I10" s="14" t="str">
        <x:v>Quy hoạch, mặt bằng và phối hợp cảng</x:v>
      </x:c>
      <x:c r="J10" s="14" t="str">
        <x:v>Quy hoạch cảng hàng không</x:v>
      </x:c>
      <x:c r="K10" s="14" t="str">
        <x:v>Phối hợp/Gián tiếp</x:v>
      </x:c>
      <x:c r="L10" s="14" t="str">
        <x:v>Dữ liệu/số hóa</x:v>
      </x:c>
      <x:c r="M10" s="14" t="str">
        <x:v>ANSP</x:v>
      </x:c>
      <x:c r="N10" s="14" t="str">
        <x:v>Phối hợp công bố, cắm mốc, bảo vệ ranh giới quy hoạch liên quan công trình ANS, hành lang kỹ thuật, bề mặt giới hạn chướng ngại vật.</x:v>
      </x:c>
      <x:c r="O10" s="14" t="str">
        <x:v>Cung cấp bản đồ, dữ liệu tọa độ, cao độ, vùng phủ, phương thức bay; tổ chức rà soát liên ngành; lưu ý bằng văn bản.</x:v>
      </x:c>
      <x:c r="P10" s="14" t="str">
        <x:v>Ý kiến rõ căn cứ kỹ thuật, phát hiện sớm xung đột ANS</x:v>
      </x:c>
      <x:c r="Q10" s="14" t="str">
        <x:v>Văn bản góp ý; bản đồ/số liệu; biên bản họp; danh mục kiến nghị</x:v>
      </x:c>
      <x:c r="R10" s="14" t="str">
        <x:v>Quy trình tham gia quy hoạch hàng không; quy trình quản lý dữ liệu địa hình/chướng ngại vật; Mẫu phiếu rà soát quy hoạch theo ANS; checklist CNS/ATM/AIS/MET/SAR</x:v>
      </x:c>
      <x:c r="S10" s="14" t="str">
        <x:v>Ban Kế hoạch - Đầu tư; Ban Không lưu; Ban Kỹ thuật - CNS/IT/Môi trường; Trung tâm Thông báo tin tức hàng không</x:v>
      </x:c>
      <x:c r="T10" s="14" t="str">
        <x:v>Các Công ty Quản lý bay khu vực Bắc/Trung/Nam; Ban Kế hoạch - Đầu tư; Ban Không lưu; Ban Kỹ thuật - CNS/IT/Môi trường</x:v>
      </x:c>
      <x:c r="U10" s="14" t="str">
        <x:v>Bộ Xây dựng, CHK Việt Nam, Cảng vụ, ACV, địa phương</x:v>
      </x:c>
      <x:c r="V10" s="14" t="str">
        <x:v>Theo yêu cầu của cơ quan lập/thẩm định quy hoạch; rà soát tối thiểu hàng năm</x:v>
      </x:c>
      <x:c r="W10" s="14" t="str">
        <x:v>P1</x:v>
      </x:c>
      <x:c r="X10" s="14" t="str">
        <x:v>Cao</x:v>
      </x:c>
      <x:c r="Y10" s="14" t="str">
        <x:v>Chưa bắt đầu</x:v>
      </x:c>
      <x:c r="Z10" s="14" t="str">
        <x:v>VATM không phê duyệt quy hoạch nhưng chịu tác động trực tiếp về khai thác.</x:v>
      </x:c>
      <x:c r="AA10" s="14" t="str"/>
      <x:c r="AB10" s="14" t="str">
        <x:v>cang; san bay; ans; cns</x:v>
      </x:c>
    </x:row>
    <x:row r="11">
      <x:c r="A11" s="14" t="str">
        <x:v>VATM-0010</x:v>
      </x:c>
      <x:c r="B11" s="14" t="str">
        <x:v>10</x:v>
      </x:c>
      <x:c r="C11" s="14" t="str">
        <x:v>Nghị định 205/2026/NĐ-CP</x:v>
      </x:c>
      <x:c r="D11" s="14" t="str">
        <x:v>Ra_soat_sau_ND205_VATM_ANSP_day_du.xlsx</x:v>
      </x:c>
      <x:c r="E11" s="14" t="str">
        <x:v>01_Nhiem_vu_chi_tiet</x:v>
      </x:c>
      <x:c r="F11" s="56" t="n">
        <x:v>11</x:v>
      </x:c>
      <x:c r="G11" s="14" t="str">
        <x:v>Điều 27-29</x:v>
      </x:c>
      <x:c r="H11" s="14" t="str">
        <x:v>Quản lý khai thác cảng/sân bay</x:v>
      </x:c>
      <x:c r="I11" s="14" t="str">
        <x:v>Quy hoạch, mặt bằng và phối hợp cảng</x:v>
      </x:c>
      <x:c r="J11" s="14" t="str">
        <x:v>Quy hoạch cảng hàng không</x:v>
      </x:c>
      <x:c r="K11" s="14" t="str">
        <x:v>Phối hợp/Gián tiếp</x:v>
      </x:c>
      <x:c r="L11" s="14" t="str">
        <x:v>Dữ liệu/số hóa</x:v>
      </x:c>
      <x:c r="M11" s="14" t="str">
        <x:v>ANSP</x:v>
      </x:c>
      <x:c r="N11" s="14" t="str">
        <x:v>Theo dõi rà soát, đánh giá, điều chỉnh quy hoạch; đề xuất điều chỉnh khi quy hoạch ảnh hưởng an toàn hoạt động bay, năng lực ANS hoặc công trình kỹ thuật.</x:v>
      </x:c>
      <x:c r="O11" s="14" t="str">
        <x:v>Cung cấp bản đồ, dữ liệu tọa độ, cao độ, vùng phủ, phương thức bay; tổ chức rà soát liên ngành; lưu ý bằng văn bản.</x:v>
      </x:c>
      <x:c r="P11" s="14" t="str">
        <x:v>Ý kiến rõ căn cứ kỹ thuật, phát hiện sớm xung đột ANS</x:v>
      </x:c>
      <x:c r="Q11" s="14" t="str">
        <x:v>Văn bản góp ý; bản đồ/số liệu; biên bản họp; danh mục kiến nghị</x:v>
      </x:c>
      <x:c r="R11" s="14" t="str">
        <x:v>Quy trình tham gia quy hoạch hàng không; quy trình quản lý dữ liệu địa hình/chướng ngại vật; Mẫu phiếu rà soát quy hoạch theo ANS; checklist CNS/ATM/AIS/MET/SAR</x:v>
      </x:c>
      <x:c r="S11" s="14" t="str">
        <x:v>Ban Kế hoạch - Đầu tư; Ban Không lưu; Ban Kỹ thuật - CNS/IT/Môi trường; Trung tâm Thông báo tin tức hàng không</x:v>
      </x:c>
      <x:c r="T11" s="14" t="str">
        <x:v>Các Công ty Quản lý bay khu vực Bắc/Trung/Nam; Ban Kế hoạch - Đầu tư; Ban Không lưu; Ban Kỹ thuật - CNS/IT/Môi trường</x:v>
      </x:c>
      <x:c r="U11" s="14" t="str">
        <x:v>Bộ Xây dựng, CHK Việt Nam, Cảng vụ, ACV, địa phương</x:v>
      </x:c>
      <x:c r="V11" s="14" t="str">
        <x:v>Theo yêu cầu của cơ quan lập/thẩm định quy hoạch; rà soát tối thiểu hàng năm</x:v>
      </x:c>
      <x:c r="W11" s="14" t="str">
        <x:v>P1</x:v>
      </x:c>
      <x:c r="X11" s="14" t="str">
        <x:v>Cao</x:v>
      </x:c>
      <x:c r="Y11" s="14" t="str">
        <x:v>Chưa bắt đầu</x:v>
      </x:c>
      <x:c r="Z11" s="14" t="str">
        <x:v>VATM không phê duyệt quy hoạch nhưng chịu tác động trực tiếp về khai thác.</x:v>
      </x:c>
      <x:c r="AA11" s="14" t="str"/>
      <x:c r="AB11" s="14" t="str">
        <x:v>cang; san bay; ans; an toan; cns</x:v>
      </x:c>
    </x:row>
    <x:row r="12">
      <x:c r="A12" s="14" t="str">
        <x:v>VATM-0011</x:v>
      </x:c>
      <x:c r="B12" s="14" t="str">
        <x:v>11</x:v>
      </x:c>
      <x:c r="C12" s="14" t="str">
        <x:v>Nghị định 205/2026/NĐ-CP</x:v>
      </x:c>
      <x:c r="D12" s="14" t="str">
        <x:v>Ra_soat_sau_ND205_VATM_ANSP_day_du.xlsx</x:v>
      </x:c>
      <x:c r="E12" s="14" t="str">
        <x:v>01_Nhiem_vu_chi_tiet</x:v>
      </x:c>
      <x:c r="F12" s="56" t="n">
        <x:v>12</x:v>
      </x:c>
      <x:c r="G12" s="14" t="str">
        <x:v>Điều 30-34</x:v>
      </x:c>
      <x:c r="H12" s="14" t="str">
        <x:v>Quản lý khai thác cảng/sân bay</x:v>
      </x:c>
      <x:c r="I12" s="14" t="str">
        <x:v>Công trình, chướng ngại và thi công</x:v>
      </x:c>
      <x:c r="J12" s="14" t="str">
        <x:v>Vị trí, thiết kế sân bay chuyên dùng/bãi cất hạ cánh</x:v>
      </x:c>
      <x:c r="K12" s="14" t="str">
        <x:v>Trực tiếp</x:v>
      </x:c>
      <x:c r="L12" s="14" t="str">
        <x:v>Báo cáo/điều tra/khắc phục</x:v>
      </x:c>
      <x:c r="M12" s="14" t="str">
        <x:v>ANSP</x:v>
      </x:c>
      <x:c r="N12" s="14" t="str">
        <x:v>Cho ý kiến chuyên ngành khi vị trí/thiết kế sân bay chuyên dùng, bãi cất hạ cánh có khả năng ảnh hưởng vùng trời, phương thức bay, chướng ngại vật, tần số, CNS, SAR.</x:v>
      </x:c>
      <x:c r="O12" s="14" t="str">
        <x:v>Tổ chức đánh giá kỹ thuật, đánh giá an toàn, rà soát tĩnh không/CNS/phương thức bay; ban hành ý kiến chính thức.</x:v>
      </x:c>
      <x:c r="P12" s="14" t="str">
        <x:v>Không để dự án gây ảnh hưởng bất lợi tới an toàn bay và năng lực ANS</x:v>
      </x:c>
      <x:c r="Q12" s="14" t="str">
        <x:v>Báo cáo đánh giá tác động; văn bản ý kiến VATM; bản vẽ, tọa độ, cao độ; biên bản phối hợp</x:v>
      </x:c>
      <x:c r="R12" s="14" t="str">
        <x:v>Quy trình đánh giá ảnh hưởng công trình đến ANS; quy trình tham gia dự án đầu tư tại cảng; Mẫu báo cáo đánh giá tác động ANS; checklist tĩnh không-CNS-phương thức bay</x:v>
      </x:c>
      <x:c r="S12" s="14" t="str">
        <x:v>Ban Kế hoạch - Đầu tư; Ban Không lưu; Ban Kỹ thuật - CNS/IT/Môi trường; Văn phòng - Pháp chế</x:v>
      </x:c>
      <x:c r="T12" s="14" t="str">
        <x:v>Các Công ty Quản lý bay khu vực Bắc/Trung/Nam; Ban Kế hoạch - Đầu tư; Ban Không lưu; Ban Kỹ thuật - CNS/IT/Môi trường</x:v>
      </x:c>
      <x:c r="U12" s="14" t="str">
        <x:v>Bộ Xây dựng, Bộ Quốc phòng, Bộ Công an, CHK Việt Nam, địa phương, chủ đầu tư</x:v>
      </x:c>
      <x:c r="V12" s="14" t="str">
        <x:v>Theo từng dự án/hồ sơ</x:v>
      </x:c>
      <x:c r="W12" s="14" t="str">
        <x:v>P1</x:v>
      </x:c>
      <x:c r="X12" s="14" t="str">
        <x:v>Cao</x:v>
      </x:c>
      <x:c r="Y12" s="14" t="str">
        <x:v>Chưa bắt đầu</x:v>
      </x:c>
      <x:c r="Z12" s="14" t="str">
        <x:v>Các nhiệm vụ có thể phát sinh dù điều khoản không gọi tên VATM.</x:v>
      </x:c>
      <x:c r="AA12" s="14" t="str"/>
      <x:c r="AB12" s="14" t="str">
        <x:v>cang; san bay; cns; sar; phap che</x:v>
      </x:c>
    </x:row>
    <x:row r="13">
      <x:c r="A13" s="14" t="str">
        <x:v>VATM-0012</x:v>
      </x:c>
      <x:c r="B13" s="14" t="str">
        <x:v>12</x:v>
      </x:c>
      <x:c r="C13" s="14" t="str">
        <x:v>Nghị định 205/2026/NĐ-CP</x:v>
      </x:c>
      <x:c r="D13" s="14" t="str">
        <x:v>Ra_soat_sau_ND205_VATM_ANSP_day_du.xlsx</x:v>
      </x:c>
      <x:c r="E13" s="14" t="str">
        <x:v>01_Nhiem_vu_chi_tiet</x:v>
      </x:c>
      <x:c r="F13" s="56" t="n">
        <x:v>13</x:v>
      </x:c>
      <x:c r="G13" s="14" t="str">
        <x:v>Điều 35-36</x:v>
      </x:c>
      <x:c r="H13" s="14" t="str">
        <x:v>Quản lý khai thác cảng/sân bay</x:v>
      </x:c>
      <x:c r="I13" s="14" t="str">
        <x:v>Công trình, chướng ngại và thi công</x:v>
      </x:c>
      <x:c r="J13" s="14" t="str">
        <x:v>Đầu tư cảng hàng không mới</x:v>
      </x:c>
      <x:c r="K13" s="14" t="str">
        <x:v>Trực tiếp</x:v>
      </x:c>
      <x:c r="L13" s="14" t="str">
        <x:v>Báo cáo/điều tra/khắc phục</x:v>
      </x:c>
      <x:c r="M13" s="14" t="str">
        <x:v>ANSP</x:v>
      </x:c>
      <x:c r="N13" s="14" t="str">
        <x:v>Theo dõi đầu tư xây dựng cảng hàng không mới; đề xuất yêu cầu ANS ngay giai đoạn chủ trương để tránh thiếu công trình bảo đảm hoạt động bay.</x:v>
      </x:c>
      <x:c r="O13" s="14" t="str">
        <x:v>Tổ chức đánh giá kỹ thuật, đánh giá an toàn, rà soát tĩnh không/CNS/phương thức bay; ban hành ý kiến chính thức.</x:v>
      </x:c>
      <x:c r="P13" s="14" t="str">
        <x:v>Không để dự án gây ảnh hưởng bất lợi tới an toàn bay và năng lực ANS</x:v>
      </x:c>
      <x:c r="Q13" s="14" t="str">
        <x:v>Báo cáo đánh giá tác động; văn bản ý kiến VATM; bản vẽ, tọa độ, cao độ; biên bản phối hợp</x:v>
      </x:c>
      <x:c r="R13" s="14" t="str">
        <x:v>Quy trình đánh giá ảnh hưởng công trình đến ANS; quy trình tham gia dự án đầu tư tại cảng; Mẫu báo cáo đánh giá tác động ANS; checklist tĩnh không-CNS-phương thức bay</x:v>
      </x:c>
      <x:c r="S13" s="14" t="str">
        <x:v>Ban Kế hoạch - Đầu tư; Ban Không lưu; Ban Kỹ thuật - CNS/IT/Môi trường; Văn phòng - Pháp chế</x:v>
      </x:c>
      <x:c r="T13" s="14" t="str">
        <x:v>Các Công ty Quản lý bay khu vực Bắc/Trung/Nam; Ban Kế hoạch - Đầu tư; Ban Không lưu; Ban Kỹ thuật - CNS/IT/Môi trường</x:v>
      </x:c>
      <x:c r="U13" s="14" t="str">
        <x:v>Bộ Xây dựng, Bộ Quốc phòng, Bộ Công an, CHK Việt Nam, địa phương, chủ đầu tư</x:v>
      </x:c>
      <x:c r="V13" s="14" t="str">
        <x:v>Theo từng dự án/hồ sơ</x:v>
      </x:c>
      <x:c r="W13" s="14" t="str">
        <x:v>P1</x:v>
      </x:c>
      <x:c r="X13" s="14" t="str">
        <x:v>Cao</x:v>
      </x:c>
      <x:c r="Y13" s="14" t="str">
        <x:v>Chưa bắt đầu</x:v>
      </x:c>
      <x:c r="Z13" s="14" t="str">
        <x:v>Các nhiệm vụ có thể phát sinh dù điều khoản không gọi tên VATM.</x:v>
      </x:c>
      <x:c r="AA13" s="14" t="str"/>
      <x:c r="AB13" s="14" t="str">
        <x:v>cang; san bay; ans; cns; phap che</x:v>
      </x:c>
    </x:row>
    <x:row r="14">
      <x:c r="A14" s="14" t="str">
        <x:v>VATM-0013</x:v>
      </x:c>
      <x:c r="B14" s="14" t="str">
        <x:v>13</x:v>
      </x:c>
      <x:c r="C14" s="14" t="str">
        <x:v>Nghị định 205/2026/NĐ-CP</x:v>
      </x:c>
      <x:c r="D14" s="14" t="str">
        <x:v>Ra_soat_sau_ND205_VATM_ANSP_day_du.xlsx</x:v>
      </x:c>
      <x:c r="E14" s="14" t="str">
        <x:v>01_Nhiem_vu_chi_tiet</x:v>
      </x:c>
      <x:c r="F14" s="56" t="n">
        <x:v>14</x:v>
      </x:c>
      <x:c r="G14" s="14" t="str">
        <x:v>Điều 37-39</x:v>
      </x:c>
      <x:c r="H14" s="14" t="str">
        <x:v>Quản lý khai thác cảng/sân bay</x:v>
      </x:c>
      <x:c r="I14" s="14" t="str">
        <x:v>Công trình, chướng ngại và thi công</x:v>
      </x:c>
      <x:c r="J14" s="14" t="str">
        <x:v>Cải tạo/nâng cấp/mở rộng cảng hiện hữu</x:v>
      </x:c>
      <x:c r="K14" s="14" t="str">
        <x:v>Trực tiếp</x:v>
      </x:c>
      <x:c r="L14" s="14" t="str">
        <x:v>Báo cáo/điều tra/khắc phục</x:v>
      </x:c>
      <x:c r="M14" s="14" t="str">
        <x:v>ANSP</x:v>
      </x:c>
      <x:c r="N14" s="14" t="str">
        <x:v>Tham gia rà soát kế hoạch đầu tư cải tạo, nâng cấp, mở rộng cảng hiện hữu; đánh giá tác động đến khai thác bay và công trình ANS.</x:v>
      </x:c>
      <x:c r="O14" s="14" t="str">
        <x:v>Tổ chức đánh giá kỹ thuật, đánh giá an toàn, rà soát tĩnh không/CNS/phương thức bay; ban hành ý kiến chính thức.</x:v>
      </x:c>
      <x:c r="P14" s="14" t="str">
        <x:v>Không để dự án gây ảnh hưởng bất lợi tới an toàn bay và năng lực ANS</x:v>
      </x:c>
      <x:c r="Q14" s="14" t="str">
        <x:v>Báo cáo đánh giá tác động; văn bản ý kiến VATM; bản vẽ, tọa độ, cao độ; biên bản phối hợp</x:v>
      </x:c>
      <x:c r="R14" s="14" t="str">
        <x:v>Quy trình đánh giá ảnh hưởng công trình đến ANS; quy trình tham gia dự án đầu tư tại cảng; Mẫu báo cáo đánh giá tác động ANS; checklist tĩnh không-CNS-phương thức bay</x:v>
      </x:c>
      <x:c r="S14" s="14" t="str">
        <x:v>Ban Kế hoạch - Đầu tư; Ban Không lưu; Ban Kỹ thuật - CNS/IT/Môi trường; Văn phòng - Pháp chế</x:v>
      </x:c>
      <x:c r="T14" s="14" t="str">
        <x:v>Các Công ty Quản lý bay khu vực Bắc/Trung/Nam; Ban Kế hoạch - Đầu tư; Ban Không lưu; Ban Kỹ thuật - CNS/IT/Môi trường</x:v>
      </x:c>
      <x:c r="U14" s="14" t="str">
        <x:v>Bộ Xây dựng, Bộ Quốc phòng, Bộ Công an, CHK Việt Nam, địa phương, chủ đầu tư</x:v>
      </x:c>
      <x:c r="V14" s="14" t="str">
        <x:v>Theo từng dự án/hồ sơ</x:v>
      </x:c>
      <x:c r="W14" s="14" t="str">
        <x:v>P1</x:v>
      </x:c>
      <x:c r="X14" s="14" t="str">
        <x:v>Cao</x:v>
      </x:c>
      <x:c r="Y14" s="14" t="str">
        <x:v>Chưa bắt đầu</x:v>
      </x:c>
      <x:c r="Z14" s="14" t="str">
        <x:v>Các nhiệm vụ có thể phát sinh dù điều khoản không gọi tên VATM.</x:v>
      </x:c>
      <x:c r="AA14" s="14" t="str"/>
      <x:c r="AB14" s="14" t="str">
        <x:v>cang; san bay; ans; cns; phap che</x:v>
      </x:c>
    </x:row>
    <x:row r="15">
      <x:c r="A15" s="14" t="str">
        <x:v>VATM-0014</x:v>
      </x:c>
      <x:c r="B15" s="14" t="str">
        <x:v>14</x:v>
      </x:c>
      <x:c r="C15" s="14" t="str">
        <x:v>Nghị định 205/2026/NĐ-CP</x:v>
      </x:c>
      <x:c r="D15" s="14" t="str">
        <x:v>Ra_soat_sau_ND205_VATM_ANSP_day_du.xlsx</x:v>
      </x:c>
      <x:c r="E15" s="14" t="str">
        <x:v>01_Nhiem_vu_chi_tiet</x:v>
      </x:c>
      <x:c r="F15" s="56" t="n">
        <x:v>15</x:v>
      </x:c>
      <x:c r="G15" s="14" t="str">
        <x:v>Điều 40</x:v>
      </x:c>
      <x:c r="H15" s="14" t="str">
        <x:v>Quản lý khai thác cảng/sân bay</x:v>
      </x:c>
      <x:c r="I15" s="14" t="str">
        <x:v>Công trình, chướng ngại và thi công</x:v>
      </x:c>
      <x:c r="J15" s="14" t="str">
        <x:v>Xử lý công trình ảnh hưởng an toàn khai thác</x:v>
      </x:c>
      <x:c r="K15" s="14" t="str">
        <x:v>Trực tiếp</x:v>
      </x:c>
      <x:c r="L15" s="14" t="str">
        <x:v>Báo cáo/điều tra/khắc phục</x:v>
      </x:c>
      <x:c r="M15" s="14" t="str">
        <x:v>ANSP</x:v>
      </x:c>
      <x:c r="N15" s="14" t="str">
        <x:v>Đánh giá an toàn hoạt động bay khi công trình ảnh hưởng an toàn khai thác bị phá dỡ, di dời hoặc điều chuyển.</x:v>
      </x:c>
      <x:c r="O15" s="14" t="str">
        <x:v>Tổ chức đánh giá kỹ thuật, đánh giá an toàn, rà soát tĩnh không/CNS/phương thức bay; ban hành ý kiến chính thức.</x:v>
      </x:c>
      <x:c r="P15" s="14" t="str">
        <x:v>Không để dự án gây ảnh hưởng bất lợi tới an toàn bay và năng lực ANS</x:v>
      </x:c>
      <x:c r="Q15" s="14" t="str">
        <x:v>Báo cáo đánh giá tác động; văn bản ý kiến VATM; bản vẽ, tọa độ, cao độ; biên bản phối hợp</x:v>
      </x:c>
      <x:c r="R15" s="14" t="str">
        <x:v>Quy trình đánh giá ảnh hưởng công trình đến ANS; quy trình tham gia dự án đầu tư tại cảng; Mẫu báo cáo đánh giá tác động ANS; checklist tĩnh không-CNS-phương thức bay</x:v>
      </x:c>
      <x:c r="S15" s="14" t="str">
        <x:v>Ban Kế hoạch - Đầu tư; Ban Không lưu; Ban Kỹ thuật - CNS/IT/Môi trường; Văn phòng - Pháp chế</x:v>
      </x:c>
      <x:c r="T15" s="14" t="str">
        <x:v>Các Công ty Quản lý bay khu vực Bắc/Trung/Nam; Ban Kế hoạch - Đầu tư; Ban Không lưu; Ban Kỹ thuật - CNS/IT/Môi trường</x:v>
      </x:c>
      <x:c r="U15" s="14" t="str">
        <x:v>Bộ Xây dựng, Bộ Quốc phòng, Bộ Công an, CHK Việt Nam, địa phương, chủ đầu tư</x:v>
      </x:c>
      <x:c r="V15" s="14" t="str">
        <x:v>Theo từng dự án/hồ sơ</x:v>
      </x:c>
      <x:c r="W15" s="14" t="str">
        <x:v>P1</x:v>
      </x:c>
      <x:c r="X15" s="14" t="str">
        <x:v>Cao</x:v>
      </x:c>
      <x:c r="Y15" s="14" t="str">
        <x:v>Chưa bắt đầu</x:v>
      </x:c>
      <x:c r="Z15" s="14" t="str">
        <x:v>Các nhiệm vụ có thể phát sinh dù điều khoản không gọi tên VATM.</x:v>
      </x:c>
      <x:c r="AA15" s="14" t="str"/>
      <x:c r="AB15" s="14" t="str">
        <x:v>cang; san bay; an toan; cns; phap che</x:v>
      </x:c>
    </x:row>
    <x:row r="16">
      <x:c r="A16" s="14" t="str">
        <x:v>VATM-0015</x:v>
      </x:c>
      <x:c r="B16" s="14" t="str">
        <x:v>15</x:v>
      </x:c>
      <x:c r="C16" s="14" t="str">
        <x:v>Nghị định 205/2026/NĐ-CP</x:v>
      </x:c>
      <x:c r="D16" s="14" t="str">
        <x:v>Ra_soat_sau_ND205_VATM_ANSP_day_du.xlsx</x:v>
      </x:c>
      <x:c r="E16" s="14" t="str">
        <x:v>01_Nhiem_vu_chi_tiet</x:v>
      </x:c>
      <x:c r="F16" s="56" t="n">
        <x:v>16</x:v>
      </x:c>
      <x:c r="G16" s="14" t="str">
        <x:v>Điều 41-42</x:v>
      </x:c>
      <x:c r="H16" s="14" t="str">
        <x:v>Quản lý khai thác cảng/sân bay</x:v>
      </x:c>
      <x:c r="I16" s="14" t="str">
        <x:v>Công trình, chướng ngại và thi công</x:v>
      </x:c>
      <x:c r="J16" s="14" t="str">
        <x:v>Công trình lưỡng dụng</x:v>
      </x:c>
      <x:c r="K16" s="14" t="str">
        <x:v>Trực tiếp</x:v>
      </x:c>
      <x:c r="L16" s="14" t="str">
        <x:v>Báo cáo/điều tra/khắc phục</x:v>
      </x:c>
      <x:c r="M16" s="14" t="str">
        <x:v>ANSP</x:v>
      </x:c>
      <x:c r="N16" s="14" t="str">
        <x:v>Cho ý kiến về khai thác công trình lưỡng dụng/công trình trên đất quốc phòng nếu ảnh hưởng đường bay, CNS, khu vực hạn chế, phối hợp quân-dân dụng.</x:v>
      </x:c>
      <x:c r="O16" s="14" t="str">
        <x:v>Tổ chức đánh giá kỹ thuật, đánh giá an toàn, rà soát tĩnh không/CNS/phương thức bay; ban hành ý kiến chính thức.</x:v>
      </x:c>
      <x:c r="P16" s="14" t="str">
        <x:v>Không để dự án gây ảnh hưởng bất lợi tới an toàn bay và năng lực ANS</x:v>
      </x:c>
      <x:c r="Q16" s="14" t="str">
        <x:v>Báo cáo đánh giá tác động; văn bản ý kiến VATM; bản vẽ, tọa độ, cao độ; biên bản phối hợp</x:v>
      </x:c>
      <x:c r="R16" s="14" t="str">
        <x:v>Quy trình đánh giá ảnh hưởng công trình đến ANS; quy trình tham gia dự án đầu tư tại cảng; Mẫu báo cáo đánh giá tác động ANS; checklist tĩnh không-CNS-phương thức bay</x:v>
      </x:c>
      <x:c r="S16" s="14" t="str">
        <x:v>Ban Kế hoạch - Đầu tư; Ban Không lưu; Ban Kỹ thuật - CNS/IT/Môi trường; Văn phòng - Pháp chế</x:v>
      </x:c>
      <x:c r="T16" s="14" t="str">
        <x:v>Các Công ty Quản lý bay khu vực Bắc/Trung/Nam; Ban Kế hoạch - Đầu tư; Ban Không lưu; Ban Kỹ thuật - CNS/IT/Môi trường</x:v>
      </x:c>
      <x:c r="U16" s="14" t="str">
        <x:v>Bộ Xây dựng, Bộ Quốc phòng, Bộ Công an, CHK Việt Nam, địa phương, chủ đầu tư</x:v>
      </x:c>
      <x:c r="V16" s="14" t="str">
        <x:v>Theo từng dự án/hồ sơ</x:v>
      </x:c>
      <x:c r="W16" s="14" t="str">
        <x:v>P1</x:v>
      </x:c>
      <x:c r="X16" s="14" t="str">
        <x:v>Cao</x:v>
      </x:c>
      <x:c r="Y16" s="14" t="str">
        <x:v>Chưa bắt đầu</x:v>
      </x:c>
      <x:c r="Z16" s="14" t="str">
        <x:v>Các nhiệm vụ có thể phát sinh dù điều khoản không gọi tên VATM.</x:v>
      </x:c>
      <x:c r="AA16" s="14" t="str"/>
      <x:c r="AB16" s="14" t="str">
        <x:v>cang; san bay; cns; phap che</x:v>
      </x:c>
    </x:row>
    <x:row r="17">
      <x:c r="A17" s="14" t="str">
        <x:v>VATM-0016</x:v>
      </x:c>
      <x:c r="B17" s="14" t="str">
        <x:v>16</x:v>
      </x:c>
      <x:c r="C17" s="14" t="str">
        <x:v>Nghị định 205/2026/NĐ-CP</x:v>
      </x:c>
      <x:c r="D17" s="14" t="str">
        <x:v>Ra_soat_sau_ND205_VATM_ANSP_day_du.xlsx</x:v>
      </x:c>
      <x:c r="E17" s="14" t="str">
        <x:v>01_Nhiem_vu_chi_tiet</x:v>
      </x:c>
      <x:c r="F17" s="56" t="n">
        <x:v>17</x:v>
      </x:c>
      <x:c r="G17" s="14" t="str">
        <x:v>Điều 43-44</x:v>
      </x:c>
      <x:c r="H17" s="14" t="str">
        <x:v>Quản lý khai thác cảng/sân bay</x:v>
      </x:c>
      <x:c r="I17" s="14" t="str">
        <x:v>Công trình, chướng ngại và thi công</x:v>
      </x:c>
      <x:c r="J17" s="14" t="str">
        <x:v>Cảng không chuyên dùng/bãi cất hạ cánh</x:v>
      </x:c>
      <x:c r="K17" s="14" t="str">
        <x:v>Trực tiếp</x:v>
      </x:c>
      <x:c r="L17" s="14" t="str">
        <x:v>Báo cáo/điều tra/khắc phục</x:v>
      </x:c>
      <x:c r="M17" s="14" t="str">
        <x:v>ANSP</x:v>
      </x:c>
      <x:c r="N17" s="14" t="str">
        <x:v>Theo dõi đầu tư xây dựng cảng không chuyên dùng, bãi cất hạ cánh; cảnh báo sớm nguy cơ xung đột vùng trời, tĩnh không và hoạt động bay dân dụng.</x:v>
      </x:c>
      <x:c r="O17" s="14" t="str">
        <x:v>Tổ chức đánh giá kỹ thuật, đánh giá an toàn, rà soát tĩnh không/CNS/phương thức bay; ban hành ý kiến chính thức.</x:v>
      </x:c>
      <x:c r="P17" s="14" t="str">
        <x:v>Không để dự án gây ảnh hưởng bất lợi tới an toàn bay và năng lực ANS</x:v>
      </x:c>
      <x:c r="Q17" s="14" t="str">
        <x:v>Báo cáo đánh giá tác động; văn bản ý kiến VATM; bản vẽ, tọa độ, cao độ; biên bản phối hợp</x:v>
      </x:c>
      <x:c r="R17" s="14" t="str">
        <x:v>Quy trình đánh giá ảnh hưởng công trình đến ANS; quy trình tham gia dự án đầu tư tại cảng; Mẫu báo cáo đánh giá tác động ANS; checklist tĩnh không-CNS-phương thức bay</x:v>
      </x:c>
      <x:c r="S17" s="14" t="str">
        <x:v>Ban Kế hoạch - Đầu tư; Ban Không lưu; Ban Kỹ thuật - CNS/IT/Môi trường; Văn phòng - Pháp chế</x:v>
      </x:c>
      <x:c r="T17" s="14" t="str">
        <x:v>Các Công ty Quản lý bay khu vực Bắc/Trung/Nam; Ban Kế hoạch - Đầu tư; Ban Không lưu; Ban Kỹ thuật - CNS/IT/Môi trường</x:v>
      </x:c>
      <x:c r="U17" s="14" t="str">
        <x:v>Bộ Xây dựng, Bộ Quốc phòng, Bộ Công an, CHK Việt Nam, địa phương, chủ đầu tư</x:v>
      </x:c>
      <x:c r="V17" s="14" t="str">
        <x:v>Theo từng dự án/hồ sơ</x:v>
      </x:c>
      <x:c r="W17" s="14" t="str">
        <x:v>P1</x:v>
      </x:c>
      <x:c r="X17" s="14" t="str">
        <x:v>Cao</x:v>
      </x:c>
      <x:c r="Y17" s="14" t="str">
        <x:v>Chưa bắt đầu</x:v>
      </x:c>
      <x:c r="Z17" s="14" t="str">
        <x:v>Các nhiệm vụ có thể phát sinh dù điều khoản không gọi tên VATM.</x:v>
      </x:c>
      <x:c r="AA17" s="14" t="str"/>
      <x:c r="AB17" s="14" t="str">
        <x:v>cang; san bay; cns; phap che</x:v>
      </x:c>
    </x:row>
    <x:row r="18">
      <x:c r="A18" s="14" t="str">
        <x:v>VATM-0017</x:v>
      </x:c>
      <x:c r="B18" s="14" t="str">
        <x:v>17</x:v>
      </x:c>
      <x:c r="C18" s="14" t="str">
        <x:v>Nghị định 205/2026/NĐ-CP</x:v>
      </x:c>
      <x:c r="D18" s="14" t="str">
        <x:v>Ra_soat_sau_ND205_VATM_ANSP_day_du.xlsx</x:v>
      </x:c>
      <x:c r="E18" s="14" t="str">
        <x:v>01_Nhiem_vu_chi_tiet</x:v>
      </x:c>
      <x:c r="F18" s="56" t="n">
        <x:v>18</x:v>
      </x:c>
      <x:c r="G18" s="14" t="str">
        <x:v>Điều 45</x:v>
      </x:c>
      <x:c r="H18" s="14" t="str">
        <x:v>Quản lý khai thác cảng/sân bay</x:v>
      </x:c>
      <x:c r="I18" s="14" t="str">
        <x:v>Công trình, chướng ngại và thi công</x:v>
      </x:c>
      <x:c r="J18" s="14" t="str">
        <x:v>Công trình trụ sở/công trình bảo đảm hoạt động bay</x:v>
      </x:c>
      <x:c r="K18" s="14" t="str">
        <x:v>Trực tiếp</x:v>
      </x:c>
      <x:c r="L18" s="14" t="str">
        <x:v>Báo cáo/điều tra/khắc phục</x:v>
      </x:c>
      <x:c r="M18" s="14" t="str">
        <x:v>ANSP</x:v>
      </x:c>
      <x:c r="N18" s="14" t="str">
        <x:v>Phối hợp tiếp nhận/chuyển giao công trình trụ sở cơ quan nhà nước/công trình bảo đảm hoạt động bay khi có liên quan đến VATM.</x:v>
      </x:c>
      <x:c r="O18" s="14" t="str">
        <x:v>Tổ chức đánh giá kỹ thuật, đánh giá an toàn, rà soát tĩnh không/CNS/phương thức bay; ban hành ý kiến chính thức.</x:v>
      </x:c>
      <x:c r="P18" s="14" t="str">
        <x:v>Không để dự án gây ảnh hưởng bất lợi tới an toàn bay và năng lực ANS</x:v>
      </x:c>
      <x:c r="Q18" s="14" t="str">
        <x:v>Báo cáo đánh giá tác động; văn bản ý kiến VATM; bản vẽ, tọa độ, cao độ; biên bản phối hợp</x:v>
      </x:c>
      <x:c r="R18" s="14" t="str">
        <x:v>Quy trình đánh giá ảnh hưởng công trình đến ANS; quy trình tham gia dự án đầu tư tại cảng; Mẫu báo cáo đánh giá tác động ANS; checklist tĩnh không-CNS-phương thức bay</x:v>
      </x:c>
      <x:c r="S18" s="14" t="str">
        <x:v>Ban Kế hoạch - Đầu tư; Ban Không lưu; Ban Kỹ thuật - CNS/IT/Môi trường; Văn phòng - Pháp chế</x:v>
      </x:c>
      <x:c r="T18" s="14" t="str">
        <x:v>Các Công ty Quản lý bay khu vực Bắc/Trung/Nam; Ban Kế hoạch - Đầu tư; Ban Không lưu; Ban Kỹ thuật - CNS/IT/Môi trường</x:v>
      </x:c>
      <x:c r="U18" s="14" t="str">
        <x:v>Bộ Xây dựng, Bộ Quốc phòng, Bộ Công an, CHK Việt Nam, địa phương, chủ đầu tư</x:v>
      </x:c>
      <x:c r="V18" s="14" t="str">
        <x:v>Theo từng dự án/hồ sơ</x:v>
      </x:c>
      <x:c r="W18" s="14" t="str">
        <x:v>P1</x:v>
      </x:c>
      <x:c r="X18" s="14" t="str">
        <x:v>Cao</x:v>
      </x:c>
      <x:c r="Y18" s="14" t="str">
        <x:v>Chưa bắt đầu</x:v>
      </x:c>
      <x:c r="Z18" s="14" t="str">
        <x:v>Các nhiệm vụ có thể phát sinh dù điều khoản không gọi tên VATM.</x:v>
      </x:c>
      <x:c r="AA18" s="14" t="str"/>
      <x:c r="AB18" s="14" t="str">
        <x:v>cang; san bay; atm; cns; phap che</x:v>
      </x:c>
    </x:row>
    <x:row r="19">
      <x:c r="A19" s="14" t="str">
        <x:v>VATM-0018</x:v>
      </x:c>
      <x:c r="B19" s="14" t="str">
        <x:v>18</x:v>
      </x:c>
      <x:c r="C19" s="14" t="str">
        <x:v>Nghị định 205/2026/NĐ-CP</x:v>
      </x:c>
      <x:c r="D19" s="14" t="str">
        <x:v>Ra_soat_sau_ND205_VATM_ANSP_day_du.xlsx</x:v>
      </x:c>
      <x:c r="E19" s="14" t="str">
        <x:v>01_Nhiem_vu_chi_tiet</x:v>
      </x:c>
      <x:c r="F19" s="56" t="n">
        <x:v>19</x:v>
      </x:c>
      <x:c r="G19" s="14" t="str">
        <x:v>Điều 46-49</x:v>
      </x:c>
      <x:c r="H19" s="14" t="str">
        <x:v>Tài chính - Kế hoạch đầu tư</x:v>
      </x:c>
      <x:c r="I19" s="14" t="str">
        <x:v>Phí, thanh toán, hợp đồng và billing</x:v>
      </x:c>
      <x:c r="J19" s="14" t="str">
        <x:v>Kinh doanh cảng hàng không</x:v>
      </x:c>
      <x:c r="K19" s="14" t="str">
        <x:v>Phối hợp/Gián tiếp</x:v>
      </x:c>
      <x:c r="L19" s="14" t="str">
        <x:v>Báo cáo/điều tra/khắc phục</x:v>
      </x:c>
      <x:c r="M19" s="14" t="str">
        <x:v>ANSP/doanh nghiệp hàng không</x:v>
      </x:c>
      <x:c r="N19" s="14" t="str">
        <x:v>Theo dõi điều kiện kinh doanh cảng hàng không vì ảnh hưởng nghĩa vụ phối hợp của người khai thác cảng với ANSP; kiểm tra hợp đồng/biên bản hiệp đồng với cảng.</x:v>
      </x:c>
      <x:c r="O19" s="14" t="str">
        <x:v>Ký/cập nhật quy chế phối hợp; rà soát phương án khai thác; yêu cầu NOTAM/AIP khi thay đổi ảnh hưởng hoạt động bay; giám sát hiện trường theo thẩm quyền phối hợp.</x:v>
      </x:c>
      <x:c r="P19" s="14" t="str">
        <x:v>Dịch vụ tại cảng không làm gián đoạn, cản trở hoặc gây nguy cơ cho ANS</x:v>
      </x:c>
      <x:c r="Q19" s="14" t="str">
        <x:v>Quy chế phối hợp; biên bản hiệp đồng; báo cáo sự kiện; văn bản cảnh báo; NOTAM/AIP nếu có</x:v>
      </x:c>
      <x:c r="R19" s="14" t="str">
        <x:v>Quy trình phối hợp với người khai thác cảng và doanh nghiệp dịch vụ tại cảng; Mẫu phiếu phát hiện nguy cơ từ hoạt động dịch vụ/quảng cáo tại cảng</x:v>
      </x:c>
      <x:c r="S19" s="14" t="str">
        <x:v>Ban Tài chính; Văn phòng - Pháp chế; Ban Không lưu; Ban Kỹ thuật - CNS/IT/Môi trường; Các Công ty Quản lý bay khu vực Bắc/Trung/Nam</x:v>
      </x:c>
      <x:c r="T19" s="14" t="str">
        <x:v>Ban Tài chính; Ban Kế hoạch - Đầu tư</x:v>
      </x:c>
      <x:c r="U19" s="14" t="str">
        <x:v>CHK Việt Nam, Cảng vụ, ACV, doanh nghiệp dịch vụ tại cảng, hãng bay</x:v>
      </x:c>
      <x:c r="V19" s="14" t="str">
        <x:v>Khi cấp phép, thay đổi, tạm dừng hoặc phát sinh sự kiện</x:v>
      </x:c>
      <x:c r="W19" s="14" t="str">
        <x:v>P1</x:v>
      </x:c>
      <x:c r="X19" s="14" t="str">
        <x:v>Trung bình/Cao</x:v>
      </x:c>
      <x:c r="Y19" s="14" t="str">
        <x:v>Chưa bắt đầu</x:v>
      </x:c>
      <x:c r="Z19" s="14" t="str">
        <x:v>Trọng tâm là phòng ngừa tác động gián tiếp tới hoạt động bay.</x:v>
      </x:c>
      <x:c r="AA19" s="14" t="str"/>
      <x:c r="AB19" s="14" t="str">
        <x:v>tai chinh; ans; cang; cns; phap che</x:v>
      </x:c>
    </x:row>
    <x:row r="20">
      <x:c r="A20" s="14" t="str">
        <x:v>VATM-0019</x:v>
      </x:c>
      <x:c r="B20" s="14" t="str">
        <x:v>19</x:v>
      </x:c>
      <x:c r="C20" s="14" t="str">
        <x:v>Nghị định 205/2026/NĐ-CP</x:v>
      </x:c>
      <x:c r="D20" s="14" t="str">
        <x:v>Ra_soat_sau_ND205_VATM_ANSP_day_du.xlsx</x:v>
      </x:c>
      <x:c r="E20" s="14" t="str">
        <x:v>01_Nhiem_vu_chi_tiet</x:v>
      </x:c>
      <x:c r="F20" s="56" t="n">
        <x:v>20</x:v>
      </x:c>
      <x:c r="G20" s="14" t="str">
        <x:v>Điều 50</x:v>
      </x:c>
      <x:c r="H20" s="14" t="str">
        <x:v>Tài chính - Kế hoạch đầu tư</x:v>
      </x:c>
      <x:c r="I20" s="14" t="str">
        <x:v>Phí, thanh toán, hợp đồng và billing</x:v>
      </x:c>
      <x:c r="J20" s="14" t="str">
        <x:v>Tạm dừng kinh doanh tại cảng</x:v>
      </x:c>
      <x:c r="K20" s="14" t="str">
        <x:v>Phối hợp/Gián tiếp</x:v>
      </x:c>
      <x:c r="L20" s="14" t="str">
        <x:v>Báo cáo/điều tra/khắc phục</x:v>
      </x:c>
      <x:c r="M20" s="14" t="str">
        <x:v>ANSP/doanh nghiệp hàng không</x:v>
      </x:c>
      <x:c r="N20" s="14" t="str">
        <x:v>Chuẩn bị phương án ANS khi doanh nghiệp cảng/khai thác cảng tạm dừng hoặc thay đổi năng lực khai thác; cập nhật phương án điều hành bay, AIS/NOTAM nếu cần.</x:v>
      </x:c>
      <x:c r="O20" s="14" t="str">
        <x:v>Ký/cập nhật quy chế phối hợp; rà soát phương án khai thác; yêu cầu NOTAM/AIP khi thay đổi ảnh hưởng hoạt động bay; giám sát hiện trường theo thẩm quyền phối hợp.</x:v>
      </x:c>
      <x:c r="P20" s="14" t="str">
        <x:v>Dịch vụ tại cảng không làm gián đoạn, cản trở hoặc gây nguy cơ cho ANS</x:v>
      </x:c>
      <x:c r="Q20" s="14" t="str">
        <x:v>Quy chế phối hợp; biên bản hiệp đồng; báo cáo sự kiện; văn bản cảnh báo; NOTAM/AIP nếu có</x:v>
      </x:c>
      <x:c r="R20" s="14" t="str">
        <x:v>Quy trình phối hợp với người khai thác cảng và doanh nghiệp dịch vụ tại cảng; Mẫu phiếu phát hiện nguy cơ từ hoạt động dịch vụ/quảng cáo tại cảng</x:v>
      </x:c>
      <x:c r="S20" s="14" t="str">
        <x:v>Ban Tài chính; Văn phòng - Pháp chế; Ban Không lưu; Ban Kỹ thuật - CNS/IT/Môi trường; Các Công ty Quản lý bay khu vực Bắc/Trung/Nam</x:v>
      </x:c>
      <x:c r="T20" s="14" t="str">
        <x:v>Ban Tài chính; Ban Kế hoạch - Đầu tư</x:v>
      </x:c>
      <x:c r="U20" s="14" t="str">
        <x:v>CHK Việt Nam, Cảng vụ, ACV, doanh nghiệp dịch vụ tại cảng, hãng bay</x:v>
      </x:c>
      <x:c r="V20" s="14" t="str">
        <x:v>Khi cấp phép, thay đổi, tạm dừng hoặc phát sinh sự kiện</x:v>
      </x:c>
      <x:c r="W20" s="14" t="str">
        <x:v>P1</x:v>
      </x:c>
      <x:c r="X20" s="14" t="str">
        <x:v>Trung bình/Cao</x:v>
      </x:c>
      <x:c r="Y20" s="14" t="str">
        <x:v>Chưa bắt đầu</x:v>
      </x:c>
      <x:c r="Z20" s="14" t="str">
        <x:v>Trọng tâm là phòng ngừa tác động gián tiếp tới hoạt động bay.</x:v>
      </x:c>
      <x:c r="AA20" s="14" t="str"/>
      <x:c r="AB20" s="14" t="str">
        <x:v>tai chinh; ans; ais; cang; cns; phap che</x:v>
      </x:c>
    </x:row>
    <x:row r="21">
      <x:c r="A21" s="14" t="str">
        <x:v>VATM-0020</x:v>
      </x:c>
      <x:c r="B21" s="14" t="str">
        <x:v>20</x:v>
      </x:c>
      <x:c r="C21" s="14" t="str">
        <x:v>Nghị định 205/2026/NĐ-CP</x:v>
      </x:c>
      <x:c r="D21" s="14" t="str">
        <x:v>Ra_soat_sau_ND205_VATM_ANSP_day_du.xlsx</x:v>
      </x:c>
      <x:c r="E21" s="14" t="str">
        <x:v>01_Nhiem_vu_chi_tiet</x:v>
      </x:c>
      <x:c r="F21" s="56" t="n">
        <x:v>21</x:v>
      </x:c>
      <x:c r="G21" s="14" t="str">
        <x:v>Điều 51-56</x:v>
      </x:c>
      <x:c r="H21" s="14" t="str">
        <x:v>Tài chính - Kế hoạch đầu tư</x:v>
      </x:c>
      <x:c r="I21" s="14" t="str">
        <x:v>Phí, thanh toán, hợp đồng và billing</x:v>
      </x:c>
      <x:c r="J21" s="14" t="str">
        <x:v>Kinh doanh dịch vụ hàng không tại cảng</x:v>
      </x:c>
      <x:c r="K21" s="14" t="str">
        <x:v>Phối hợp/Gián tiếp</x:v>
      </x:c>
      <x:c r="L21" s="14" t="str">
        <x:v>Báo cáo/điều tra/khắc phục</x:v>
      </x:c>
      <x:c r="M21" s="14" t="str">
        <x:v>ANSP/doanh nghiệp hàng không</x:v>
      </x:c>
      <x:c r="N21" s="14" t="str">
        <x:v>Phối hợp với các doanh nghiệp dịch vụ tại cảng khi hoạt động của họ tác động đến bảo đảm hoạt động bay, an toàn sân đỗ, luồng phương tiện, thông tin dữ liệu.</x:v>
      </x:c>
      <x:c r="O21" s="14" t="str">
        <x:v>Ký/cập nhật quy chế phối hợp; rà soát phương án khai thác; yêu cầu NOTAM/AIP khi thay đổi ảnh hưởng hoạt động bay; giám sát hiện trường theo thẩm quyền phối hợp.</x:v>
      </x:c>
      <x:c r="P21" s="14" t="str">
        <x:v>Dịch vụ tại cảng không làm gián đoạn, cản trở hoặc gây nguy cơ cho ANS</x:v>
      </x:c>
      <x:c r="Q21" s="14" t="str">
        <x:v>Quy chế phối hợp; biên bản hiệp đồng; báo cáo sự kiện; văn bản cảnh báo; NOTAM/AIP nếu có</x:v>
      </x:c>
      <x:c r="R21" s="14" t="str">
        <x:v>Quy trình phối hợp với người khai thác cảng và doanh nghiệp dịch vụ tại cảng; Mẫu phiếu phát hiện nguy cơ từ hoạt động dịch vụ/quảng cáo tại cảng</x:v>
      </x:c>
      <x:c r="S21" s="14" t="str">
        <x:v>Ban Tài chính; Văn phòng - Pháp chế; Ban Không lưu; Ban Kỹ thuật - CNS/IT/Môi trường; Các Công ty Quản lý bay khu vực Bắc/Trung/Nam</x:v>
      </x:c>
      <x:c r="T21" s="14" t="str">
        <x:v>Ban Tài chính; Ban Kế hoạch - Đầu tư</x:v>
      </x:c>
      <x:c r="U21" s="14" t="str">
        <x:v>CHK Việt Nam, Cảng vụ, ACV, doanh nghiệp dịch vụ tại cảng, hãng bay</x:v>
      </x:c>
      <x:c r="V21" s="14" t="str">
        <x:v>Khi cấp phép, thay đổi, tạm dừng hoặc phát sinh sự kiện</x:v>
      </x:c>
      <x:c r="W21" s="14" t="str">
        <x:v>P1</x:v>
      </x:c>
      <x:c r="X21" s="14" t="str">
        <x:v>Trung bình/Cao</x:v>
      </x:c>
      <x:c r="Y21" s="14" t="str">
        <x:v>Chưa bắt đầu</x:v>
      </x:c>
      <x:c r="Z21" s="14" t="str">
        <x:v>Trọng tâm là phòng ngừa tác động gián tiếp tới hoạt động bay.</x:v>
      </x:c>
      <x:c r="AA21" s="14" t="str"/>
      <x:c r="AB21" s="14" t="str">
        <x:v>tai chinh; an toan; cang; du lieu; cns; phap che</x:v>
      </x:c>
    </x:row>
    <x:row r="22">
      <x:c r="A22" s="14" t="str">
        <x:v>VATM-0021</x:v>
      </x:c>
      <x:c r="B22" s="14" t="str">
        <x:v>21</x:v>
      </x:c>
      <x:c r="C22" s="14" t="str">
        <x:v>Nghị định 205/2026/NĐ-CP</x:v>
      </x:c>
      <x:c r="D22" s="14" t="str">
        <x:v>Ra_soat_sau_ND205_VATM_ANSP_day_du.xlsx</x:v>
      </x:c>
      <x:c r="E22" s="14" t="str">
        <x:v>01_Nhiem_vu_chi_tiet</x:v>
      </x:c>
      <x:c r="F22" s="56" t="n">
        <x:v>22</x:v>
      </x:c>
      <x:c r="G22" s="14" t="str">
        <x:v>Điều 57</x:v>
      </x:c>
      <x:c r="H22" s="14" t="str">
        <x:v>Tài chính - Kế hoạch đầu tư</x:v>
      </x:c>
      <x:c r="I22" s="14" t="str">
        <x:v>Phí, thanh toán, hợp đồng và billing</x:v>
      </x:c>
      <x:c r="J22" s="14" t="str">
        <x:v>Thu giá dịch vụ vụ hành khách</x:v>
      </x:c>
      <x:c r="K22" s="14" t="str">
        <x:v>Phối hợp/Gián tiếp</x:v>
      </x:c>
      <x:c r="L22" s="14" t="str">
        <x:v>Báo cáo/điều tra/khắc phục</x:v>
      </x:c>
      <x:c r="M22" s="14" t="str">
        <x:v>ANSP/doanh nghiệp hàng không</x:v>
      </x:c>
      <x:c r="N22" s="14" t="str">
        <x:v>Không trực tiếp thu hộ hành khách; nhưng cần phối hợp cung cấp dữ liệu chuyến bay/khai thác nếu có yêu cầu liên ngành và bảo đảm không lẫn với phí/dịch vụ ANS.</x:v>
      </x:c>
      <x:c r="O22" s="14" t="str">
        <x:v>Ký/cập nhật quy chế phối hợp; rà soát phương án khai thác; yêu cầu NOTAM/AIP khi thay đổi ảnh hưởng hoạt động bay; giám sát hiện trường theo thẩm quyền phối hợp.</x:v>
      </x:c>
      <x:c r="P22" s="14" t="str">
        <x:v>Dịch vụ tại cảng không làm gián đoạn, cản trở hoặc gây nguy cơ cho ANS</x:v>
      </x:c>
      <x:c r="Q22" s="14" t="str">
        <x:v>Quy chế phối hợp; biên bản hiệp đồng; báo cáo sự kiện; văn bản cảnh báo; NOTAM/AIP nếu có</x:v>
      </x:c>
      <x:c r="R22" s="14" t="str">
        <x:v>Quy trình phối hợp với người khai thác cảng và doanh nghiệp dịch vụ tại cảng; Mẫu phiếu phát hiện nguy cơ từ hoạt động dịch vụ/quảng cáo tại cảng</x:v>
      </x:c>
      <x:c r="S22" s="14" t="str">
        <x:v>Ban Tài chính; Văn phòng - Pháp chế; Ban Không lưu; Ban Kỹ thuật - CNS/IT/Môi trường; Các Công ty Quản lý bay khu vực Bắc/Trung/Nam</x:v>
      </x:c>
      <x:c r="T22" s="14" t="str">
        <x:v>Ban Tài chính; Ban Kế hoạch - Đầu tư</x:v>
      </x:c>
      <x:c r="U22" s="14" t="str">
        <x:v>CHK Việt Nam, Cảng vụ, ACV, doanh nghiệp dịch vụ tại cảng, hãng bay</x:v>
      </x:c>
      <x:c r="V22" s="14" t="str">
        <x:v>Khi cấp phép, thay đổi, tạm dừng hoặc phát sinh sự kiện</x:v>
      </x:c>
      <x:c r="W22" s="14" t="str">
        <x:v>P1</x:v>
      </x:c>
      <x:c r="X22" s="14" t="str">
        <x:v>Trung bình/Cao</x:v>
      </x:c>
      <x:c r="Y22" s="14" t="str">
        <x:v>Chưa bắt đầu</x:v>
      </x:c>
      <x:c r="Z22" s="14" t="str">
        <x:v>Trọng tâm là phòng ngừa tác động gián tiếp tới hoạt động bay.</x:v>
      </x:c>
      <x:c r="AA22" s="14" t="str"/>
      <x:c r="AB22" s="14" t="str">
        <x:v>tai chinh; ans; du lieu; cns; phap che</x:v>
      </x:c>
    </x:row>
    <x:row r="23">
      <x:c r="A23" s="14" t="str">
        <x:v>VATM-0022</x:v>
      </x:c>
      <x:c r="B23" s="14" t="str">
        <x:v>22</x:v>
      </x:c>
      <x:c r="C23" s="14" t="str">
        <x:v>Nghị định 205/2026/NĐ-CP</x:v>
      </x:c>
      <x:c r="D23" s="14" t="str">
        <x:v>Ra_soat_sau_ND205_VATM_ANSP_day_du.xlsx</x:v>
      </x:c>
      <x:c r="E23" s="14" t="str">
        <x:v>01_Nhiem_vu_chi_tiet</x:v>
      </x:c>
      <x:c r="F23" s="56" t="n">
        <x:v>23</x:v>
      </x:c>
      <x:c r="G23" s="14" t="str">
        <x:v>Điều 58-59</x:v>
      </x:c>
      <x:c r="H23" s="14" t="str">
        <x:v>Quản lý khai thác cảng/sân bay</x:v>
      </x:c>
      <x:c r="I23" s="14" t="str">
        <x:v>Công trình, chướng ngại và thi công</x:v>
      </x:c>
      <x:c r="J23" s="14" t="str">
        <x:v>Dịch vụ khác, quảng cáo tại cảng</x:v>
      </x:c>
      <x:c r="K23" s="14" t="str">
        <x:v>Phối hợp/Gián tiếp</x:v>
      </x:c>
      <x:c r="L23" s="14" t="str">
        <x:v>Báo cáo/điều tra/khắc phục</x:v>
      </x:c>
      <x:c r="M23" s="14" t="str">
        <x:v>ANSP/doanh nghiệp hàng không</x:v>
      </x:c>
      <x:c r="N23" s="14" t="str">
        <x:v>Phát hiện/cảnh báo công trình quảng cáo, thiết bị chiếu sáng, laser, UAV, vật thể ảnh hưởng quan sát, CNS hoặc hoạt động bay.</x:v>
      </x:c>
      <x:c r="O23" s="14" t="str">
        <x:v>Ký/cập nhật quy chế phối hợp; rà soát phương án khai thác; yêu cầu NOTAM/AIP khi thay đổi ảnh hưởng hoạt động bay; giám sát hiện trường theo thẩm quyền phối hợp.</x:v>
      </x:c>
      <x:c r="P23" s="14" t="str">
        <x:v>Dịch vụ tại cảng không làm gián đoạn, cản trở hoặc gây nguy cơ cho ANS</x:v>
      </x:c>
      <x:c r="Q23" s="14" t="str">
        <x:v>Quy chế phối hợp; biên bản hiệp đồng; báo cáo sự kiện; văn bản cảnh báo; NOTAM/AIP nếu có</x:v>
      </x:c>
      <x:c r="R23" s="14" t="str">
        <x:v>Quy trình phối hợp với người khai thác cảng và doanh nghiệp dịch vụ tại cảng; Mẫu phiếu phát hiện nguy cơ từ hoạt động dịch vụ/quảng cáo tại cảng</x:v>
      </x:c>
      <x:c r="S23" s="14" t="str">
        <x:v>Ban Kế hoạch - Đầu tư; Ban Không lưu; Ban Kỹ thuật - CNS/IT/Môi trường; Văn phòng - Pháp chế; Các Công ty Quản lý bay khu vực Bắc/Trung/Nam</x:v>
      </x:c>
      <x:c r="T23" s="14" t="str">
        <x:v>Các Công ty Quản lý bay khu vực Bắc/Trung/Nam; Ban Kế hoạch - Đầu tư; Ban Không lưu; Ban Kỹ thuật - CNS/IT/Môi trường</x:v>
      </x:c>
      <x:c r="U23" s="14" t="str">
        <x:v>CHK Việt Nam, Cảng vụ, ACV, doanh nghiệp dịch vụ tại cảng, hãng bay</x:v>
      </x:c>
      <x:c r="V23" s="14" t="str">
        <x:v>Khi cấp phép, thay đổi, tạm dừng hoặc phát sinh sự kiện</x:v>
      </x:c>
      <x:c r="W23" s="14" t="str">
        <x:v>P1</x:v>
      </x:c>
      <x:c r="X23" s="14" t="str">
        <x:v>Trung bình/Cao</x:v>
      </x:c>
      <x:c r="Y23" s="14" t="str">
        <x:v>Chưa bắt đầu</x:v>
      </x:c>
      <x:c r="Z23" s="14" t="str">
        <x:v>Trọng tâm là phòng ngừa tác động gián tiếp tới hoạt động bay.</x:v>
      </x:c>
      <x:c r="AA23" s="14" t="str"/>
      <x:c r="AB23" s="14" t="str">
        <x:v>cang; san bay; cns; phap che</x:v>
      </x:c>
    </x:row>
    <x:row r="24">
      <x:c r="A24" s="14" t="str">
        <x:v>VATM-0023</x:v>
      </x:c>
      <x:c r="B24" s="14" t="str">
        <x:v>23</x:v>
      </x:c>
      <x:c r="C24" s="14" t="str">
        <x:v>Nghị định 205/2026/NĐ-CP</x:v>
      </x:c>
      <x:c r="D24" s="14" t="str">
        <x:v>Ra_soat_sau_ND205_VATM_ANSP_day_du.xlsx</x:v>
      </x:c>
      <x:c r="E24" s="14" t="str">
        <x:v>01_Nhiem_vu_chi_tiet</x:v>
      </x:c>
      <x:c r="F24" s="56" t="n">
        <x:v>24</x:v>
      </x:c>
      <x:c r="G24" s="14" t="str">
        <x:v>Điều 60</x:v>
      </x:c>
      <x:c r="H24" s="14" t="str">
        <x:v>Quản lý khai thác cảng/sân bay</x:v>
      </x:c>
      <x:c r="I24" s="14" t="str">
        <x:v>Công trình, chướng ngại và thi công</x:v>
      </x:c>
      <x:c r="J24" s="14" t="str">
        <x:v>Yêu cầu người khai thác cảng/bãi</x:v>
      </x:c>
      <x:c r="K24" s="14" t="str">
        <x:v>Phối hợp/Gián tiếp</x:v>
      </x:c>
      <x:c r="L24" s="14" t="str">
        <x:v>Quy trình/SOP/biểu mẫu</x:v>
      </x:c>
      <x:c r="M24" s="14" t="str">
        <x:v>ANSP</x:v>
      </x:c>
      <x:c r="N24" s="14" t="str">
        <x:v>Rà soát tài liệu khai thác cảng/bãi để bảo đảm có nội dung liên quan ANS, CNS, phương thức bay, vùng trời, hiệp đồng với VATM.</x:v>
      </x:c>
      <x:c r="O24" s="14" t="str">
        <x:v>Thiết lập quy trình đánh giá an toàn trước thay đổi; họp hiệp đồng khai thác; xác nhận phương án giảm thiểu; ban hành NOTAM/AIP/AIC nếu đủ điều kiện; giám sát hiện trường theo phạm vi phối hợp.</x:v>
      </x:c>
      <x:c r="P24" s="14" t="str">
        <x:v>Không làm gián đoạn ANS; mọi thay đổi có đánh giá an toàn, có phương án giảm thiểu và truyền thông tin hàng không kịp thời</x:v>
      </x:c>
      <x:c r="Q24" s="14" t="str">
        <x:v>Văn bản ý kiến VATM; safety assessment; phương án giảm thiểu; NOTAM/AIP/AIC; biên bản họp; nhật ký giám sát; tài liệu khai thác công trình</x:v>
      </x:c>
      <x:c r="R24"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24" s="14" t="str">
        <x:v>Ban Kế hoạch - Đầu tư; Ban Không lưu; Ban Kỹ thuật - CNS/IT/Môi trường; Ban An toàn - Chất lượng; Trung tâm Thông báo tin tức hàng không; Các Công ty Quản lý bay khu vực Bắc/Trung/Nam</x:v>
      </x:c>
      <x:c r="T24" s="14" t="str">
        <x:v>Các Công ty Quản lý bay khu vực Bắc/Trung/Nam; Ban Kế hoạch - Đầu tư; Ban Không lưu; Ban Kỹ thuật - CNS/IT/Môi trường</x:v>
      </x:c>
      <x:c r="U24" s="14" t="str">
        <x:v>CHK Việt Nam, Cảng vụ HK, ACV/người khai thác cảng, chủ đầu tư, đơn vị thi công/giám sát</x:v>
      </x:c>
      <x:c r="V24" s="14" t="str">
        <x:v>Theo từng hồ sơ, trước khi đưa/dừng khai thác hoặc trước thi công; cập nhật khi thay đổi</x:v>
      </x:c>
      <x:c r="W24" s="14" t="str">
        <x:v>P1</x:v>
      </x:c>
      <x:c r="X24" s="14" t="str">
        <x:v>Cao</x:v>
      </x:c>
      <x:c r="Y24" s="14" t="str">
        <x:v>Chưa bắt đầu</x:v>
      </x:c>
      <x:c r="Z24" s="14" t="str">
        <x:v>Nhóm điều khoản quan trọng nhất với VATM.</x:v>
      </x:c>
      <x:c r="AA24" s="14" t="str"/>
      <x:c r="AB24" s="14" t="str">
        <x:v>cang; san bay; ans; atm; cns; an toan</x:v>
      </x:c>
    </x:row>
    <x:row r="25">
      <x:c r="A25" s="14" t="str">
        <x:v>VATM-0024</x:v>
      </x:c>
      <x:c r="B25" s="14" t="str">
        <x:v>24</x:v>
      </x:c>
      <x:c r="C25" s="14" t="str">
        <x:v>Nghị định 205/2026/NĐ-CP</x:v>
      </x:c>
      <x:c r="D25" s="14" t="str">
        <x:v>Ra_soat_sau_ND205_VATM_ANSP_day_du.xlsx</x:v>
      </x:c>
      <x:c r="E25" s="14" t="str">
        <x:v>01_Nhiem_vu_chi_tiet</x:v>
      </x:c>
      <x:c r="F25" s="56" t="n">
        <x:v>25</x:v>
      </x:c>
      <x:c r="G25" s="14" t="str">
        <x:v>Điều 61</x:v>
      </x:c>
      <x:c r="H25" s="14" t="str">
        <x:v>Quản lý khai thác cảng/sân bay</x:v>
      </x:c>
      <x:c r="I25" s="14" t="str">
        <x:v>Công trình, chướng ngại và thi công</x:v>
      </x:c>
      <x:c r="J25" s="14" t="str">
        <x:v>Quyền và nghĩa vụ người khai thác cảng/bãi</x:v>
      </x:c>
      <x:c r="K25" s="14" t="str">
        <x:v>Trực tiếp</x:v>
      </x:c>
      <x:c r="L25" s="14" t="str">
        <x:v>Dữ liệu/số hóa</x:v>
      </x:c>
      <x:c r="M25" s="14" t="str">
        <x:v>ANSP</x:v>
      </x:c>
      <x:c r="N25" s="14" t="str">
        <x:v>Yêu cầu người khai thác cảng phối hợp với VATM trong bảo đảm an toàn khai thác, kiểm soát vật ngoại lai/chướng ngại, cung cấp dữ liệu khai thác; VATM phải tiếp nhận, phản hồi và lưu vết phối hợp.</x:v>
      </x:c>
      <x:c r="O25" s="14" t="str">
        <x:v>Thiết lập quy trình đánh giá an toàn trước thay đổi; họp hiệp đồng khai thác; xác nhận phương án giảm thiểu; ban hành NOTAM/AIP/AIC nếu đủ điều kiện; giám sát hiện trường theo phạm vi phối hợp.</x:v>
      </x:c>
      <x:c r="P25" s="14" t="str">
        <x:v>Không làm gián đoạn ANS; mọi thay đổi có đánh giá an toàn, có phương án giảm thiểu và truyền thông tin hàng không kịp thời</x:v>
      </x:c>
      <x:c r="Q25" s="14" t="str">
        <x:v>Văn bản ý kiến VATM; safety assessment; phương án giảm thiểu; NOTAM/AIP/AIC; biên bản họp; nhật ký giám sát; tài liệu khai thác công trình</x:v>
      </x:c>
      <x:c r="R25"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25" s="14" t="str">
        <x:v>Ban Kế hoạch - Đầu tư; Ban Không lưu; Ban Kỹ thuật - CNS/IT/Môi trường; Ban An toàn - Chất lượng; Trung tâm Thông báo tin tức hàng không; Các Công ty Quản lý bay khu vực Bắc/Trung/Nam</x:v>
      </x:c>
      <x:c r="T25" s="14" t="str">
        <x:v>Các Công ty Quản lý bay khu vực Bắc/Trung/Nam; Ban Kế hoạch - Đầu tư; Ban Không lưu; Ban Kỹ thuật - CNS/IT/Môi trường</x:v>
      </x:c>
      <x:c r="U25" s="14" t="str">
        <x:v>CHK Việt Nam, Cảng vụ HK, ACV/người khai thác cảng, chủ đầu tư, đơn vị thi công/giám sát</x:v>
      </x:c>
      <x:c r="V25" s="14" t="str">
        <x:v>Theo từng hồ sơ, trước khi đưa/dừng khai thác hoặc trước thi công; cập nhật khi thay đổi</x:v>
      </x:c>
      <x:c r="W25" s="14" t="str">
        <x:v>P1</x:v>
      </x:c>
      <x:c r="X25" s="14" t="str">
        <x:v>Cao</x:v>
      </x:c>
      <x:c r="Y25" s="14" t="str">
        <x:v>Chưa bắt đầu</x:v>
      </x:c>
      <x:c r="Z25" s="14" t="str">
        <x:v>Nhóm điều khoản quan trọng nhất với VATM.</x:v>
      </x:c>
      <x:c r="AA25" s="14" t="str"/>
      <x:c r="AB25" s="14" t="str">
        <x:v>cang; san bay; atm; an toan; du lieu; cns</x:v>
      </x:c>
    </x:row>
    <x:row r="26">
      <x:c r="A26" s="14" t="str">
        <x:v>VATM-0025</x:v>
      </x:c>
      <x:c r="B26" s="14" t="str">
        <x:v>25</x:v>
      </x:c>
      <x:c r="C26" s="14" t="str">
        <x:v>Nghị định 205/2026/NĐ-CP</x:v>
      </x:c>
      <x:c r="D26" s="14" t="str">
        <x:v>Ra_soat_sau_ND205_VATM_ANSP_day_du.xlsx</x:v>
      </x:c>
      <x:c r="E26" s="14" t="str">
        <x:v>01_Nhiem_vu_chi_tiet</x:v>
      </x:c>
      <x:c r="F26" s="56" t="n">
        <x:v>26</x:v>
      </x:c>
      <x:c r="G26" s="14" t="str">
        <x:v>Điều 62</x:v>
      </x:c>
      <x:c r="H26" s="14" t="str">
        <x:v>Quản lý khai thác cảng/sân bay</x:v>
      </x:c>
      <x:c r="I26" s="14" t="str">
        <x:v>Công trình, chướng ngại và thi công</x:v>
      </x:c>
      <x:c r="J26" s="14" t="str">
        <x:v>Duy trì/thu hồi giấy chứng nhận cảng/bãi</x:v>
      </x:c>
      <x:c r="K26" s="14" t="str">
        <x:v>Phối hợp/Gián tiếp</x:v>
      </x:c>
      <x:c r="L26" s="14" t="str">
        <x:v>Quy trình/SOP/biểu mẫu</x:v>
      </x:c>
      <x:c r="M26" s="14" t="str">
        <x:v>ANSP</x:v>
      </x:c>
      <x:c r="N26" s="14" t="str">
        <x:v>Cung cấp ý kiến về mức độ bảo đảm an toàn hoạt động bay khi CHKVN kiểm tra, đánh giá, thu hồi/duy trì giấy chứng nhận cảng/bãi.</x:v>
      </x:c>
      <x:c r="O26" s="14" t="str">
        <x:v>Thiết lập quy trình đánh giá an toàn trước thay đổi; họp hiệp đồng khai thác; xác nhận phương án giảm thiểu; ban hành NOTAM/AIP/AIC nếu đủ điều kiện; giám sát hiện trường theo phạm vi phối hợp.</x:v>
      </x:c>
      <x:c r="P26" s="14" t="str">
        <x:v>Không làm gián đoạn ANS; mọi thay đổi có đánh giá an toàn, có phương án giảm thiểu và truyền thông tin hàng không kịp thời</x:v>
      </x:c>
      <x:c r="Q26" s="14" t="str">
        <x:v>Văn bản ý kiến VATM; safety assessment; phương án giảm thiểu; NOTAM/AIP/AIC; biên bản họp; nhật ký giám sát; tài liệu khai thác công trình</x:v>
      </x:c>
      <x:c r="R26"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26" s="14" t="str">
        <x:v>Ban Kế hoạch - Đầu tư; Ban Không lưu; Ban Kỹ thuật - CNS/IT/Môi trường; Ban An toàn - Chất lượng; Trung tâm Thông báo tin tức hàng không; Các Công ty Quản lý bay khu vực Bắc/Trung/Nam</x:v>
      </x:c>
      <x:c r="T26" s="14" t="str">
        <x:v>Các Công ty Quản lý bay khu vực Bắc/Trung/Nam; Ban Kế hoạch - Đầu tư; Ban Không lưu; Ban Kỹ thuật - CNS/IT/Môi trường</x:v>
      </x:c>
      <x:c r="U26" s="14" t="str">
        <x:v>CHK Việt Nam, Cảng vụ HK, ACV/người khai thác cảng, chủ đầu tư, đơn vị thi công/giám sát</x:v>
      </x:c>
      <x:c r="V26" s="14" t="str">
        <x:v>Theo từng hồ sơ, trước khi đưa/dừng khai thác hoặc trước thi công; cập nhật khi thay đổi</x:v>
      </x:c>
      <x:c r="W26" s="14" t="str">
        <x:v>P1</x:v>
      </x:c>
      <x:c r="X26" s="14" t="str">
        <x:v>Cao</x:v>
      </x:c>
      <x:c r="Y26" s="14" t="str">
        <x:v>Chưa bắt đầu</x:v>
      </x:c>
      <x:c r="Z26" s="14" t="str">
        <x:v>Nhóm điều khoản quan trọng nhất với VATM.</x:v>
      </x:c>
      <x:c r="AA26" s="14" t="str"/>
      <x:c r="AB26" s="14" t="str">
        <x:v>cang; san bay; an toan; cns</x:v>
      </x:c>
    </x:row>
    <x:row r="27">
      <x:c r="A27" s="14" t="str">
        <x:v>VATM-0026</x:v>
      </x:c>
      <x:c r="B27" s="14" t="str">
        <x:v>26</x:v>
      </x:c>
      <x:c r="C27" s="14" t="str">
        <x:v>Nghị định 205/2026/NĐ-CP</x:v>
      </x:c>
      <x:c r="D27" s="14" t="str">
        <x:v>Ra_soat_sau_ND205_VATM_ANSP_day_du.xlsx</x:v>
      </x:c>
      <x:c r="E27" s="14" t="str">
        <x:v>01_Nhiem_vu_chi_tiet</x:v>
      </x:c>
      <x:c r="F27" s="56" t="n">
        <x:v>27</x:v>
      </x:c>
      <x:c r="G27" s="14" t="str">
        <x:v>Điều 63-64</x:v>
      </x:c>
      <x:c r="H27" s="14" t="str">
        <x:v>Quản lý khai thác cảng/sân bay</x:v>
      </x:c>
      <x:c r="I27" s="14" t="str">
        <x:v>Công trình, chướng ngại và thi công</x:v>
      </x:c>
      <x:c r="J27" s="14" t="str">
        <x:v>Cấp/cấp lại giấy chứng nhận</x:v>
      </x:c>
      <x:c r="K27" s="14" t="str">
        <x:v>Phối hợp/Gián tiếp</x:v>
      </x:c>
      <x:c r="L27" s="14" t="str">
        <x:v>Quy trình/SOP/biểu mẫu</x:v>
      </x:c>
      <x:c r="M27" s="14" t="str">
        <x:v>ANSP</x:v>
      </x:c>
      <x:c r="N27" s="14" t="str">
        <x:v>Thẩm tra các nội dung trong hồ sơ cấp giấy chứng nhận có liên quan tài liệu khai thác sân bay, tài liệu khai thác bãi, nhân lực, phương tiện, thiết bị, an toàn hoạt động bay.</x:v>
      </x:c>
      <x:c r="O27" s="14" t="str">
        <x:v>Thiết lập quy trình đánh giá an toàn trước thay đổi; họp hiệp đồng khai thác; xác nhận phương án giảm thiểu; ban hành NOTAM/AIP/AIC nếu đủ điều kiện; giám sát hiện trường theo phạm vi phối hợp.</x:v>
      </x:c>
      <x:c r="P27" s="14" t="str">
        <x:v>Không làm gián đoạn ANS; mọi thay đổi có đánh giá an toàn, có phương án giảm thiểu và truyền thông tin hàng không kịp thời</x:v>
      </x:c>
      <x:c r="Q27" s="14" t="str">
        <x:v>Văn bản ý kiến VATM; safety assessment; phương án giảm thiểu; NOTAM/AIP/AIC; biên bản họp; nhật ký giám sát; tài liệu khai thác công trình</x:v>
      </x:c>
      <x:c r="R27"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27" s="14" t="str">
        <x:v>Ban Kế hoạch - Đầu tư; Ban Không lưu; Ban Kỹ thuật - CNS/IT/Môi trường; Ban An toàn - Chất lượng; Trung tâm Thông báo tin tức hàng không; Các Công ty Quản lý bay khu vực Bắc/Trung/Nam</x:v>
      </x:c>
      <x:c r="T27" s="14" t="str">
        <x:v>Các Công ty Quản lý bay khu vực Bắc/Trung/Nam; Ban Kế hoạch - Đầu tư; Ban Không lưu; Ban Kỹ thuật - CNS/IT/Môi trường</x:v>
      </x:c>
      <x:c r="U27" s="14" t="str">
        <x:v>CHK Việt Nam, Cảng vụ HK, ACV/người khai thác cảng, chủ đầu tư, đơn vị thi công/giám sát</x:v>
      </x:c>
      <x:c r="V27" s="14" t="str">
        <x:v>Theo từng hồ sơ, trước khi đưa/dừng khai thác hoặc trước thi công; cập nhật khi thay đổi</x:v>
      </x:c>
      <x:c r="W27" s="14" t="str">
        <x:v>P1</x:v>
      </x:c>
      <x:c r="X27" s="14" t="str">
        <x:v>Cao</x:v>
      </x:c>
      <x:c r="Y27" s="14" t="str">
        <x:v>Chưa bắt đầu</x:v>
      </x:c>
      <x:c r="Z27" s="14" t="str">
        <x:v>Nhóm điều khoản quan trọng nhất với VATM.</x:v>
      </x:c>
      <x:c r="AA27" s="14" t="str"/>
      <x:c r="AB27" s="14" t="str">
        <x:v>cang; san bay; an toan; cns</x:v>
      </x:c>
    </x:row>
    <x:row r="28">
      <x:c r="A28" s="14" t="str">
        <x:v>VATM-0027</x:v>
      </x:c>
      <x:c r="B28" s="14" t="str">
        <x:v>27</x:v>
      </x:c>
      <x:c r="C28" s="14" t="str">
        <x:v>Nghị định 205/2026/NĐ-CP</x:v>
      </x:c>
      <x:c r="D28" s="14" t="str">
        <x:v>Ra_soat_sau_ND205_VATM_ANSP_day_du.xlsx</x:v>
      </x:c>
      <x:c r="E28" s="14" t="str">
        <x:v>01_Nhiem_vu_chi_tiet</x:v>
      </x:c>
      <x:c r="F28" s="56" t="n">
        <x:v>28</x:v>
      </x:c>
      <x:c r="G28" s="14" t="str">
        <x:v>Điều 65</x:v>
      </x:c>
      <x:c r="H28" s="14" t="str">
        <x:v>Quản lý khai thác cảng/sân bay</x:v>
      </x:c>
      <x:c r="I28" s="14" t="str">
        <x:v>Công trình, chướng ngại và thi công</x:v>
      </x:c>
      <x:c r="J28" s="14" t="str">
        <x:v>Tài liệu khai thác sân bay/bãi</x:v>
      </x:c>
      <x:c r="K28" s="14" t="str">
        <x:v>Trực tiếp</x:v>
      </x:c>
      <x:c r="L28" s="14" t="str">
        <x:v>Quy trình/SOP/biểu mẫu</x:v>
      </x:c>
      <x:c r="M28" s="14" t="str">
        <x:v>ANSP</x:v>
      </x:c>
      <x:c r="N28" s="14" t="str">
        <x:v>Rà soát, góp ý, cập nhật nội dung trong tài liệu khai thác sân bay/bãi có liên quan ANS; bảo đảm tài liệu đồng bộ AIP, phương thức bay, CNS, SAR, MET, AIS.</x:v>
      </x:c>
      <x:c r="O28" s="14" t="str">
        <x:v>Thiết lập quy trình đánh giá an toàn trước thay đổi; họp hiệp đồng khai thác; xác nhận phương án giảm thiểu; ban hành NOTAM/AIP/AIC nếu đủ điều kiện; giám sát hiện trường theo phạm vi phối hợp.</x:v>
      </x:c>
      <x:c r="P28" s="14" t="str">
        <x:v>Không làm gián đoạn ANS; mọi thay đổi có đánh giá an toàn, có phương án giảm thiểu và truyền thông tin hàng không kịp thời</x:v>
      </x:c>
      <x:c r="Q28" s="14" t="str">
        <x:v>Văn bản ý kiến VATM; safety assessment; phương án giảm thiểu; NOTAM/AIP/AIC; biên bản họp; nhật ký giám sát; tài liệu khai thác công trình</x:v>
      </x:c>
      <x:c r="R28"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28" s="14" t="str">
        <x:v>Ban Kế hoạch - Đầu tư; Ban Không lưu; Ban Kỹ thuật - CNS/IT/Môi trường; Ban An toàn - Chất lượng; Trung tâm Thông báo tin tức hàng không; Các Công ty Quản lý bay khu vực Bắc/Trung/Nam</x:v>
      </x:c>
      <x:c r="T28" s="14" t="str">
        <x:v>Các Công ty Quản lý bay khu vực Bắc/Trung/Nam; Ban Kế hoạch - Đầu tư; Ban Không lưu; Ban Kỹ thuật - CNS/IT/Môi trường</x:v>
      </x:c>
      <x:c r="U28" s="14" t="str">
        <x:v>CHK Việt Nam, Cảng vụ HK, ACV/người khai thác cảng, chủ đầu tư, đơn vị thi công/giám sát</x:v>
      </x:c>
      <x:c r="V28" s="14" t="str">
        <x:v>Theo từng hồ sơ, trước khi đưa/dừng khai thác hoặc trước thi công; cập nhật khi thay đổi</x:v>
      </x:c>
      <x:c r="W28" s="14" t="str">
        <x:v>P1</x:v>
      </x:c>
      <x:c r="X28" s="14" t="str">
        <x:v>Rất cao</x:v>
      </x:c>
      <x:c r="Y28" s="14" t="str">
        <x:v>Chưa bắt đầu</x:v>
      </x:c>
      <x:c r="Z28" s="14" t="str">
        <x:v>Nhóm điều khoản quan trọng nhất với VATM.</x:v>
      </x:c>
      <x:c r="AA28" s="14" t="str"/>
      <x:c r="AB28" s="14" t="str">
        <x:v>cang; san bay; ans; cns; ais; met; sar; an toan</x:v>
      </x:c>
    </x:row>
    <x:row r="29">
      <x:c r="A29" s="14" t="str">
        <x:v>VATM-0028</x:v>
      </x:c>
      <x:c r="B29" s="14" t="str">
        <x:v>28</x:v>
      </x:c>
      <x:c r="C29" s="14" t="str">
        <x:v>Nghị định 205/2026/NĐ-CP</x:v>
      </x:c>
      <x:c r="D29" s="14" t="str">
        <x:v>Ra_soat_sau_ND205_VATM_ANSP_day_du.xlsx</x:v>
      </x:c>
      <x:c r="E29" s="14" t="str">
        <x:v>01_Nhiem_vu_chi_tiet</x:v>
      </x:c>
      <x:c r="F29" s="56" t="n">
        <x:v>29</x:v>
      </x:c>
      <x:c r="G29" s="14" t="str">
        <x:v>Điều 66-68</x:v>
      </x:c>
      <x:c r="H29" s="14" t="str">
        <x:v>Quản lý khai thác cảng/sân bay</x:v>
      </x:c>
      <x:c r="I29" s="14" t="str">
        <x:v>Công trình, chướng ngại và thi công</x:v>
      </x:c>
      <x:c r="J29" s="14" t="str">
        <x:v>Chuyển cảng nội địa/quốc tế; tiếp nhận chuyến bay quốc tế; chuyển mục đích sử dụng</x:v>
      </x:c>
      <x:c r="K29" s="14" t="str">
        <x:v>Phối hợp/Gián tiếp</x:v>
      </x:c>
      <x:c r="L29" s="14" t="str">
        <x:v>Quy trình/SOP/biểu mẫu</x:v>
      </x:c>
      <x:c r="M29" s="14" t="str">
        <x:v>ANSP</x:v>
      </x:c>
      <x:c r="N29" s="14" t="str">
        <x:v>Đánh giá khả năng cung cấp ANS cho chuyến bay quốc tế, vùng trời, CNS, AIS, MET, SAR; chuẩn bị phương án nếu chuyển đổi mục đích ảnh hưởng hoạt động bay.</x:v>
      </x:c>
      <x:c r="O29" s="14" t="str">
        <x:v>Thiết lập quy trình đánh giá an toàn trước thay đổi; họp hiệp đồng khai thác; xác nhận phương án giảm thiểu; ban hành NOTAM/AIP/AIC nếu đủ điều kiện; giám sát hiện trường theo phạm vi phối hợp.</x:v>
      </x:c>
      <x:c r="P29" s="14" t="str">
        <x:v>Không làm gián đoạn ANS; mọi thay đổi có đánh giá an toàn, có phương án giảm thiểu và truyền thông tin hàng không kịp thời</x:v>
      </x:c>
      <x:c r="Q29" s="14" t="str">
        <x:v>Văn bản ý kiến VATM; safety assessment; phương án giảm thiểu; NOTAM/AIP/AIC; biên bản họp; nhật ký giám sát; tài liệu khai thác công trình</x:v>
      </x:c>
      <x:c r="R29"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29" s="14" t="str">
        <x:v>Ban Kế hoạch - Đầu tư; Ban Không lưu; Ban Kỹ thuật - CNS/IT/Môi trường; Ban An toàn - Chất lượng; Trung tâm Thông báo tin tức hàng không; Các Công ty Quản lý bay khu vực Bắc/Trung/Nam</x:v>
      </x:c>
      <x:c r="T29" s="14" t="str">
        <x:v>Các Công ty Quản lý bay khu vực Bắc/Trung/Nam; Ban Kế hoạch - Đầu tư; Ban Không lưu; Ban Kỹ thuật - CNS/IT/Môi trường</x:v>
      </x:c>
      <x:c r="U29" s="14" t="str">
        <x:v>CHK Việt Nam, Cảng vụ HK, ACV/người khai thác cảng, chủ đầu tư, đơn vị thi công/giám sát</x:v>
      </x:c>
      <x:c r="V29" s="14" t="str">
        <x:v>Theo từng hồ sơ, trước khi đưa/dừng khai thác hoặc trước thi công; cập nhật khi thay đổi</x:v>
      </x:c>
      <x:c r="W29" s="14" t="str">
        <x:v>P1</x:v>
      </x:c>
      <x:c r="X29" s="14" t="str">
        <x:v>Cao</x:v>
      </x:c>
      <x:c r="Y29" s="14" t="str">
        <x:v>Chưa bắt đầu</x:v>
      </x:c>
      <x:c r="Z29" s="14" t="str">
        <x:v>Nhóm điều khoản quan trọng nhất với VATM.</x:v>
      </x:c>
      <x:c r="AA29" s="14" t="str"/>
      <x:c r="AB29" s="14" t="str">
        <x:v>cang; san bay; ans; cns; ais; met; sar; an toan</x:v>
      </x:c>
    </x:row>
    <x:row r="30">
      <x:c r="A30" s="14" t="str">
        <x:v>VATM-0029</x:v>
      </x:c>
      <x:c r="B30" s="14" t="str">
        <x:v>29</x:v>
      </x:c>
      <x:c r="C30" s="14" t="str">
        <x:v>Nghị định 205/2026/NĐ-CP</x:v>
      </x:c>
      <x:c r="D30" s="14" t="str">
        <x:v>Ra_soat_sau_ND205_VATM_ANSP_day_du.xlsx</x:v>
      </x:c>
      <x:c r="E30" s="14" t="str">
        <x:v>01_Nhiem_vu_chi_tiet</x:v>
      </x:c>
      <x:c r="F30" s="56" t="n">
        <x:v>30</x:v>
      </x:c>
      <x:c r="G30" s="14" t="str">
        <x:v>Điều 69</x:v>
      </x:c>
      <x:c r="H30" s="14" t="str">
        <x:v>Quản lý khai thác cảng/sân bay</x:v>
      </x:c>
      <x:c r="I30" s="14" t="str">
        <x:v>Công trình, chướng ngại và thi công</x:v>
      </x:c>
      <x:c r="J30" s="14" t="str">
        <x:v>Đưa vào khai thác/dừng khai thác cảng</x:v>
      </x:c>
      <x:c r="K30" s="14" t="str">
        <x:v>Trực tiếp</x:v>
      </x:c>
      <x:c r="L30" s="14" t="str">
        <x:v>Quy trình/SOP/biểu mẫu</x:v>
      </x:c>
      <x:c r="M30" s="14" t="str">
        <x:v>ANSP</x:v>
      </x:c>
      <x:c r="N30" s="14" t="str">
        <x:v>Phối hợp trước khi đưa vào khai thác hoặc dừng khai thác cảng; bảo đảm thông báo tin tức hàng không, điều chỉnh phương án điều hành bay và kế hoạch trực điều hành.</x:v>
      </x:c>
      <x:c r="O30" s="14" t="str">
        <x:v>Thiết lập quy trình đánh giá an toàn trước thay đổi; họp hiệp đồng khai thác; xác nhận phương án giảm thiểu; ban hành NOTAM/AIP/AIC nếu đủ điều kiện; giám sát hiện trường theo phạm vi phối hợp.</x:v>
      </x:c>
      <x:c r="P30" s="14" t="str">
        <x:v>Không làm gián đoạn ANS; mọi thay đổi có đánh giá an toàn, có phương án giảm thiểu và truyền thông tin hàng không kịp thời</x:v>
      </x:c>
      <x:c r="Q30" s="14" t="str">
        <x:v>Văn bản ý kiến VATM; safety assessment; phương án giảm thiểu; NOTAM/AIP/AIC; biên bản họp; nhật ký giám sát; tài liệu khai thác công trình</x:v>
      </x:c>
      <x:c r="R30"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0" s="14" t="str">
        <x:v>Ban Kế hoạch - Đầu tư; Ban Không lưu; Ban Kỹ thuật - CNS/IT/Môi trường; Ban An toàn - Chất lượng; Trung tâm Thông báo tin tức hàng không; Các Công ty Quản lý bay khu vực Bắc/Trung/Nam</x:v>
      </x:c>
      <x:c r="T30" s="14" t="str">
        <x:v>Các Công ty Quản lý bay khu vực Bắc/Trung/Nam; Ban Kế hoạch - Đầu tư; Ban Không lưu; Ban Kỹ thuật - CNS/IT/Môi trường</x:v>
      </x:c>
      <x:c r="U30" s="14" t="str">
        <x:v>CHK Việt Nam, Cảng vụ HK, ACV/người khai thác cảng, chủ đầu tư, đơn vị thi công/giám sát</x:v>
      </x:c>
      <x:c r="V30" s="14" t="str">
        <x:v>Theo từng hồ sơ, trước khi đưa/dừng khai thác hoặc trước thi công; cập nhật khi thay đổi</x:v>
      </x:c>
      <x:c r="W30" s="14" t="str">
        <x:v>P1</x:v>
      </x:c>
      <x:c r="X30" s="14" t="str">
        <x:v>Rất cao</x:v>
      </x:c>
      <x:c r="Y30" s="14" t="str">
        <x:v>Chưa bắt đầu</x:v>
      </x:c>
      <x:c r="Z30" s="14" t="str">
        <x:v>Nhóm điều khoản quan trọng nhất với VATM.</x:v>
      </x:c>
      <x:c r="AA30" s="14" t="str"/>
      <x:c r="AB30" s="14" t="str">
        <x:v>cang; san bay; cns; an toan</x:v>
      </x:c>
    </x:row>
    <x:row r="31">
      <x:c r="A31" s="14" t="str">
        <x:v>VATM-0030</x:v>
      </x:c>
      <x:c r="B31" s="14" t="str">
        <x:v>30</x:v>
      </x:c>
      <x:c r="C31" s="14" t="str">
        <x:v>Nghị định 205/2026/NĐ-CP</x:v>
      </x:c>
      <x:c r="D31" s="14" t="str">
        <x:v>Ra_soat_sau_ND205_VATM_ANSP_day_du.xlsx</x:v>
      </x:c>
      <x:c r="E31" s="14" t="str">
        <x:v>01_Nhiem_vu_chi_tiet</x:v>
      </x:c>
      <x:c r="F31" s="56" t="n">
        <x:v>31</x:v>
      </x:c>
      <x:c r="G31" s="14" t="str">
        <x:v>Điều 70</x:v>
      </x:c>
      <x:c r="H31" s="14" t="str">
        <x:v>Quản lý khai thác cảng/sân bay</x:v>
      </x:c>
      <x:c r="I31" s="14" t="str">
        <x:v>Công trình, chướng ngại và thi công</x:v>
      </x:c>
      <x:c r="J31" s="14" t="str">
        <x:v>Đưa vào khai thác/dừng khai thác công trình</x:v>
      </x:c>
      <x:c r="K31" s="14" t="str">
        <x:v>Trực tiếp</x:v>
      </x:c>
      <x:c r="L31" s="14" t="str">
        <x:v>Quy trình/SOP/biểu mẫu</x:v>
      </x:c>
      <x:c r="M31" s="14" t="str">
        <x:v>ANSP</x:v>
      </x:c>
      <x:c r="N31" s="14" t="str">
        <x:v>Thẩm định, kiểm tra, đề nghị đưa vào khai thác/dừng khai thác công trình bảo đảm hoạt động bay hoặc công trình ảnh hưởng ANS; cập nhật tài liệu khai thác công trình.</x:v>
      </x:c>
      <x:c r="O31" s="14" t="str">
        <x:v>Thiết lập quy trình đánh giá an toàn trước thay đổi; họp hiệp đồng khai thác; xác nhận phương án giảm thiểu; ban hành NOTAM/AIP/AIC nếu đủ điều kiện; giám sát hiện trường theo phạm vi phối hợp.</x:v>
      </x:c>
      <x:c r="P31" s="14" t="str">
        <x:v>Không làm gián đoạn ANS; mọi thay đổi có đánh giá an toàn, có phương án giảm thiểu và truyền thông tin hàng không kịp thời</x:v>
      </x:c>
      <x:c r="Q31" s="14" t="str">
        <x:v>Văn bản ý kiến VATM; safety assessment; phương án giảm thiểu; NOTAM/AIP/AIC; biên bản họp; nhật ký giám sát; tài liệu khai thác công trình</x:v>
      </x:c>
      <x:c r="R31"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1" s="14" t="str">
        <x:v>Ban Kế hoạch - Đầu tư; Ban Không lưu; Ban Kỹ thuật - CNS/IT/Môi trường; Ban An toàn - Chất lượng; Trung tâm Thông báo tin tức hàng không; Các Công ty Quản lý bay khu vực Bắc/Trung/Nam</x:v>
      </x:c>
      <x:c r="T31" s="14" t="str">
        <x:v>Các Công ty Quản lý bay khu vực Bắc/Trung/Nam; Ban Kế hoạch - Đầu tư; Ban Không lưu; Ban Kỹ thuật - CNS/IT/Môi trường</x:v>
      </x:c>
      <x:c r="U31" s="14" t="str">
        <x:v>CHK Việt Nam, Cảng vụ HK, ACV/người khai thác cảng, chủ đầu tư, đơn vị thi công/giám sát</x:v>
      </x:c>
      <x:c r="V31" s="14" t="str">
        <x:v>Theo từng hồ sơ, trước khi đưa/dừng khai thác hoặc trước thi công; cập nhật khi thay đổi</x:v>
      </x:c>
      <x:c r="W31" s="14" t="str">
        <x:v>P1</x:v>
      </x:c>
      <x:c r="X31" s="14" t="str">
        <x:v>Rất cao</x:v>
      </x:c>
      <x:c r="Y31" s="14" t="str">
        <x:v>Chưa bắt đầu</x:v>
      </x:c>
      <x:c r="Z31" s="14" t="str">
        <x:v>Nhóm điều khoản quan trọng nhất với VATM.</x:v>
      </x:c>
      <x:c r="AA31" s="14" t="str"/>
      <x:c r="AB31" s="14" t="str">
        <x:v>cang; san bay; ans; cns; an toan</x:v>
      </x:c>
    </x:row>
    <x:row r="32">
      <x:c r="A32" s="14" t="str">
        <x:v>VATM-0031</x:v>
      </x:c>
      <x:c r="B32" s="14" t="str">
        <x:v>31</x:v>
      </x:c>
      <x:c r="C32" s="14" t="str">
        <x:v>Nghị định 205/2026/NĐ-CP</x:v>
      </x:c>
      <x:c r="D32" s="14" t="str">
        <x:v>Ra_soat_sau_ND205_VATM_ANSP_day_du.xlsx</x:v>
      </x:c>
      <x:c r="E32" s="14" t="str">
        <x:v>01_Nhiem_vu_chi_tiet</x:v>
      </x:c>
      <x:c r="F32" s="56" t="n">
        <x:v>32</x:v>
      </x:c>
      <x:c r="G32" s="14" t="str">
        <x:v>Điều 71</x:v>
      </x:c>
      <x:c r="H32" s="14" t="str">
        <x:v>Quản lý khai thác cảng/sân bay</x:v>
      </x:c>
      <x:c r="I32" s="14" t="str">
        <x:v>Công trình, chướng ngại và thi công</x:v>
      </x:c>
      <x:c r="J32" s="14" t="str">
        <x:v>Tài liệu khai thác công trình</x:v>
      </x:c>
      <x:c r="K32" s="14" t="str">
        <x:v>Trực tiếp</x:v>
      </x:c>
      <x:c r="L32" s="14" t="str">
        <x:v>Quy trình/SOP/biểu mẫu</x:v>
      </x:c>
      <x:c r="M32" s="14" t="str">
        <x:v>ANSP</x:v>
      </x:c>
      <x:c r="N32" s="14" t="str">
        <x:v>Xây dựng, duy trì, sửa đổi, bổ sung tài liệu khai thác công trình ANS; đề nghị phê duyệt/sửa đổi theo đúng mẫu và bảo đảm đồng bộ tài liệu khai thác cảng.</x:v>
      </x:c>
      <x:c r="O32" s="14" t="str">
        <x:v>Thiết lập quy trình đánh giá an toàn trước thay đổi; họp hiệp đồng khai thác; xác nhận phương án giảm thiểu; ban hành NOTAM/AIP/AIC nếu đủ điều kiện; giám sát hiện trường theo phạm vi phối hợp.</x:v>
      </x:c>
      <x:c r="P32" s="14" t="str">
        <x:v>Không làm gián đoạn ANS; mọi thay đổi có đánh giá an toàn, có phương án giảm thiểu và truyền thông tin hàng không kịp thời</x:v>
      </x:c>
      <x:c r="Q32" s="14" t="str">
        <x:v>Văn bản ý kiến VATM; safety assessment; phương án giảm thiểu; NOTAM/AIP/AIC; biên bản họp; nhật ký giám sát; tài liệu khai thác công trình</x:v>
      </x:c>
      <x:c r="R32"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2" s="14" t="str">
        <x:v>Ban Kế hoạch - Đầu tư; Ban Không lưu; Ban Kỹ thuật - CNS/IT/Môi trường; Ban An toàn - Chất lượng; Trung tâm Thông báo tin tức hàng không; Các Công ty Quản lý bay khu vực Bắc/Trung/Nam</x:v>
      </x:c>
      <x:c r="T32" s="14" t="str">
        <x:v>Các Công ty Quản lý bay khu vực Bắc/Trung/Nam; Ban Kế hoạch - Đầu tư; Ban Không lưu; Ban Kỹ thuật - CNS/IT/Môi trường</x:v>
      </x:c>
      <x:c r="U32" s="14" t="str">
        <x:v>CHK Việt Nam, Cảng vụ HK, ACV/người khai thác cảng, chủ đầu tư, đơn vị thi công/giám sát</x:v>
      </x:c>
      <x:c r="V32" s="14" t="str">
        <x:v>Theo từng hồ sơ, trước khi đưa/dừng khai thác hoặc trước thi công; cập nhật khi thay đổi</x:v>
      </x:c>
      <x:c r="W32" s="14" t="str">
        <x:v>P1</x:v>
      </x:c>
      <x:c r="X32" s="14" t="str">
        <x:v>Rất cao</x:v>
      </x:c>
      <x:c r="Y32" s="14" t="str">
        <x:v>Chưa bắt đầu</x:v>
      </x:c>
      <x:c r="Z32" s="14" t="str">
        <x:v>Nhóm điều khoản quan trọng nhất với VATM.</x:v>
      </x:c>
      <x:c r="AA32" s="14" t="str"/>
      <x:c r="AB32" s="14" t="str">
        <x:v>cang; san bay; ans; cns; an toan</x:v>
      </x:c>
    </x:row>
    <x:row r="33">
      <x:c r="A33" s="14" t="str">
        <x:v>VATM-0032</x:v>
      </x:c>
      <x:c r="B33" s="14" t="str">
        <x:v>32</x:v>
      </x:c>
      <x:c r="C33" s="14" t="str">
        <x:v>Nghị định 205/2026/NĐ-CP</x:v>
      </x:c>
      <x:c r="D33" s="14" t="str">
        <x:v>Ra_soat_sau_ND205_VATM_ANSP_day_du.xlsx</x:v>
      </x:c>
      <x:c r="E33" s="14" t="str">
        <x:v>01_Nhiem_vu_chi_tiet</x:v>
      </x:c>
      <x:c r="F33" s="56" t="n">
        <x:v>33</x:v>
      </x:c>
      <x:c r="G33" s="14" t="str">
        <x:v>Điều 72</x:v>
      </x:c>
      <x:c r="H33" s="14" t="str">
        <x:v>Quản lý khai thác cảng/sân bay</x:v>
      </x:c>
      <x:c r="I33" s="14" t="str">
        <x:v>Công trình, chướng ngại và thi công</x:v>
      </x:c>
      <x:c r="J33" s="14" t="str">
        <x:v>Trách nhiệm người khai thác công trình</x:v>
      </x:c>
      <x:c r="K33" s="14" t="str">
        <x:v>Trực tiếp</x:v>
      </x:c>
      <x:c r="L33" s="14" t="str">
        <x:v>Quy trình/SOP/biểu mẫu</x:v>
      </x:c>
      <x:c r="M33" s="14" t="str">
        <x:v>ANSP</x:v>
      </x:c>
      <x:c r="N33" s="14" t="str">
        <x:v>Quản lý, khai thác, bảo trì, bảo vệ công trình ANS; bảo đảm an toàn, an ninh, phòng cháy, bảo vệ môi trường, rào chắn, phối hợp chủ sở hữu và cảng.</x:v>
      </x:c>
      <x:c r="O33" s="14" t="str">
        <x:v>Thiết lập quy trình đánh giá an toàn trước thay đổi; họp hiệp đồng khai thác; xác nhận phương án giảm thiểu; ban hành NOTAM/AIP/AIC nếu đủ điều kiện; giám sát hiện trường theo phạm vi phối hợp.</x:v>
      </x:c>
      <x:c r="P33" s="14" t="str">
        <x:v>Không làm gián đoạn ANS; mọi thay đổi có đánh giá an toàn, có phương án giảm thiểu và truyền thông tin hàng không kịp thời</x:v>
      </x:c>
      <x:c r="Q33" s="14" t="str">
        <x:v>Văn bản ý kiến VATM; safety assessment; phương án giảm thiểu; NOTAM/AIP/AIC; biên bản họp; nhật ký giám sát; tài liệu khai thác công trình</x:v>
      </x:c>
      <x:c r="R33"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3" s="14" t="str">
        <x:v>Ban Kế hoạch - Đầu tư; Ban Không lưu; Ban Kỹ thuật - CNS/IT/Môi trường; Ban An toàn - Chất lượng; Trung tâm Thông báo tin tức hàng không; Các Công ty Quản lý bay khu vực Bắc/Trung/Nam</x:v>
      </x:c>
      <x:c r="T33" s="14" t="str">
        <x:v>Các Công ty Quản lý bay khu vực Bắc/Trung/Nam; Ban Kế hoạch - Đầu tư; Ban Không lưu; Ban Kỹ thuật - CNS/IT/Môi trường</x:v>
      </x:c>
      <x:c r="U33" s="14" t="str">
        <x:v>CHK Việt Nam, Cảng vụ HK, ACV/người khai thác cảng, chủ đầu tư, đơn vị thi công/giám sát</x:v>
      </x:c>
      <x:c r="V33" s="14" t="str">
        <x:v>Theo từng hồ sơ, trước khi đưa/dừng khai thác hoặc trước thi công; cập nhật khi thay đổi</x:v>
      </x:c>
      <x:c r="W33" s="14" t="str">
        <x:v>P1</x:v>
      </x:c>
      <x:c r="X33" s="14" t="str">
        <x:v>Rất cao</x:v>
      </x:c>
      <x:c r="Y33" s="14" t="str">
        <x:v>Chưa bắt đầu</x:v>
      </x:c>
      <x:c r="Z33" s="14" t="str">
        <x:v>Nhóm điều khoản quan trọng nhất với VATM.</x:v>
      </x:c>
      <x:c r="AA33" s="14" t="str"/>
      <x:c r="AB33" s="14" t="str">
        <x:v>cang; san bay; ans; an ninh; an toan; cns</x:v>
      </x:c>
    </x:row>
    <x:row r="34">
      <x:c r="A34" s="14" t="str">
        <x:v>VATM-0033</x:v>
      </x:c>
      <x:c r="B34" s="14" t="str">
        <x:v>33</x:v>
      </x:c>
      <x:c r="C34" s="14" t="str">
        <x:v>Nghị định 205/2026/NĐ-CP</x:v>
      </x:c>
      <x:c r="D34" s="14" t="str">
        <x:v>Ra_soat_sau_ND205_VATM_ANSP_day_du.xlsx</x:v>
      </x:c>
      <x:c r="E34" s="14" t="str">
        <x:v>01_Nhiem_vu_chi_tiet</x:v>
      </x:c>
      <x:c r="F34" s="56" t="n">
        <x:v>34</x:v>
      </x:c>
      <x:c r="G34" s="14" t="str">
        <x:v>Điều 73</x:v>
      </x:c>
      <x:c r="H34" s="14" t="str">
        <x:v>Quản lý khai thác cảng/sân bay</x:v>
      </x:c>
      <x:c r="I34" s="14" t="str">
        <x:v>Công trình, chướng ngại và thi công</x:v>
      </x:c>
      <x:c r="J34" s="14" t="str">
        <x:v>Hoạt động thi công tại cảng</x:v>
      </x:c>
      <x:c r="K34" s="14" t="str">
        <x:v>Trực tiếp</x:v>
      </x:c>
      <x:c r="L34" s="14" t="str">
        <x:v>Quy trình/SOP/biểu mẫu</x:v>
      </x:c>
      <x:c r="M34" s="14" t="str">
        <x:v>ANSP</x:v>
      </x:c>
      <x:c r="N34" s="14" t="str">
        <x:v>Đánh giá ảnh hưởng thi công tới ANS; yêu cầu phương án bảo đảm an ninh, an toàn hàng không trong thi công trước khi triển khai.</x:v>
      </x:c>
      <x:c r="O34" s="14" t="str">
        <x:v>Thiết lập quy trình đánh giá an toàn trước thay đổi; họp hiệp đồng khai thác; xác nhận phương án giảm thiểu; ban hành NOTAM/AIP/AIC nếu đủ điều kiện; giám sát hiện trường theo phạm vi phối hợp.</x:v>
      </x:c>
      <x:c r="P34" s="14" t="str">
        <x:v>Không làm gián đoạn ANS; mọi thay đổi có đánh giá an toàn, có phương án giảm thiểu và truyền thông tin hàng không kịp thời</x:v>
      </x:c>
      <x:c r="Q34" s="14" t="str">
        <x:v>Văn bản ý kiến VATM; safety assessment; phương án giảm thiểu; NOTAM/AIP/AIC; biên bản họp; nhật ký giám sát; tài liệu khai thác công trình</x:v>
      </x:c>
      <x:c r="R34"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4" s="14" t="str">
        <x:v>Ban Kế hoạch - Đầu tư; Ban Không lưu; Ban Kỹ thuật - CNS/IT/Môi trường; Ban An toàn - Chất lượng; Trung tâm Thông báo tin tức hàng không; Các Công ty Quản lý bay khu vực Bắc/Trung/Nam</x:v>
      </x:c>
      <x:c r="T34" s="14" t="str">
        <x:v>Các Công ty Quản lý bay khu vực Bắc/Trung/Nam; Ban Kế hoạch - Đầu tư; Ban Không lưu; Ban Kỹ thuật - CNS/IT/Môi trường</x:v>
      </x:c>
      <x:c r="U34" s="14" t="str">
        <x:v>CHK Việt Nam, Cảng vụ HK, ACV/người khai thác cảng, chủ đầu tư, đơn vị thi công/giám sát</x:v>
      </x:c>
      <x:c r="V34" s="14" t="str">
        <x:v>Theo từng hồ sơ, trước khi đưa/dừng khai thác hoặc trước thi công; cập nhật khi thay đổi</x:v>
      </x:c>
      <x:c r="W34" s="14" t="str">
        <x:v>P1</x:v>
      </x:c>
      <x:c r="X34" s="14" t="str">
        <x:v>Rất cao</x:v>
      </x:c>
      <x:c r="Y34" s="14" t="str">
        <x:v>Chưa bắt đầu</x:v>
      </x:c>
      <x:c r="Z34" s="14" t="str">
        <x:v>Nhóm điều khoản quan trọng nhất với VATM.</x:v>
      </x:c>
      <x:c r="AA34" s="14" t="str"/>
      <x:c r="AB34" s="14" t="str">
        <x:v>cang; san bay; ans; an ninh; an toan; cns</x:v>
      </x:c>
    </x:row>
    <x:row r="35">
      <x:c r="A35" s="14" t="str">
        <x:v>VATM-0034</x:v>
      </x:c>
      <x:c r="B35" s="14" t="str">
        <x:v>34</x:v>
      </x:c>
      <x:c r="C35" s="14" t="str">
        <x:v>Nghị định 205/2026/NĐ-CP</x:v>
      </x:c>
      <x:c r="D35" s="14" t="str">
        <x:v>Ra_soat_sau_ND205_VATM_ANSP_day_du.xlsx</x:v>
      </x:c>
      <x:c r="E35" s="14" t="str">
        <x:v>01_Nhiem_vu_chi_tiet</x:v>
      </x:c>
      <x:c r="F35" s="56" t="n">
        <x:v>35</x:v>
      </x:c>
      <x:c r="G35" s="14" t="str">
        <x:v>Điều 74</x:v>
      </x:c>
      <x:c r="H35" s="14" t="str">
        <x:v>Quản lý khai thác cảng/sân bay</x:v>
      </x:c>
      <x:c r="I35" s="14" t="str">
        <x:v>Công trình, chướng ngại và thi công</x:v>
      </x:c>
      <x:c r="J35" s="14" t="str">
        <x:v>Thời gian thi công</x:v>
      </x:c>
      <x:c r="K35" s="14" t="str">
        <x:v>Trực tiếp</x:v>
      </x:c>
      <x:c r="L35" s="14" t="str">
        <x:v>Quy trình/SOP/biểu mẫu</x:v>
      </x:c>
      <x:c r="M35" s="14" t="str">
        <x:v>ANSP</x:v>
      </x:c>
      <x:c r="N35" s="14" t="str">
        <x:v>Xác định thời gian thi công phù hợp với phương án điều hành bay; tránh giờ cao điểm; phối hợp NOTAM, AIP SUP nếu cần.</x:v>
      </x:c>
      <x:c r="O35" s="14" t="str">
        <x:v>Thiết lập quy trình đánh giá an toàn trước thay đổi; họp hiệp đồng khai thác; xác nhận phương án giảm thiểu; ban hành NOTAM/AIP/AIC nếu đủ điều kiện; giám sát hiện trường theo phạm vi phối hợp.</x:v>
      </x:c>
      <x:c r="P35" s="14" t="str">
        <x:v>Không làm gián đoạn ANS; mọi thay đổi có đánh giá an toàn, có phương án giảm thiểu và truyền thông tin hàng không kịp thời</x:v>
      </x:c>
      <x:c r="Q35" s="14" t="str">
        <x:v>Văn bản ý kiến VATM; safety assessment; phương án giảm thiểu; NOTAM/AIP/AIC; biên bản họp; nhật ký giám sát; tài liệu khai thác công trình</x:v>
      </x:c>
      <x:c r="R35"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5" s="14" t="str">
        <x:v>Ban Kế hoạch - Đầu tư; Ban Không lưu; Ban Kỹ thuật - CNS/IT/Môi trường; Ban An toàn - Chất lượng; Trung tâm Thông báo tin tức hàng không; Các Công ty Quản lý bay khu vực Bắc/Trung/Nam</x:v>
      </x:c>
      <x:c r="T35" s="14" t="str">
        <x:v>Các Công ty Quản lý bay khu vực Bắc/Trung/Nam; Ban Kế hoạch - Đầu tư; Ban Không lưu; Ban Kỹ thuật - CNS/IT/Môi trường</x:v>
      </x:c>
      <x:c r="U35" s="14" t="str">
        <x:v>CHK Việt Nam, Cảng vụ HK, ACV/người khai thác cảng, chủ đầu tư, đơn vị thi công/giám sát</x:v>
      </x:c>
      <x:c r="V35" s="14" t="str">
        <x:v>Theo từng hồ sơ, trước khi đưa/dừng khai thác hoặc trước thi công; cập nhật khi thay đổi</x:v>
      </x:c>
      <x:c r="W35" s="14" t="str">
        <x:v>P1</x:v>
      </x:c>
      <x:c r="X35" s="14" t="str">
        <x:v>Cao</x:v>
      </x:c>
      <x:c r="Y35" s="14" t="str">
        <x:v>Chưa bắt đầu</x:v>
      </x:c>
      <x:c r="Z35" s="14" t="str">
        <x:v>Nhóm điều khoản quan trọng nhất với VATM.</x:v>
      </x:c>
      <x:c r="AA35" s="14" t="str"/>
      <x:c r="AB35" s="14" t="str">
        <x:v>cang; san bay; cns; an toan</x:v>
      </x:c>
    </x:row>
    <x:row r="36">
      <x:c r="A36" s="14" t="str">
        <x:v>VATM-0035</x:v>
      </x:c>
      <x:c r="B36" s="14" t="str">
        <x:v>35</x:v>
      </x:c>
      <x:c r="C36" s="14" t="str">
        <x:v>Nghị định 205/2026/NĐ-CP</x:v>
      </x:c>
      <x:c r="D36" s="14" t="str">
        <x:v>Ra_soat_sau_ND205_VATM_ANSP_day_du.xlsx</x:v>
      </x:c>
      <x:c r="E36" s="14" t="str">
        <x:v>01_Nhiem_vu_chi_tiet</x:v>
      </x:c>
      <x:c r="F36" s="56" t="n">
        <x:v>36</x:v>
      </x:c>
      <x:c r="G36" s="14" t="str">
        <x:v>Điều 75</x:v>
      </x:c>
      <x:c r="H36" s="14" t="str">
        <x:v>Quản lý khai thác cảng/sân bay</x:v>
      </x:c>
      <x:c r="I36" s="14" t="str">
        <x:v>Công trình, chướng ngại và thi công</x:v>
      </x:c>
      <x:c r="J36" s="14" t="str">
        <x:v>Thủ tục chấp thuận phương án bảo đảm an ninh, an toàn thi công</x:v>
      </x:c>
      <x:c r="K36" s="14" t="str">
        <x:v>Trực tiếp</x:v>
      </x:c>
      <x:c r="L36" s="14" t="str">
        <x:v>Quy trình/SOP/biểu mẫu</x:v>
      </x:c>
      <x:c r="M36" s="14" t="str">
        <x:v>ANSP</x:v>
      </x:c>
      <x:c r="N36" s="14" t="str">
        <x:v>Cho ý kiến/chấp thuận nội bộ về phương án bảo đảm an toàn hoạt động bay trong thi công; đánh giá ảnh hưởng đến CNS, tĩnh không, phương thức bay, sân đỗ, đường lăn.</x:v>
      </x:c>
      <x:c r="O36" s="14" t="str">
        <x:v>Thiết lập quy trình đánh giá an toàn trước thay đổi; họp hiệp đồng khai thác; xác nhận phương án giảm thiểu; ban hành NOTAM/AIP/AIC nếu đủ điều kiện; giám sát hiện trường theo phạm vi phối hợp.</x:v>
      </x:c>
      <x:c r="P36" s="14" t="str">
        <x:v>Không làm gián đoạn ANS; mọi thay đổi có đánh giá an toàn, có phương án giảm thiểu và truyền thông tin hàng không kịp thời</x:v>
      </x:c>
      <x:c r="Q36" s="14" t="str">
        <x:v>Văn bản ý kiến VATM; safety assessment; phương án giảm thiểu; NOTAM/AIP/AIC; biên bản họp; nhật ký giám sát; tài liệu khai thác công trình</x:v>
      </x:c>
      <x:c r="R36"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6" s="14" t="str">
        <x:v>Ban Kế hoạch - Đầu tư; Ban Không lưu; Ban Kỹ thuật - CNS/IT/Môi trường; Ban An toàn - Chất lượng; Trung tâm Thông báo tin tức hàng không; Các Công ty Quản lý bay khu vực Bắc/Trung/Nam</x:v>
      </x:c>
      <x:c r="T36" s="14" t="str">
        <x:v>Các Công ty Quản lý bay khu vực Bắc/Trung/Nam; Ban Kế hoạch - Đầu tư; Ban Không lưu; Ban Kỹ thuật - CNS/IT/Môi trường</x:v>
      </x:c>
      <x:c r="U36" s="14" t="str">
        <x:v>CHK Việt Nam, Cảng vụ HK, ACV/người khai thác cảng, chủ đầu tư, đơn vị thi công/giám sát</x:v>
      </x:c>
      <x:c r="V36" s="14" t="str">
        <x:v>Theo từng hồ sơ, trước khi đưa/dừng khai thác hoặc trước thi công; cập nhật khi thay đổi</x:v>
      </x:c>
      <x:c r="W36" s="14" t="str">
        <x:v>P1</x:v>
      </x:c>
      <x:c r="X36" s="14" t="str">
        <x:v>Rất cao</x:v>
      </x:c>
      <x:c r="Y36" s="14" t="str">
        <x:v>Chưa bắt đầu</x:v>
      </x:c>
      <x:c r="Z36" s="14" t="str">
        <x:v>Nhóm điều khoản quan trọng nhất với VATM.</x:v>
      </x:c>
      <x:c r="AA36" s="14" t="str"/>
      <x:c r="AB36" s="14" t="str">
        <x:v>cang; san bay; cns; an toan</x:v>
      </x:c>
    </x:row>
    <x:row r="37">
      <x:c r="A37" s="14" t="str">
        <x:v>VATM-0036</x:v>
      </x:c>
      <x:c r="B37" s="14" t="str">
        <x:v>36</x:v>
      </x:c>
      <x:c r="C37" s="14" t="str">
        <x:v>Nghị định 205/2026/NĐ-CP</x:v>
      </x:c>
      <x:c r="D37" s="14" t="str">
        <x:v>Ra_soat_sau_ND205_VATM_ANSP_day_du.xlsx</x:v>
      </x:c>
      <x:c r="E37" s="14" t="str">
        <x:v>01_Nhiem_vu_chi_tiet</x:v>
      </x:c>
      <x:c r="F37" s="56" t="n">
        <x:v>37</x:v>
      </x:c>
      <x:c r="G37" s="14" t="str">
        <x:v>Điều 76</x:v>
      </x:c>
      <x:c r="H37" s="14" t="str">
        <x:v>Quản lý khai thác cảng/sân bay</x:v>
      </x:c>
      <x:c r="I37" s="14" t="str">
        <x:v>Công trình, chướng ngại và thi công</x:v>
      </x:c>
      <x:c r="J37" s="14" t="str">
        <x:v>Trách nhiệm chủ đầu tư/người khai thác công trình trong thi công</x:v>
      </x:c>
      <x:c r="K37" s="14" t="str">
        <x:v>Phối hợp/Gián tiếp</x:v>
      </x:c>
      <x:c r="L37" s="14" t="str">
        <x:v>Quy trình/SOP/biểu mẫu</x:v>
      </x:c>
      <x:c r="M37" s="14" t="str">
        <x:v>ANSP</x:v>
      </x:c>
      <x:c r="N37" s="14" t="str">
        <x:v>Yêu cầu chủ đầu tư/đơn vị khai thác công trình phối hợp với VATM; nhận thông tin trước thi công; kiểm tra tuân thủ an toàn hoạt động bay.</x:v>
      </x:c>
      <x:c r="O37" s="14" t="str">
        <x:v>Thiết lập quy trình đánh giá an toàn trước thay đổi; họp hiệp đồng khai thác; xác nhận phương án giảm thiểu; ban hành NOTAM/AIP/AIC nếu đủ điều kiện; giám sát hiện trường theo phạm vi phối hợp.</x:v>
      </x:c>
      <x:c r="P37" s="14" t="str">
        <x:v>Không làm gián đoạn ANS; mọi thay đổi có đánh giá an toàn, có phương án giảm thiểu và truyền thông tin hàng không kịp thời</x:v>
      </x:c>
      <x:c r="Q37" s="14" t="str">
        <x:v>Văn bản ý kiến VATM; safety assessment; phương án giảm thiểu; NOTAM/AIP/AIC; biên bản họp; nhật ký giám sát; tài liệu khai thác công trình</x:v>
      </x:c>
      <x:c r="R37"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7" s="14" t="str">
        <x:v>Ban Kế hoạch - Đầu tư; Ban Không lưu; Ban Kỹ thuật - CNS/IT/Môi trường; Ban An toàn - Chất lượng; Trung tâm Thông báo tin tức hàng không; Các Công ty Quản lý bay khu vực Bắc/Trung/Nam</x:v>
      </x:c>
      <x:c r="T37" s="14" t="str">
        <x:v>Các Công ty Quản lý bay khu vực Bắc/Trung/Nam; Ban Kế hoạch - Đầu tư; Ban Không lưu; Ban Kỹ thuật - CNS/IT/Môi trường</x:v>
      </x:c>
      <x:c r="U37" s="14" t="str">
        <x:v>CHK Việt Nam, Cảng vụ HK, ACV/người khai thác cảng, chủ đầu tư, đơn vị thi công/giám sát</x:v>
      </x:c>
      <x:c r="V37" s="14" t="str">
        <x:v>Theo từng hồ sơ, trước khi đưa/dừng khai thác hoặc trước thi công; cập nhật khi thay đổi</x:v>
      </x:c>
      <x:c r="W37" s="14" t="str">
        <x:v>P1</x:v>
      </x:c>
      <x:c r="X37" s="14" t="str">
        <x:v>Cao</x:v>
      </x:c>
      <x:c r="Y37" s="14" t="str">
        <x:v>Chưa bắt đầu</x:v>
      </x:c>
      <x:c r="Z37" s="14" t="str">
        <x:v>Nhóm điều khoản quan trọng nhất với VATM.</x:v>
      </x:c>
      <x:c r="AA37" s="14" t="str"/>
      <x:c r="AB37" s="14" t="str">
        <x:v>cang; san bay; atm; an toan; cns</x:v>
      </x:c>
    </x:row>
    <x:row r="38">
      <x:c r="A38" s="14" t="str">
        <x:v>VATM-0037</x:v>
      </x:c>
      <x:c r="B38" s="14" t="str">
        <x:v>37</x:v>
      </x:c>
      <x:c r="C38" s="14" t="str">
        <x:v>Nghị định 205/2026/NĐ-CP</x:v>
      </x:c>
      <x:c r="D38" s="14" t="str">
        <x:v>Ra_soat_sau_ND205_VATM_ANSP_day_du.xlsx</x:v>
      </x:c>
      <x:c r="E38" s="14" t="str">
        <x:v>01_Nhiem_vu_chi_tiet</x:v>
      </x:c>
      <x:c r="F38" s="56" t="n">
        <x:v>38</x:v>
      </x:c>
      <x:c r="G38" s="14" t="str">
        <x:v>Điều 77</x:v>
      </x:c>
      <x:c r="H38" s="14" t="str">
        <x:v>Quản lý khai thác cảng/sân bay</x:v>
      </x:c>
      <x:c r="I38" s="14" t="str">
        <x:v>Công trình, chướng ngại và thi công</x:v>
      </x:c>
      <x:c r="J38" s="14" t="str">
        <x:v>Trách nhiệm đơn vị thi công, giám sát</x:v>
      </x:c>
      <x:c r="K38" s="14" t="str">
        <x:v>Phối hợp/Gián tiếp</x:v>
      </x:c>
      <x:c r="L38" s="14" t="str">
        <x:v>Báo cáo/điều tra/khắc phục</x:v>
      </x:c>
      <x:c r="M38" s="14" t="str">
        <x:v>ANSP</x:v>
      </x:c>
      <x:c r="N38" s="14" t="str">
        <x:v>Yêu cầu đơn vị thi công/giám sát tuân thủ phương án an toàn; phối hợp khi có sự cố ảnh hưởng hoạt động bay; bảo đảm thiết bị/cần cẩu/đèn chiếu không gây nguy hiểm.</x:v>
      </x:c>
      <x:c r="O38" s="14" t="str">
        <x:v>Thiết lập quy trình đánh giá an toàn trước thay đổi; họp hiệp đồng khai thác; xác nhận phương án giảm thiểu; ban hành NOTAM/AIP/AIC nếu đủ điều kiện; giám sát hiện trường theo phạm vi phối hợp.</x:v>
      </x:c>
      <x:c r="P38" s="14" t="str">
        <x:v>Không làm gián đoạn ANS; mọi thay đổi có đánh giá an toàn, có phương án giảm thiểu và truyền thông tin hàng không kịp thời</x:v>
      </x:c>
      <x:c r="Q38" s="14" t="str">
        <x:v>Văn bản ý kiến VATM; safety assessment; phương án giảm thiểu; NOTAM/AIP/AIC; biên bản họp; nhật ký giám sát; tài liệu khai thác công trình</x:v>
      </x:c>
      <x:c r="R38"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8" s="14" t="str">
        <x:v>Ban Kế hoạch - Đầu tư; Ban Không lưu; Ban Kỹ thuật - CNS/IT/Môi trường; Ban An toàn - Chất lượng; Trung tâm Thông báo tin tức hàng không; Các Công ty Quản lý bay khu vực Bắc/Trung/Nam</x:v>
      </x:c>
      <x:c r="T38" s="14" t="str">
        <x:v>Các Công ty Quản lý bay khu vực Bắc/Trung/Nam; Ban Kế hoạch - Đầu tư; Ban Không lưu; Ban Kỹ thuật - CNS/IT/Môi trường</x:v>
      </x:c>
      <x:c r="U38" s="14" t="str">
        <x:v>CHK Việt Nam, Cảng vụ HK, ACV/người khai thác cảng, chủ đầu tư, đơn vị thi công/giám sát</x:v>
      </x:c>
      <x:c r="V38" s="14" t="str">
        <x:v>Theo từng hồ sơ, trước khi đưa/dừng khai thác hoặc trước thi công; cập nhật khi thay đổi</x:v>
      </x:c>
      <x:c r="W38" s="14" t="str">
        <x:v>P1</x:v>
      </x:c>
      <x:c r="X38" s="14" t="str">
        <x:v>Cao</x:v>
      </x:c>
      <x:c r="Y38" s="14" t="str">
        <x:v>Chưa bắt đầu</x:v>
      </x:c>
      <x:c r="Z38" s="14" t="str">
        <x:v>Nhóm điều khoản quan trọng nhất với VATM.</x:v>
      </x:c>
      <x:c r="AA38" s="14" t="str"/>
      <x:c r="AB38" s="14" t="str">
        <x:v>cang; san bay; an toan; cns</x:v>
      </x:c>
    </x:row>
    <x:row r="39">
      <x:c r="A39" s="14" t="str">
        <x:v>VATM-0038</x:v>
      </x:c>
      <x:c r="B39" s="14" t="str">
        <x:v>38</x:v>
      </x:c>
      <x:c r="C39" s="14" t="str">
        <x:v>Nghị định 205/2026/NĐ-CP</x:v>
      </x:c>
      <x:c r="D39" s="14" t="str">
        <x:v>Ra_soat_sau_ND205_VATM_ANSP_day_du.xlsx</x:v>
      </x:c>
      <x:c r="E39" s="14" t="str">
        <x:v>01_Nhiem_vu_chi_tiet</x:v>
      </x:c>
      <x:c r="F39" s="56" t="n">
        <x:v>39</x:v>
      </x:c>
      <x:c r="G39" s="14" t="str">
        <x:v>Điều 78</x:v>
      </x:c>
      <x:c r="H39" s="14" t="str">
        <x:v>Quản lý khai thác cảng/sân bay</x:v>
      </x:c>
      <x:c r="I39" s="14" t="str">
        <x:v>Công trình, chướng ngại và thi công</x:v>
      </x:c>
      <x:c r="J39" s="14" t="str">
        <x:v>Trách nhiệm người khai thác cảng trong hoạt động thi công</x:v>
      </x:c>
      <x:c r="K39" s="14" t="str">
        <x:v>Trực tiếp</x:v>
      </x:c>
      <x:c r="L39" s="14" t="str">
        <x:v>Quy trình/SOP/biểu mẫu</x:v>
      </x:c>
      <x:c r="M39" s="14" t="str">
        <x:v>ANSP</x:v>
      </x:c>
      <x:c r="N39" s="14" t="str">
        <x:v>Phối hợp với người khai thác cảng để thống nhất phương án thi công, thông báo nội dung thi công, phối hợp điều hành khi thay đổi phương án khai thác.</x:v>
      </x:c>
      <x:c r="O39" s="14" t="str">
        <x:v>Thiết lập quy trình đánh giá an toàn trước thay đổi; họp hiệp đồng khai thác; xác nhận phương án giảm thiểu; ban hành NOTAM/AIP/AIC nếu đủ điều kiện; giám sát hiện trường theo phạm vi phối hợp.</x:v>
      </x:c>
      <x:c r="P39" s="14" t="str">
        <x:v>Không làm gián đoạn ANS; mọi thay đổi có đánh giá an toàn, có phương án giảm thiểu và truyền thông tin hàng không kịp thời</x:v>
      </x:c>
      <x:c r="Q39" s="14" t="str">
        <x:v>Văn bản ý kiến VATM; safety assessment; phương án giảm thiểu; NOTAM/AIP/AIC; biên bản họp; nhật ký giám sát; tài liệu khai thác công trình</x:v>
      </x:c>
      <x:c r="R39" s="14" t="str">
        <x:v>Quy trình quản lý thay đổi ATM/CNS/AIS; quy trình đánh giá an toàn; quy trình NOTAM/AIP; quy trình quản lý thi công tại khu vực hoạt động bay; Mẫu safety assessment thi công; checklist ảnh hưởng CNS/ATM/AIS/MET; mẫu biên bản hiệp đồng đưa/dừng khai thác; mẫu yêu cầu NOTAM</x:v>
      </x:c>
      <x:c r="S39" s="14" t="str">
        <x:v>Ban Kế hoạch - Đầu tư; Ban Không lưu; Ban Kỹ thuật - CNS/IT/Môi trường; Ban An toàn - Chất lượng; Trung tâm Thông báo tin tức hàng không; Các Công ty Quản lý bay khu vực Bắc/Trung/Nam</x:v>
      </x:c>
      <x:c r="T39" s="14" t="str">
        <x:v>Các Công ty Quản lý bay khu vực Bắc/Trung/Nam; Ban Kế hoạch - Đầu tư; Ban Không lưu; Ban Kỹ thuật - CNS/IT/Môi trường</x:v>
      </x:c>
      <x:c r="U39" s="14" t="str">
        <x:v>CHK Việt Nam, Cảng vụ HK, ACV/người khai thác cảng, chủ đầu tư, đơn vị thi công/giám sát</x:v>
      </x:c>
      <x:c r="V39" s="14" t="str">
        <x:v>Theo từng hồ sơ, trước khi đưa/dừng khai thác hoặc trước thi công; cập nhật khi thay đổi</x:v>
      </x:c>
      <x:c r="W39" s="14" t="str">
        <x:v>P1</x:v>
      </x:c>
      <x:c r="X39" s="14" t="str">
        <x:v>Rất cao</x:v>
      </x:c>
      <x:c r="Y39" s="14" t="str">
        <x:v>Chưa bắt đầu</x:v>
      </x:c>
      <x:c r="Z39" s="14" t="str">
        <x:v>Nhóm điều khoản quan trọng nhất với VATM.</x:v>
      </x:c>
      <x:c r="AA39" s="14" t="str"/>
      <x:c r="AB39" s="14" t="str">
        <x:v>cang; san bay; cns; an toan</x:v>
      </x:c>
    </x:row>
    <x:row r="40">
      <x:c r="A40" s="14" t="str">
        <x:v>VATM-0039</x:v>
      </x:c>
      <x:c r="B40" s="14" t="str">
        <x:v>39</x:v>
      </x:c>
      <x:c r="C40" s="14" t="str">
        <x:v>Nghị định 205/2026/NĐ-CP</x:v>
      </x:c>
      <x:c r="D40" s="14" t="str">
        <x:v>Ra_soat_sau_ND205_VATM_ANSP_day_du.xlsx</x:v>
      </x:c>
      <x:c r="E40" s="14" t="str">
        <x:v>01_Nhiem_vu_chi_tiet</x:v>
      </x:c>
      <x:c r="F40" s="56" t="n">
        <x:v>40</x:v>
      </x:c>
      <x:c r="G40" s="14" t="str">
        <x:v>Điều 79</x:v>
      </x:c>
      <x:c r="H40" s="14" t="str">
        <x:v>Quản lý khai thác cảng/sân bay</x:v>
      </x:c>
      <x:c r="I40" s="14" t="str">
        <x:v>Công trình, chướng ngại và thi công</x:v>
      </x:c>
      <x:c r="J40" s="14" t="str">
        <x:v>Đóng, mở bãi cất hạ cánh</x:v>
      </x:c>
      <x:c r="K40" s="14" t="str">
        <x:v>Trực tiếp</x:v>
      </x:c>
      <x:c r="L40" s="14" t="str">
        <x:v>Quy trình/SOP/biểu mẫu</x:v>
      </x:c>
      <x:c r="M40" s="14" t="str">
        <x:v>ANSP</x:v>
      </x:c>
      <x:c r="N40" s="14" t="str">
        <x:v>Cung cấp ý kiến ANS khi đóng/mở bãi cất hạ cánh; đánh giá ảnh hưởng tới vùng trời, phương thức bay, SAR, MET, thông báo tin tức hàng không.</x:v>
      </x:c>
      <x:c r="O40" s="14" t="str">
        <x:v>Rà soát tọa độ/cao độ, phương thức khai thác, liên lạc, vùng trời; cập nhật thông tin AIS/NOTAM; phổ biến cho cơ sở điều hành bay liên quan.</x:v>
      </x:c>
      <x:c r="P40" s="14" t="str">
        <x:v>Thông tin bay chính xác, kịp thời, tránh khai thác vào khu vực chưa đủ điều kiện</x:v>
      </x:c>
      <x:c r="Q40" s="14" t="str">
        <x:v>Văn bản ý kiến; NOTAM/AIP SUP nếu có; kế hoạch hiệp đồng; hồ sơ tọa độ/cao độ</x:v>
      </x:c>
      <x:c r="R40" s="14" t="str">
        <x:v>Quy trình phối hợp thông báo tin tức HK đối với bãi cất hạ cánh; Mẫu rà soát bãi cất hạ cánh theo ANS</x:v>
      </x:c>
      <x:c r="S40" s="14" t="str">
        <x:v>Ban Kế hoạch - Đầu tư; Ban Không lưu; Ban Kỹ thuật - CNS/IT/Môi trường; Trung tâm Khí tượng hàng không; Trung tâm Thông báo tin tức hàng không; Trung tâm Tìm kiếm cứu nạn hàng không</x:v>
      </x:c>
      <x:c r="T40" s="14" t="str">
        <x:v>Các Công ty Quản lý bay khu vực Bắc/Trung/Nam; Ban Kế hoạch - Đầu tư; Ban Không lưu; Ban Kỹ thuật - CNS/IT/Môi trường</x:v>
      </x:c>
      <x:c r="U40" s="14" t="str">
        <x:v>Bộ Quốc phòng, Bộ Xây dựng, CHK Việt Nam, Cục Tác chiến, địa phương, chủ sở hữu bãi</x:v>
      </x:c>
      <x:c r="V40" s="14" t="str">
        <x:v>Theo từng hồ sơ; trước ngày hiệu lực thông báo</x:v>
      </x:c>
      <x:c r="W40" s="14" t="str">
        <x:v>P1</x:v>
      </x:c>
      <x:c r="X40" s="14" t="str">
        <x:v>Cao</x:v>
      </x:c>
      <x:c r="Y40" s="14" t="str">
        <x:v>Chưa bắt đầu</x:v>
      </x:c>
      <x:c r="Z40" s="14" t="str">
        <x:v>Có liên quan đến vùng trời và thông tin hàng không.</x:v>
      </x:c>
      <x:c r="AA40" s="14" t="str"/>
      <x:c r="AB40" s="14" t="str">
        <x:v>cang; san bay; ans; met; sar</x:v>
      </x:c>
    </x:row>
    <x:row r="41">
      <x:c r="A41" s="14" t="str">
        <x:v>VATM-0040</x:v>
      </x:c>
      <x:c r="B41" s="14" t="str">
        <x:v>40</x:v>
      </x:c>
      <x:c r="C41" s="14" t="str">
        <x:v>Nghị định 205/2026/NĐ-CP</x:v>
      </x:c>
      <x:c r="D41" s="14" t="str">
        <x:v>Ra_soat_sau_ND205_VATM_ANSP_day_du.xlsx</x:v>
      </x:c>
      <x:c r="E41" s="14" t="str">
        <x:v>01_Nhiem_vu_chi_tiet</x:v>
      </x:c>
      <x:c r="F41" s="56" t="n">
        <x:v>41</x:v>
      </x:c>
      <x:c r="G41" s="14" t="str">
        <x:v>Điều 80-85</x:v>
      </x:c>
      <x:c r="H41" s="14" t="str">
        <x:v>Quản lý khai thác cảng/sân bay</x:v>
      </x:c>
      <x:c r="I41" s="14" t="str">
        <x:v>Công trình, chướng ngại và thi công</x:v>
      </x:c>
      <x:c r="J41" s="14" t="str">
        <x:v>Thủ tục mở/đóng/tạm đóng/mở lại bãi cất hạ cánh</x:v>
      </x:c>
      <x:c r="K41" s="14" t="str">
        <x:v>Trực tiếp</x:v>
      </x:c>
      <x:c r="L41" s="14" t="str">
        <x:v>Quy trình/SOP/biểu mẫu</x:v>
      </x:c>
      <x:c r="M41" s="14" t="str">
        <x:v>ANSP</x:v>
      </x:c>
      <x:c r="N41" s="14" t="str">
        <x:v>Phối hợp xử lý thủ tục mở, đóng, tạm đóng, mở lại bãi cất hạ cánh; phát hành hoặc đề nghị phát hành tin tức hàng không khi ảnh hưởng hoạt động bay.</x:v>
      </x:c>
      <x:c r="O41" s="14" t="str">
        <x:v>Rà soát tọa độ/cao độ, phương thức khai thác, liên lạc, vùng trời; cập nhật thông tin AIS/NOTAM; phổ biến cho cơ sở điều hành bay liên quan.</x:v>
      </x:c>
      <x:c r="P41" s="14" t="str">
        <x:v>Thông tin bay chính xác, kịp thời, tránh khai thác vào khu vực chưa đủ điều kiện</x:v>
      </x:c>
      <x:c r="Q41" s="14" t="str">
        <x:v>Văn bản ý kiến; NOTAM/AIP SUP nếu có; kế hoạch hiệp đồng; hồ sơ tọa độ/cao độ</x:v>
      </x:c>
      <x:c r="R41" s="14" t="str">
        <x:v>Quy trình phối hợp thông báo tin tức HK đối với bãi cất hạ cánh; Mẫu rà soát bãi cất hạ cánh theo ANS</x:v>
      </x:c>
      <x:c r="S41" s="14" t="str">
        <x:v>Ban Kế hoạch - Đầu tư; Ban Không lưu; Ban Kỹ thuật - CNS/IT/Môi trường; Trung tâm Khí tượng hàng không; Trung tâm Thông báo tin tức hàng không; Trung tâm Tìm kiếm cứu nạn hàng không</x:v>
      </x:c>
      <x:c r="T41" s="14" t="str">
        <x:v>Các Công ty Quản lý bay khu vực Bắc/Trung/Nam; Ban Kế hoạch - Đầu tư; Ban Không lưu; Ban Kỹ thuật - CNS/IT/Môi trường</x:v>
      </x:c>
      <x:c r="U41" s="14" t="str">
        <x:v>Bộ Quốc phòng, Bộ Xây dựng, CHK Việt Nam, Cục Tác chiến, địa phương, chủ sở hữu bãi</x:v>
      </x:c>
      <x:c r="V41" s="14" t="str">
        <x:v>Theo từng hồ sơ; trước ngày hiệu lực thông báo</x:v>
      </x:c>
      <x:c r="W41" s="14" t="str">
        <x:v>P1</x:v>
      </x:c>
      <x:c r="X41" s="14" t="str">
        <x:v>Cao</x:v>
      </x:c>
      <x:c r="Y41" s="14" t="str">
        <x:v>Chưa bắt đầu</x:v>
      </x:c>
      <x:c r="Z41" s="14" t="str">
        <x:v>Có liên quan đến vùng trời và thông tin hàng không.</x:v>
      </x:c>
      <x:c r="AA41" s="14" t="str"/>
      <x:c r="AB41" s="14" t="str">
        <x:v>cang; san bay</x:v>
      </x:c>
    </x:row>
    <x:row r="42">
      <x:c r="A42" s="14" t="str">
        <x:v>VATM-0041</x:v>
      </x:c>
      <x:c r="B42" s="14" t="str">
        <x:v>41</x:v>
      </x:c>
      <x:c r="C42" s="14" t="str">
        <x:v>Nghị định 205/2026/NĐ-CP</x:v>
      </x:c>
      <x:c r="D42" s="14" t="str">
        <x:v>Ra_soat_sau_ND205_VATM_ANSP_day_du.xlsx</x:v>
      </x:c>
      <x:c r="E42" s="14" t="str">
        <x:v>01_Nhiem_vu_chi_tiet</x:v>
      </x:c>
      <x:c r="F42" s="56" t="n">
        <x:v>42</x:v>
      </x:c>
      <x:c r="G42" s="14" t="str">
        <x:v>Điều 86</x:v>
      </x:c>
      <x:c r="H42" s="14" t="str">
        <x:v>Tuân thủ, pháp chế &amp; quản trị</x:v>
      </x:c>
      <x:c r="I42" s="14" t="str">
        <x:v>Rà soát văn bản, quy trình và GAP</x:v>
      </x:c>
      <x:c r="J42" s="14" t="str">
        <x:v>Dây chuyền hoạt động tại cảng</x:v>
      </x:c>
      <x:c r="K42" s="14" t="str">
        <x:v>Trực tiếp</x:v>
      </x:c>
      <x:c r="L42" s="14" t="str">
        <x:v>Quy trình/SOP/biểu mẫu</x:v>
      </x:c>
      <x:c r="M42" s="14" t="str">
        <x:v>ANSP/doanh nghiệp hàng không</x:v>
      </x:c>
      <x:c r="N42" s="14" t="str">
        <x:v>Phối hợp trong dây chuyền hoạt động tại cảng: bảo đảm hoạt động bay, kiểm soát phương tiện chuyên ngành, công tác bảo đảm an toàn khai thác.</x:v>
      </x:c>
      <x:c r="O42" s="14" t="str">
        <x:v>Ký hiệp đồng khai thác; cập nhật quy trình nội bộ; quản lý phương tiện và nhân sự ra/vào khu bay; tổ chức diễn tập phối hợp nếu cần.</x:v>
      </x:c>
      <x:c r="P42" s="14" t="str">
        <x:v>Hoạt động phối hợp trơn tru, giảm xung đột khai thác, bảo đảm an toàn và an ninh</x:v>
      </x:c>
      <x:c r="Q42" s="14" t="str">
        <x:v>Quy chế/hiệp đồng; danh mục phương tiện; hồ sơ kiểm định; biên bản phối hợp quân-dân dụng</x:v>
      </x:c>
      <x:c r="R42" s="14" t="str">
        <x:v>Quy trình điều hành phối hợp tại sân bay dùng chung; quy trình quản lý phương tiện VATM trong sân bay; Mẫu hiệp đồng quản lý khu vực dùng chung; checklist phương tiện chuyên ngành VATM</x:v>
      </x:c>
      <x:c r="S42" s="14" t="str">
        <x:v>Văn phòng - Pháp chế; Ban Không lưu; Ban Kỹ thuật - CNS/IT/Môi trường; Các Công ty Quản lý bay khu vực Bắc/Trung/Nam</x:v>
      </x:c>
      <x:c r="T42" s="14" t="str">
        <x:v>Văn phòng - Pháp chế</x:v>
      </x:c>
      <x:c r="U42" s="14" t="str">
        <x:v>CHK Việt Nam, Cảng vụ, ACV/người khai thác cảng, Bộ Quốc phòng, hãng hàng không</x:v>
      </x:c>
      <x:c r="V42" s="14" t="str">
        <x:v>Thường xuyên; rà soát định kỳ hàng năm hoặc khi thay đổi khai thác</x:v>
      </x:c>
      <x:c r="W42" s="14" t="str">
        <x:v>P1</x:v>
      </x:c>
      <x:c r="X42" s="14" t="str">
        <x:v>Cao</x:v>
      </x:c>
      <x:c r="Y42" s="14" t="str">
        <x:v>Chưa bắt đầu</x:v>
      </x:c>
      <x:c r="Z42" s="14" t="str">
        <x:v>Nhiệm vụ cốt lõi với các sân bay quân-dân dụng.</x:v>
      </x:c>
      <x:c r="AA42" s="14" t="str"/>
      <x:c r="AB42" s="14" t="str">
        <x:v>phap che; an toan; cang; cns</x:v>
      </x:c>
    </x:row>
    <x:row r="43">
      <x:c r="A43" s="14" t="str">
        <x:v>VATM-0042</x:v>
      </x:c>
      <x:c r="B43" s="14" t="str">
        <x:v>42</x:v>
      </x:c>
      <x:c r="C43" s="14" t="str">
        <x:v>Nghị định 205/2026/NĐ-CP</x:v>
      </x:c>
      <x:c r="D43" s="14" t="str">
        <x:v>Ra_soat_sau_ND205_VATM_ANSP_day_du.xlsx</x:v>
      </x:c>
      <x:c r="E43" s="14" t="str">
        <x:v>01_Nhiem_vu_chi_tiet</x:v>
      </x:c>
      <x:c r="F43" s="56" t="n">
        <x:v>43</x:v>
      </x:c>
      <x:c r="G43" s="14" t="str">
        <x:v>Điều 87</x:v>
      </x:c>
      <x:c r="H43" s="14" t="str">
        <x:v>Tuân thủ, pháp chế &amp; quản trị</x:v>
      </x:c>
      <x:c r="I43" s="14" t="str">
        <x:v>Rà soát văn bản, quy trình và GAP</x:v>
      </x:c>
      <x:c r="J43" s="14" t="str">
        <x:v>Kiểm soát phương tiện chuyên ngành</x:v>
      </x:c>
      <x:c r="K43" s="14" t="str">
        <x:v>Trực tiếp</x:v>
      </x:c>
      <x:c r="L43" s="14" t="str">
        <x:v>Quy trình/SOP/biểu mẫu</x:v>
      </x:c>
      <x:c r="M43" s="14" t="str">
        <x:v>ANSP/doanh nghiệp hàng không</x:v>
      </x:c>
      <x:c r="N43" s="14" t="str">
        <x:v>Bảo đảm phương tiện chuyên ngành của VATM hoạt động trong sân bay có hồ sơ kiểm định/biển kiểm soát/đăng ký theo quy định và phối hợp quản lý phương tiện.</x:v>
      </x:c>
      <x:c r="O43" s="14" t="str">
        <x:v>Ký hiệp đồng khai thác; cập nhật quy trình nội bộ; quản lý phương tiện và nhân sự ra/vào khu bay; tổ chức diễn tập phối hợp nếu cần.</x:v>
      </x:c>
      <x:c r="P43" s="14" t="str">
        <x:v>Hoạt động phối hợp trơn tru, giảm xung đột khai thác, bảo đảm an toàn và an ninh</x:v>
      </x:c>
      <x:c r="Q43" s="14" t="str">
        <x:v>Quy chế/hiệp đồng; danh mục phương tiện; hồ sơ kiểm định; biên bản phối hợp quân-dân dụng</x:v>
      </x:c>
      <x:c r="R43" s="14" t="str">
        <x:v>Quy trình điều hành phối hợp tại sân bay dùng chung; quy trình quản lý phương tiện VATM trong sân bay; Mẫu hiệp đồng quản lý khu vực dùng chung; checklist phương tiện chuyên ngành VATM</x:v>
      </x:c>
      <x:c r="S43" s="14" t="str">
        <x:v>Văn phòng - Pháp chế; Ban Không lưu; Ban Kỹ thuật - CNS/IT/Môi trường; Các Công ty Quản lý bay khu vực Bắc/Trung/Nam</x:v>
      </x:c>
      <x:c r="T43" s="14" t="str">
        <x:v>Văn phòng - Pháp chế</x:v>
      </x:c>
      <x:c r="U43" s="14" t="str">
        <x:v>CHK Việt Nam, Cảng vụ, ACV/người khai thác cảng, Bộ Quốc phòng, hãng hàng không</x:v>
      </x:c>
      <x:c r="V43" s="14" t="str">
        <x:v>Thường xuyên; rà soát định kỳ hàng năm hoặc khi thay đổi khai thác</x:v>
      </x:c>
      <x:c r="W43" s="14" t="str">
        <x:v>P1</x:v>
      </x:c>
      <x:c r="X43" s="14" t="str">
        <x:v>Cao</x:v>
      </x:c>
      <x:c r="Y43" s="14" t="str">
        <x:v>Chưa bắt đầu</x:v>
      </x:c>
      <x:c r="Z43" s="14" t="str">
        <x:v>Nhiệm vụ cốt lõi với các sân bay quân-dân dụng.</x:v>
      </x:c>
      <x:c r="AA43" s="14" t="str"/>
      <x:c r="AB43" s="14" t="str">
        <x:v>phap che; atm; san bay; cns</x:v>
      </x:c>
    </x:row>
    <x:row r="44">
      <x:c r="A44" s="14" t="str">
        <x:v>VATM-0043</x:v>
      </x:c>
      <x:c r="B44" s="14" t="str">
        <x:v>43</x:v>
      </x:c>
      <x:c r="C44" s="14" t="str">
        <x:v>Nghị định 205/2026/NĐ-CP</x:v>
      </x:c>
      <x:c r="D44" s="14" t="str">
        <x:v>Ra_soat_sau_ND205_VATM_ANSP_day_du.xlsx</x:v>
      </x:c>
      <x:c r="E44" s="14" t="str">
        <x:v>01_Nhiem_vu_chi_tiet</x:v>
      </x:c>
      <x:c r="F44" s="56" t="n">
        <x:v>44</x:v>
      </x:c>
      <x:c r="G44" s="14" t="str">
        <x:v>Điều 88</x:v>
      </x:c>
      <x:c r="H44" s="14" t="str">
        <x:v>Tuân thủ, pháp chế &amp; quản trị</x:v>
      </x:c>
      <x:c r="I44" s="14" t="str">
        <x:v>Rà soát văn bản, quy trình và GAP</x:v>
      </x:c>
      <x:c r="J44" s="14" t="str">
        <x:v>Phối hợp quản lý sân bay khai thác lưỡng dụng</x:v>
      </x:c>
      <x:c r="K44" s="14" t="str">
        <x:v>Trực tiếp</x:v>
      </x:c>
      <x:c r="L44" s="14" t="str">
        <x:v>Quy trình/SOP/biểu mẫu</x:v>
      </x:c>
      <x:c r="M44" s="14" t="str">
        <x:v>ANSP/doanh nghiệp hàng không</x:v>
      </x:c>
      <x:c r="N44" s="14" t="str">
        <x:v>Tham gia hiệp đồng quản lý khu vực dùng chung giữa hàng không dân dụng và quân sự; phối hợp điều hành tàu bay dân dụng, quân sự, lực lượng vũ trang nhân dân.</x:v>
      </x:c>
      <x:c r="O44" s="14" t="str">
        <x:v>Ký hiệp đồng khai thác; cập nhật quy trình nội bộ; quản lý phương tiện và nhân sự ra/vào khu bay; tổ chức diễn tập phối hợp nếu cần.</x:v>
      </x:c>
      <x:c r="P44" s="14" t="str">
        <x:v>Hoạt động phối hợp trơn tru, giảm xung đột khai thác, bảo đảm an toàn và an ninh</x:v>
      </x:c>
      <x:c r="Q44" s="14" t="str">
        <x:v>Quy chế/hiệp đồng; danh mục phương tiện; hồ sơ kiểm định; biên bản phối hợp quân-dân dụng</x:v>
      </x:c>
      <x:c r="R44" s="14" t="str">
        <x:v>Quy trình điều hành phối hợp tại sân bay dùng chung; quy trình quản lý phương tiện VATM trong sân bay; Mẫu hiệp đồng quản lý khu vực dùng chung; checklist phương tiện chuyên ngành VATM</x:v>
      </x:c>
      <x:c r="S44" s="14" t="str">
        <x:v>Văn phòng - Pháp chế; Ban Không lưu; Ban Kỹ thuật - CNS/IT/Môi trường; Các Công ty Quản lý bay khu vực Bắc/Trung/Nam</x:v>
      </x:c>
      <x:c r="T44" s="14" t="str">
        <x:v>Văn phòng - Pháp chế</x:v>
      </x:c>
      <x:c r="U44" s="14" t="str">
        <x:v>CHK Việt Nam, Cảng vụ, ACV/người khai thác cảng, Bộ Quốc phòng, hãng hàng không</x:v>
      </x:c>
      <x:c r="V44" s="14" t="str">
        <x:v>Thường xuyên; rà soát định kỳ hàng năm hoặc khi thay đổi khai thác</x:v>
      </x:c>
      <x:c r="W44" s="14" t="str">
        <x:v>P1</x:v>
      </x:c>
      <x:c r="X44" s="14" t="str">
        <x:v>Cao</x:v>
      </x:c>
      <x:c r="Y44" s="14" t="str">
        <x:v>Chưa bắt đầu</x:v>
      </x:c>
      <x:c r="Z44" s="14" t="str">
        <x:v>Nhiệm vụ cốt lõi với các sân bay quân-dân dụng.</x:v>
      </x:c>
      <x:c r="AA44" s="14" t="str"/>
      <x:c r="AB44" s="14" t="str">
        <x:v>phap che; cns</x:v>
      </x:c>
    </x:row>
    <x:row r="45">
      <x:c r="A45" s="14" t="str">
        <x:v>VATM-0044</x:v>
      </x:c>
      <x:c r="B45" s="14" t="str">
        <x:v>44</x:v>
      </x:c>
      <x:c r="C45" s="14" t="str">
        <x:v>Nghị định 205/2026/NĐ-CP</x:v>
      </x:c>
      <x:c r="D45" s="14" t="str">
        <x:v>Ra_soat_sau_ND205_VATM_ANSP_day_du.xlsx</x:v>
      </x:c>
      <x:c r="E45" s="14" t="str">
        <x:v>01_Nhiem_vu_chi_tiet</x:v>
      </x:c>
      <x:c r="F45" s="56" t="n">
        <x:v>45</x:v>
      </x:c>
      <x:c r="G45" s="14" t="str">
        <x:v>Điều 89</x:v>
      </x:c>
      <x:c r="H45" s="14" t="str">
        <x:v>Tuân thủ, pháp chế &amp; quản trị</x:v>
      </x:c>
      <x:c r="I45" s="14" t="str">
        <x:v>Rà soát văn bản, quy trình và GAP</x:v>
      </x:c>
      <x:c r="J45" s="14" t="str">
        <x:v>Sân bay căn cứ hãng hàng không</x:v>
      </x:c>
      <x:c r="K45" s="14" t="str">
        <x:v>Trực tiếp</x:v>
      </x:c>
      <x:c r="L45" s="14" t="str">
        <x:v>Dữ liệu/số hóa</x:v>
      </x:c>
      <x:c r="M45" s="14" t="str">
        <x:v>ANSP/doanh nghiệp hàng không</x:v>
      </x:c>
      <x:c r="N45" s="14" t="str">
        <x:v>Cung cấp dữ liệu, hiệp đồng khai thác khi sân bay được xác định là sân bay căn cứ hãng, bảo đảm bố trí bay qua đêm không ảnh hưởng năng lực ANS.</x:v>
      </x:c>
      <x:c r="O45" s="14" t="str">
        <x:v>Ký hiệp đồng khai thác; cập nhật quy trình nội bộ; quản lý phương tiện và nhân sự ra/vào khu bay; tổ chức diễn tập phối hợp nếu cần.</x:v>
      </x:c>
      <x:c r="P45" s="14" t="str">
        <x:v>Hoạt động phối hợp trơn tru, giảm xung đột khai thác, bảo đảm an toàn và an ninh</x:v>
      </x:c>
      <x:c r="Q45" s="14" t="str">
        <x:v>Quy chế/hiệp đồng; danh mục phương tiện; hồ sơ kiểm định; biên bản phối hợp quân-dân dụng</x:v>
      </x:c>
      <x:c r="R45" s="14" t="str">
        <x:v>Quy trình điều hành phối hợp tại sân bay dùng chung; quy trình quản lý phương tiện VATM trong sân bay; Mẫu hiệp đồng quản lý khu vực dùng chung; checklist phương tiện chuyên ngành VATM</x:v>
      </x:c>
      <x:c r="S45" s="14" t="str">
        <x:v>Văn phòng - Pháp chế; Ban Không lưu; Ban Kỹ thuật - CNS/IT/Môi trường; Các Công ty Quản lý bay khu vực Bắc/Trung/Nam</x:v>
      </x:c>
      <x:c r="T45" s="14" t="str">
        <x:v>Văn phòng - Pháp chế</x:v>
      </x:c>
      <x:c r="U45" s="14" t="str">
        <x:v>CHK Việt Nam, Cảng vụ, ACV/người khai thác cảng, Bộ Quốc phòng, hãng hàng không</x:v>
      </x:c>
      <x:c r="V45" s="14" t="str">
        <x:v>Thường xuyên; rà soát định kỳ hàng năm hoặc khi thay đổi khai thác</x:v>
      </x:c>
      <x:c r="W45" s="14" t="str">
        <x:v>P1</x:v>
      </x:c>
      <x:c r="X45" s="14" t="str">
        <x:v>Cao</x:v>
      </x:c>
      <x:c r="Y45" s="14" t="str">
        <x:v>Chưa bắt đầu</x:v>
      </x:c>
      <x:c r="Z45" s="14" t="str">
        <x:v>Nhiệm vụ cốt lõi với các sân bay quân-dân dụng.</x:v>
      </x:c>
      <x:c r="AA45" s="14" t="str"/>
      <x:c r="AB45" s="14" t="str">
        <x:v>phap che; ans; san bay; du lieu; cns</x:v>
      </x:c>
    </x:row>
    <x:row r="46">
      <x:c r="A46" s="14" t="str">
        <x:v>VATM-0045</x:v>
      </x:c>
      <x:c r="B46" s="14" t="str">
        <x:v>45</x:v>
      </x:c>
      <x:c r="C46" s="14" t="str">
        <x:v>Nghị định 205/2026/NĐ-CP</x:v>
      </x:c>
      <x:c r="D46" s="14" t="str">
        <x:v>Ra_soat_sau_ND205_VATM_ANSP_day_du.xlsx</x:v>
      </x:c>
      <x:c r="E46" s="14" t="str">
        <x:v>01_Nhiem_vu_chi_tiet</x:v>
      </x:c>
      <x:c r="F46" s="56" t="n">
        <x:v>46</x:v>
      </x:c>
      <x:c r="G46" s="14" t="str">
        <x:v>Điều 90</x:v>
      </x:c>
      <x:c r="H46" s="14" t="str">
        <x:v>Tuân thủ, pháp chế &amp; quản trị</x:v>
      </x:c>
      <x:c r="I46" s="14" t="str">
        <x:v>Rà soát văn bản, quy trình và GAP</x:v>
      </x:c>
      <x:c r="J46" s="14" t="str">
        <x:v>Trách nhiệm Bộ Xây dựng</x:v>
      </x:c>
      <x:c r="K46" s="14" t="str">
        <x:v>Phối hợp/Gián tiếp</x:v>
      </x:c>
      <x:c r="L46" s="14" t="str">
        <x:v>Báo cáo/điều tra/khắc phục</x:v>
      </x:c>
      <x:c r="M46" s="14" t="str">
        <x:v>ANSP/doanh nghiệp hàng không</x:v>
      </x:c>
      <x:c r="N46" s="14" t="str">
        <x:v>Theo dõi văn bản hướng dẫn, quy chuẩn, tiêu chuẩn và chỉ đạo của Bộ Xây dựng để cập nhật hệ thống quản trị tuân thủ của VATM.</x:v>
      </x:c>
      <x:c r="O46" s="14" t="str">
        <x:v>Ban hành kế hoạch tuân thủ NĐ205; cập nhật căn cứ pháp lý; rà soát văn bản nội bộ; lập danh mục hồ sơ chuyển tiếp; báo cáo lãnh đạo.</x:v>
      </x:c>
      <x:c r="P46" s="14" t="str">
        <x:v>Không còn áp dụng căn cứ hết hiệu lực; hồ sơ chuyển tiếp không bị đứt gãy</x:v>
      </x:c>
      <x:c r="Q46" s="14" t="str">
        <x:v>Kế hoạch tuân thủ; bảng rà soát văn bản nội bộ; danh mục hồ sơ chuyển tiếp; báo cáo pháp chế</x:v>
      </x:c>
      <x:c r="R46" s="14" t="str">
        <x:v>Quy trình cập nhật văn bản QPPL; quy trình kiểm soát tuân thủ pháp luật; Mẫu bảng chuyển tiếp pháp lý NĐ205; checklist cập nhật căn cứ văn bản</x:v>
      </x:c>
      <x:c r="S46" s="14" t="str">
        <x:v>Văn phòng - Pháp chế; Ban Kế hoạch - Đầu tư</x:v>
      </x:c>
      <x:c r="T46" s="14" t="str">
        <x:v>Văn phòng - Pháp chế</x:v>
      </x:c>
      <x:c r="U46" s="14" t="str">
        <x:v>Bộ Xây dựng, CHK Việt Nam, Cảng vụ, UBND địa phương, ACV/người khai thác cảng</x:v>
      </x:c>
      <x:c r="V46" s="14" t="str">
        <x:v>Ngay sau ban hành; hoàn thành trước/sát 01/7/2026; cập nhật khi có hướng dẫn</x:v>
      </x:c>
      <x:c r="W46" s="14" t="str">
        <x:v>P2</x:v>
      </x:c>
      <x:c r="X46" s="14" t="str">
        <x:v>Trung bình</x:v>
      </x:c>
      <x:c r="Y46" s="14" t="str">
        <x:v>Chưa bắt đầu</x:v>
      </x:c>
      <x:c r="Z46" s="14" t="str">
        <x:v>Cần làm ngay vì hiệu lực từ 01/7/2026.</x:v>
      </x:c>
      <x:c r="AA46" s="14" t="str"/>
      <x:c r="AB46" s="14" t="str">
        <x:v>phap che; atm</x:v>
      </x:c>
    </x:row>
    <x:row r="47">
      <x:c r="A47" s="14" t="str">
        <x:v>VATM-0046</x:v>
      </x:c>
      <x:c r="B47" s="14" t="str">
        <x:v>46</x:v>
      </x:c>
      <x:c r="C47" s="14" t="str">
        <x:v>Nghị định 205/2026/NĐ-CP</x:v>
      </x:c>
      <x:c r="D47" s="14" t="str">
        <x:v>Ra_soat_sau_ND205_VATM_ANSP_day_du.xlsx</x:v>
      </x:c>
      <x:c r="E47" s="14" t="str">
        <x:v>01_Nhiem_vu_chi_tiet</x:v>
      </x:c>
      <x:c r="F47" s="56" t="n">
        <x:v>47</x:v>
      </x:c>
      <x:c r="G47" s="14" t="str">
        <x:v>Điều 91</x:v>
      </x:c>
      <x:c r="H47" s="14" t="str">
        <x:v>Tuân thủ, pháp chế &amp; quản trị</x:v>
      </x:c>
      <x:c r="I47" s="14" t="str">
        <x:v>Rà soát văn bản, quy trình và GAP</x:v>
      </x:c>
      <x:c r="J47" s="14" t="str">
        <x:v>Trách nhiệm UBND nơi có cảng</x:v>
      </x:c>
      <x:c r="K47" s="14" t="str">
        <x:v>Phối hợp/Gián tiếp</x:v>
      </x:c>
      <x:c r="L47" s="14" t="str">
        <x:v>Báo cáo/điều tra/khắc phục</x:v>
      </x:c>
      <x:c r="M47" s="14" t="str">
        <x:v>ANSP/doanh nghiệp hàng không</x:v>
      </x:c>
      <x:c r="N47" s="14" t="str">
        <x:v>Phối hợp với địa phương trong quản lý tĩnh không, quy hoạch, quảng cáo, xây dựng, an ninh trật tự, bảo vệ môi trường khu vực lân cận cảng khi ảnh hưởng ANS.</x:v>
      </x:c>
      <x:c r="O47" s="14" t="str">
        <x:v>Ban hành kế hoạch tuân thủ NĐ205; cập nhật căn cứ pháp lý; rà soát văn bản nội bộ; lập danh mục hồ sơ chuyển tiếp; báo cáo lãnh đạo.</x:v>
      </x:c>
      <x:c r="P47" s="14" t="str">
        <x:v>Không còn áp dụng căn cứ hết hiệu lực; hồ sơ chuyển tiếp không bị đứt gãy</x:v>
      </x:c>
      <x:c r="Q47" s="14" t="str">
        <x:v>Kế hoạch tuân thủ; bảng rà soát văn bản nội bộ; danh mục hồ sơ chuyển tiếp; báo cáo pháp chế</x:v>
      </x:c>
      <x:c r="R47" s="14" t="str">
        <x:v>Quy trình cập nhật văn bản QPPL; quy trình kiểm soát tuân thủ pháp luật; Mẫu bảng chuyển tiếp pháp lý NĐ205; checklist cập nhật căn cứ văn bản</x:v>
      </x:c>
      <x:c r="S47" s="14" t="str">
        <x:v>Văn phòng - Pháp chế; Ban Kế hoạch - Đầu tư</x:v>
      </x:c>
      <x:c r="T47" s="14" t="str">
        <x:v>Văn phòng - Pháp chế</x:v>
      </x:c>
      <x:c r="U47" s="14" t="str">
        <x:v>Bộ Xây dựng, CHK Việt Nam, Cảng vụ, UBND địa phương, ACV/người khai thác cảng</x:v>
      </x:c>
      <x:c r="V47" s="14" t="str">
        <x:v>Ngay sau ban hành; hoàn thành trước/sát 01/7/2026; cập nhật khi có hướng dẫn</x:v>
      </x:c>
      <x:c r="W47" s="14" t="str">
        <x:v>P1</x:v>
      </x:c>
      <x:c r="X47" s="14" t="str">
        <x:v>Cao</x:v>
      </x:c>
      <x:c r="Y47" s="14" t="str">
        <x:v>Chưa bắt đầu</x:v>
      </x:c>
      <x:c r="Z47" s="14" t="str">
        <x:v>Cần làm ngay vì hiệu lực từ 01/7/2026.</x:v>
      </x:c>
      <x:c r="AA47" s="14" t="str"/>
      <x:c r="AB47" s="14" t="str">
        <x:v>phap che; ans; an ninh; cang</x:v>
      </x:c>
    </x:row>
    <x:row r="48">
      <x:c r="A48" s="14" t="str">
        <x:v>VATM-0047</x:v>
      </x:c>
      <x:c r="B48" s="14" t="str">
        <x:v>47</x:v>
      </x:c>
      <x:c r="C48" s="14" t="str">
        <x:v>Nghị định 205/2026/NĐ-CP</x:v>
      </x:c>
      <x:c r="D48" s="14" t="str">
        <x:v>Ra_soat_sau_ND205_VATM_ANSP_day_du.xlsx</x:v>
      </x:c>
      <x:c r="E48" s="14" t="str">
        <x:v>01_Nhiem_vu_chi_tiet</x:v>
      </x:c>
      <x:c r="F48" s="56" t="n">
        <x:v>48</x:v>
      </x:c>
      <x:c r="G48" s="14" t="str">
        <x:v>Điều 92</x:v>
      </x:c>
      <x:c r="H48" s="14" t="str">
        <x:v>Tuân thủ, pháp chế &amp; quản trị</x:v>
      </x:c>
      <x:c r="I48" s="14" t="str">
        <x:v>Rà soát văn bản, quy trình và GAP</x:v>
      </x:c>
      <x:c r="J48" s="14" t="str">
        <x:v>Hiệu lực và văn bản bị thay thế</x:v>
      </x:c>
      <x:c r="K48" s="14" t="str">
        <x:v>Trực tiếp</x:v>
      </x:c>
      <x:c r="L48" s="14" t="str">
        <x:v>Báo cáo/điều tra/khắc phục</x:v>
      </x:c>
      <x:c r="M48" s="14" t="str">
        <x:v>ANSP/doanh nghiệp hàng không</x:v>
      </x:c>
      <x:c r="N48" s="14" t="str">
        <x:v>Cập nhật danh mục văn bản nội bộ viện dẫn các nghị định bị thay thế; loại bỏ căn cứ cũ và chuyển sang NĐ205 từ 01/7/2026.</x:v>
      </x:c>
      <x:c r="O48" s="14" t="str">
        <x:v>Ban hành kế hoạch tuân thủ NĐ205; cập nhật căn cứ pháp lý; rà soát văn bản nội bộ; lập danh mục hồ sơ chuyển tiếp; báo cáo lãnh đạo.</x:v>
      </x:c>
      <x:c r="P48" s="14" t="str">
        <x:v>Không còn áp dụng căn cứ hết hiệu lực; hồ sơ chuyển tiếp không bị đứt gãy</x:v>
      </x:c>
      <x:c r="Q48" s="14" t="str">
        <x:v>Kế hoạch tuân thủ; bảng rà soát văn bản nội bộ; danh mục hồ sơ chuyển tiếp; báo cáo pháp chế</x:v>
      </x:c>
      <x:c r="R48" s="14" t="str">
        <x:v>Quy trình cập nhật văn bản QPPL; quy trình kiểm soát tuân thủ pháp luật; Mẫu bảng chuyển tiếp pháp lý NĐ205; checklist cập nhật căn cứ văn bản</x:v>
      </x:c>
      <x:c r="S48" s="14" t="str">
        <x:v>Văn phòng - Pháp chế; Ban Kế hoạch - Đầu tư</x:v>
      </x:c>
      <x:c r="T48" s="14" t="str">
        <x:v>Văn phòng - Pháp chế</x:v>
      </x:c>
      <x:c r="U48" s="14" t="str">
        <x:v>Bộ Xây dựng, CHK Việt Nam, Cảng vụ, UBND địa phương, ACV/người khai thác cảng</x:v>
      </x:c>
      <x:c r="V48" s="14" t="str">
        <x:v>Ngay sau ban hành; hoàn thành trước/sát 01/7/2026; cập nhật khi có hướng dẫn</x:v>
      </x:c>
      <x:c r="W48" s="14" t="str">
        <x:v>P1</x:v>
      </x:c>
      <x:c r="X48" s="14" t="str">
        <x:v>Cao</x:v>
      </x:c>
      <x:c r="Y48" s="14" t="str">
        <x:v>Chưa bắt đầu</x:v>
      </x:c>
      <x:c r="Z48" s="14" t="str">
        <x:v>Cần làm ngay vì hiệu lực từ 01/7/2026.</x:v>
      </x:c>
      <x:c r="AA48" s="14" t="str"/>
      <x:c r="AB48" s="14" t="str">
        <x:v>phap che</x:v>
      </x:c>
    </x:row>
    <x:row r="49">
      <x:c r="A49" s="14" t="str">
        <x:v>VATM-0048</x:v>
      </x:c>
      <x:c r="B49" s="14" t="str">
        <x:v>48</x:v>
      </x:c>
      <x:c r="C49" s="14" t="str">
        <x:v>Nghị định 205/2026/NĐ-CP</x:v>
      </x:c>
      <x:c r="D49" s="14" t="str">
        <x:v>Ra_soat_sau_ND205_VATM_ANSP_day_du.xlsx</x:v>
      </x:c>
      <x:c r="E49" s="14" t="str">
        <x:v>01_Nhiem_vu_chi_tiet</x:v>
      </x:c>
      <x:c r="F49" s="56" t="n">
        <x:v>49</x:v>
      </x:c>
      <x:c r="G49" s="14" t="str">
        <x:v>Điều 93</x:v>
      </x:c>
      <x:c r="H49" s="14" t="str">
        <x:v>Tuân thủ, pháp chế &amp; quản trị</x:v>
      </x:c>
      <x:c r="I49" s="14" t="str">
        <x:v>Rà soát văn bản, quy trình và GAP</x:v>
      </x:c>
      <x:c r="J49" s="14" t="str">
        <x:v>Điều khoản chuyển tiếp</x:v>
      </x:c>
      <x:c r="K49" s="14" t="str">
        <x:v>Trực tiếp</x:v>
      </x:c>
      <x:c r="L49" s="14" t="str">
        <x:v>Báo cáo/điều tra/khắc phục</x:v>
      </x:c>
      <x:c r="M49" s="14" t="str">
        <x:v>ANSP/doanh nghiệp hàng không</x:v>
      </x:c>
      <x:c r="N49" s="14" t="str">
        <x:v>Rà soát hồ sơ đang xử lý, giấy phép, giấy chứng nhận, phương tiện, quy hoạch, công trình của VATM để xác định xử lý chuyển tiếp sau 01/7/2026.</x:v>
      </x:c>
      <x:c r="O49" s="14" t="str">
        <x:v>Ban hành kế hoạch tuân thủ NĐ205; cập nhật căn cứ pháp lý; rà soát văn bản nội bộ; lập danh mục hồ sơ chuyển tiếp; báo cáo lãnh đạo.</x:v>
      </x:c>
      <x:c r="P49" s="14" t="str">
        <x:v>Không còn áp dụng căn cứ hết hiệu lực; hồ sơ chuyển tiếp không bị đứt gãy</x:v>
      </x:c>
      <x:c r="Q49" s="14" t="str">
        <x:v>Kế hoạch tuân thủ; bảng rà soát văn bản nội bộ; danh mục hồ sơ chuyển tiếp; báo cáo pháp chế</x:v>
      </x:c>
      <x:c r="R49" s="14" t="str">
        <x:v>Quy trình cập nhật văn bản QPPL; quy trình kiểm soát tuân thủ pháp luật; Mẫu bảng chuyển tiếp pháp lý NĐ205; checklist cập nhật căn cứ văn bản</x:v>
      </x:c>
      <x:c r="S49" s="14" t="str">
        <x:v>Văn phòng - Pháp chế; Ban Kế hoạch - Đầu tư</x:v>
      </x:c>
      <x:c r="T49" s="14" t="str">
        <x:v>Văn phòng - Pháp chế</x:v>
      </x:c>
      <x:c r="U49" s="14" t="str">
        <x:v>Bộ Xây dựng, CHK Việt Nam, Cảng vụ, UBND địa phương, ACV/người khai thác cảng</x:v>
      </x:c>
      <x:c r="V49" s="14" t="str">
        <x:v>Ngay sau ban hành; hoàn thành trước/sát 01/7/2026; cập nhật khi có hướng dẫn</x:v>
      </x:c>
      <x:c r="W49" s="14" t="str">
        <x:v>P1</x:v>
      </x:c>
      <x:c r="X49" s="14" t="str">
        <x:v>Rất cao</x:v>
      </x:c>
      <x:c r="Y49" s="14" t="str">
        <x:v>Chưa bắt đầu</x:v>
      </x:c>
      <x:c r="Z49" s="14" t="str">
        <x:v>Cần làm ngay vì hiệu lực từ 01/7/2026.</x:v>
      </x:c>
      <x:c r="AA49" s="14" t="str"/>
      <x:c r="AB49" s="14" t="str">
        <x:v>phap che; atm; giay phep</x:v>
      </x:c>
    </x:row>
    <x:row r="50">
      <x:c r="A50" s="14" t="str">
        <x:v>VATM-0049</x:v>
      </x:c>
      <x:c r="B50" s="14" t="str">
        <x:v>49</x:v>
      </x:c>
      <x:c r="C50" s="14" t="str">
        <x:v>Nghị định 205/2026/NĐ-CP</x:v>
      </x:c>
      <x:c r="D50" s="14" t="str">
        <x:v>Ra_soat_sau_ND205_VATM_ANSP_day_du.xlsx</x:v>
      </x:c>
      <x:c r="E50" s="14" t="str">
        <x:v>01_Nhiem_vu_chi_tiet</x:v>
      </x:c>
      <x:c r="F50" s="56" t="n">
        <x:v>50</x:v>
      </x:c>
      <x:c r="G50" s="14" t="str">
        <x:v>Điều 94</x:v>
      </x:c>
      <x:c r="H50" s="14" t="str">
        <x:v>Tuân thủ, pháp chế &amp; quản trị</x:v>
      </x:c>
      <x:c r="I50" s="14" t="str">
        <x:v>Rà soát văn bản, quy trình và GAP</x:v>
      </x:c>
      <x:c r="J50" s="14" t="str">
        <x:v>Trách nhiệm thi hành</x:v>
      </x:c>
      <x:c r="K50" s="14" t="str">
        <x:v>Phối hợp/Gián tiếp</x:v>
      </x:c>
      <x:c r="L50" s="14" t="str">
        <x:v>Báo cáo/điều tra/khắc phục</x:v>
      </x:c>
      <x:c r="M50" s="14" t="str">
        <x:v>ANSP/doanh nghiệp hàng không</x:v>
      </x:c>
      <x:c r="N50" s="14" t="str">
        <x:v>Theo dõi trách nhiệm thi hành của các bộ, ngành, địa phương để chủ động phối hợp khi có văn bản triển khai.</x:v>
      </x:c>
      <x:c r="O50" s="14" t="str">
        <x:v>Ban hành kế hoạch tuân thủ NĐ205; cập nhật căn cứ pháp lý; rà soát văn bản nội bộ; lập danh mục hồ sơ chuyển tiếp; báo cáo lãnh đạo.</x:v>
      </x:c>
      <x:c r="P50" s="14" t="str">
        <x:v>Không còn áp dụng căn cứ hết hiệu lực; hồ sơ chuyển tiếp không bị đứt gãy</x:v>
      </x:c>
      <x:c r="Q50" s="14" t="str">
        <x:v>Kế hoạch tuân thủ; bảng rà soát văn bản nội bộ; danh mục hồ sơ chuyển tiếp; báo cáo pháp chế</x:v>
      </x:c>
      <x:c r="R50" s="14" t="str">
        <x:v>Quy trình cập nhật văn bản QPPL; quy trình kiểm soát tuân thủ pháp luật; Mẫu bảng chuyển tiếp pháp lý NĐ205; checklist cập nhật căn cứ văn bản</x:v>
      </x:c>
      <x:c r="S50" s="14" t="str">
        <x:v>Văn phòng - Pháp chế; Ban Kế hoạch - Đầu tư</x:v>
      </x:c>
      <x:c r="T50" s="14" t="str">
        <x:v>Văn phòng - Pháp chế</x:v>
      </x:c>
      <x:c r="U50" s="14" t="str">
        <x:v>Bộ Xây dựng, CHK Việt Nam, Cảng vụ, UBND địa phương, ACV/người khai thác cảng</x:v>
      </x:c>
      <x:c r="V50" s="14" t="str">
        <x:v>Ngay sau ban hành; hoàn thành trước/sát 01/7/2026; cập nhật khi có hướng dẫn</x:v>
      </x:c>
      <x:c r="W50" s="14" t="str">
        <x:v>P2</x:v>
      </x:c>
      <x:c r="X50" s="14" t="str">
        <x:v>Trung bình</x:v>
      </x:c>
      <x:c r="Y50" s="14" t="str">
        <x:v>Chưa bắt đầu</x:v>
      </x:c>
      <x:c r="Z50" s="14" t="str">
        <x:v>Cần làm ngay vì hiệu lực từ 01/7/2026.</x:v>
      </x:c>
      <x:c r="AA50" s="14" t="str"/>
      <x:c r="AB50" s="14" t="str">
        <x:v>phap che</x:v>
      </x:c>
    </x:row>
    <x:row r="51">
      <x:c r="A51" s="14" t="str">
        <x:v>VATM-0050</x:v>
      </x:c>
      <x:c r="B51" s="14" t="str">
        <x:v>50</x:v>
      </x:c>
      <x:c r="C51" s="14" t="str">
        <x:v>Nghị định 205/2026/NĐ-CP</x:v>
      </x:c>
      <x:c r="D51" s="14" t="str">
        <x:v>Ra_soat_sau_ND205_VATM_ANSP_day_du.xlsx</x:v>
      </x:c>
      <x:c r="E51" s="14" t="str">
        <x:v>01_Nhiem_vu_chi_tiet</x:v>
      </x:c>
      <x:c r="F51" s="56" t="n">
        <x:v>51</x:v>
      </x:c>
      <x:c r="G51" s="14" t="str">
        <x:v>Các Điều 60-78, 86-89</x:v>
      </x:c>
      <x:c r="H51" s="14" t="str">
        <x:v>ANS - ATM/ATS/ATFM</x:v>
      </x:c>
      <x:c r="I51" s="14" t="str">
        <x:v>Phối hợp ATS với cảng/sân bay</x:v>
      </x:c>
      <x:c r="J51" s="14" t="str">
        <x:v>Triển khai tại cơ sở ANS</x:v>
      </x:c>
      <x:c r="K51" s="14" t="str">
        <x:v>Trực tiếp</x:v>
      </x:c>
      <x:c r="L51" s="14" t="str">
        <x:v>Báo cáo/điều tra/khắc phục</x:v>
      </x:c>
      <x:c r="M51" s="14" t="str">
        <x:v>Đơn vị cung cấp dịch vụ ANS</x:v>
      </x:c>
      <x:c r="N51" s="14" t="str">
        <x:v>Rà soát phương án điều hành khi có thi công, dừng/đưa khai thác công trình, thay đổi đường CHC/đường lăn/sân đỗ.</x:v>
      </x:c>
      <x:c r="O51" s="14" t="str">
        <x:v>Cập nhật LOA/SOP tại cơ sở; tổ chức briefing kíp trực; kiểm tra sau thay đổi; lưu bằng chứng đào tạo/phổ biến.</x:v>
      </x:c>
      <x:c r="P51" s="14" t="str">
        <x:v>Cơ sở ANS vận hành đồng bộ với thay đổi tại cảng</x:v>
      </x:c>
      <x:c r="Q51" s="14" t="str">
        <x:v>LOA/SOP sửa đổi; log briefing; checklist kiểm tra; báo cáo sau thay đổi</x:v>
      </x:c>
      <x:c r="R51" s="14" t="str">
        <x:v>SOP cơ sở; quy trình briefing thay đổi; quy trình hậu kiểm; Mẫu briefing thay đổi khai thác tại cảng; checklist cơ sở ANS</x:v>
      </x:c>
      <x:c r="S51" s="14" t="str">
        <x:v>Ban Không lưu</x:v>
      </x:c>
      <x:c r="T51" s="14" t="str">
        <x:v>Các Công ty Quản lý bay khu vực Bắc/Trung/Nam; Ban Không lưu</x:v>
      </x:c>
      <x:c r="U51" s="14" t="str">
        <x:v>Cảng vụ, người khai thác cảng, hãng bay, CHKVN</x:v>
      </x:c>
      <x:c r="V51" s="14" t="str">
        <x:v>Trước ngày hiệu lực thay đổi; rà soát sau 30 ngày</x:v>
      </x:c>
      <x:c r="W51" s="14" t="str">
        <x:v>P1</x:v>
      </x:c>
      <x:c r="X51" s="14" t="str">
        <x:v>Rất cao</x:v>
      </x:c>
      <x:c r="Y51" s="14" t="str">
        <x:v>Chưa bắt đầu</x:v>
      </x:c>
      <x:c r="Z51" s="14" t="str">
        <x:v>Phân rã nhiệm vụ đến tuyến đầu.</x:v>
      </x:c>
      <x:c r="AA51" s="14" t="str"/>
      <x:c r="AB51" s="14" t="str">
        <x:v>ans; atm; ats; atfm; cang; san bay</x:v>
      </x:c>
    </x:row>
    <x:row r="52">
      <x:c r="A52" s="14" t="str">
        <x:v>VATM-0051</x:v>
      </x:c>
      <x:c r="B52" s="14" t="str">
        <x:v>51</x:v>
      </x:c>
      <x:c r="C52" s="14" t="str">
        <x:v>Nghị định 205/2026/NĐ-CP</x:v>
      </x:c>
      <x:c r="D52" s="14" t="str">
        <x:v>Ra_soat_sau_ND205_VATM_ANSP_day_du.xlsx</x:v>
      </x:c>
      <x:c r="E52" s="14" t="str">
        <x:v>01_Nhiem_vu_chi_tiet</x:v>
      </x:c>
      <x:c r="F52" s="56" t="n">
        <x:v>52</x:v>
      </x:c>
      <x:c r="G52" s="14" t="str">
        <x:v>Các Điều 60-78, 86-89</x:v>
      </x:c>
      <x:c r="H52" s="14" t="str">
        <x:v>ANS - ATM/ATS/ATFM</x:v>
      </x:c>
      <x:c r="I52" s="14" t="str">
        <x:v>Phối hợp ATS với cảng/sân bay</x:v>
      </x:c>
      <x:c r="J52" s="14" t="str">
        <x:v>Triển khai tại cơ sở ANS</x:v>
      </x:c>
      <x:c r="K52" s="14" t="str">
        <x:v>Trực tiếp</x:v>
      </x:c>
      <x:c r="L52" s="14" t="str">
        <x:v>Báo cáo/điều tra/khắc phục</x:v>
      </x:c>
      <x:c r="M52" s="14" t="str">
        <x:v>Đơn vị cung cấp dịch vụ ANS</x:v>
      </x:c>
      <x:c r="N52" s="14" t="str">
        <x:v>Rà soát MVA/MSA, phương thức bay, vectoring, vùng trời tiếp cận khi có công trình cao, quảng cáo, cần cẩu, chiếu sáng, laser.</x:v>
      </x:c>
      <x:c r="O52" s="14" t="str">
        <x:v>Cập nhật LOA/SOP tại cơ sở; tổ chức briefing kíp trực; kiểm tra sau thay đổi; lưu bằng chứng đào tạo/phổ biến.</x:v>
      </x:c>
      <x:c r="P52" s="14" t="str">
        <x:v>Cơ sở ANS vận hành đồng bộ với thay đổi tại cảng</x:v>
      </x:c>
      <x:c r="Q52" s="14" t="str">
        <x:v>LOA/SOP sửa đổi; log briefing; checklist kiểm tra; báo cáo sau thay đổi</x:v>
      </x:c>
      <x:c r="R52" s="14" t="str">
        <x:v>SOP cơ sở; quy trình briefing thay đổi; quy trình hậu kiểm; Mẫu briefing thay đổi khai thác tại cảng; checklist cơ sở ANS</x:v>
      </x:c>
      <x:c r="S52" s="14" t="str">
        <x:v>Ban Không lưu</x:v>
      </x:c>
      <x:c r="T52" s="14" t="str">
        <x:v>Các Công ty Quản lý bay khu vực Bắc/Trung/Nam; Ban Không lưu</x:v>
      </x:c>
      <x:c r="U52" s="14" t="str">
        <x:v>Cảng vụ, người khai thác cảng, hãng bay, CHKVN</x:v>
      </x:c>
      <x:c r="V52" s="14" t="str">
        <x:v>Trước ngày hiệu lực thay đổi; rà soát sau 30 ngày</x:v>
      </x:c>
      <x:c r="W52" s="14" t="str">
        <x:v>P1</x:v>
      </x:c>
      <x:c r="X52" s="14" t="str">
        <x:v>Rất cao</x:v>
      </x:c>
      <x:c r="Y52" s="14" t="str">
        <x:v>Chưa bắt đầu</x:v>
      </x:c>
      <x:c r="Z52" s="14" t="str">
        <x:v>Phân rã nhiệm vụ đến tuyến đầu.</x:v>
      </x:c>
      <x:c r="AA52" s="14" t="str"/>
      <x:c r="AB52" s="14" t="str">
        <x:v>ans; atm; ats; atfm; cang; san bay</x:v>
      </x:c>
    </x:row>
    <x:row r="53">
      <x:c r="A53" s="14" t="str">
        <x:v>VATM-0052</x:v>
      </x:c>
      <x:c r="B53" s="14" t="str">
        <x:v>52</x:v>
      </x:c>
      <x:c r="C53" s="14" t="str">
        <x:v>Nghị định 205/2026/NĐ-CP</x:v>
      </x:c>
      <x:c r="D53" s="14" t="str">
        <x:v>Ra_soat_sau_ND205_VATM_ANSP_day_du.xlsx</x:v>
      </x:c>
      <x:c r="E53" s="14" t="str">
        <x:v>01_Nhiem_vu_chi_tiet</x:v>
      </x:c>
      <x:c r="F53" s="56" t="n">
        <x:v>53</x:v>
      </x:c>
      <x:c r="G53" s="14" t="str">
        <x:v>Các Điều 60-78, 86-89</x:v>
      </x:c>
      <x:c r="H53" s="14" t="str">
        <x:v>ANS - ATM/ATS/ATFM</x:v>
      </x:c>
      <x:c r="I53" s="14" t="str">
        <x:v>Phối hợp ATS với cảng/sân bay</x:v>
      </x:c>
      <x:c r="J53" s="14" t="str">
        <x:v>Triển khai tại cơ sở ANS</x:v>
      </x:c>
      <x:c r="K53" s="14" t="str">
        <x:v>Trực tiếp</x:v>
      </x:c>
      <x:c r="L53" s="14" t="str">
        <x:v>Báo cáo/điều tra/khắc phục</x:v>
      </x:c>
      <x:c r="M53" s="14" t="str">
        <x:v>Đơn vị cung cấp dịch vụ ANS</x:v>
      </x:c>
      <x:c r="N53" s="14" t="str">
        <x:v>Hiệp đồng tại chỗ với người khai thác cảng, Cảng vụ, đơn vị thi công; kiểm soát phương tiện và tình huống bất thường trên khu bay.</x:v>
      </x:c>
      <x:c r="O53" s="14" t="str">
        <x:v>Cập nhật LOA/SOP tại cơ sở; tổ chức briefing kíp trực; kiểm tra sau thay đổi; lưu bằng chứng đào tạo/phổ biến.</x:v>
      </x:c>
      <x:c r="P53" s="14" t="str">
        <x:v>Cơ sở ANS vận hành đồng bộ với thay đổi tại cảng</x:v>
      </x:c>
      <x:c r="Q53" s="14" t="str">
        <x:v>LOA/SOP sửa đổi; log briefing; checklist kiểm tra; báo cáo sau thay đổi</x:v>
      </x:c>
      <x:c r="R53" s="14" t="str">
        <x:v>SOP cơ sở; quy trình briefing thay đổi; quy trình hậu kiểm; Mẫu briefing thay đổi khai thác tại cảng; checklist cơ sở ANS</x:v>
      </x:c>
      <x:c r="S53" s="14" t="str">
        <x:v>Ban Không lưu</x:v>
      </x:c>
      <x:c r="T53" s="14" t="str">
        <x:v>Các Công ty Quản lý bay khu vực Bắc/Trung/Nam; Ban Không lưu</x:v>
      </x:c>
      <x:c r="U53" s="14" t="str">
        <x:v>Cảng vụ, người khai thác cảng, hãng bay, CHKVN</x:v>
      </x:c>
      <x:c r="V53" s="14" t="str">
        <x:v>Trước ngày hiệu lực thay đổi; rà soát sau 30 ngày</x:v>
      </x:c>
      <x:c r="W53" s="14" t="str">
        <x:v>P1</x:v>
      </x:c>
      <x:c r="X53" s="14" t="str">
        <x:v>Rất cao</x:v>
      </x:c>
      <x:c r="Y53" s="14" t="str">
        <x:v>Chưa bắt đầu</x:v>
      </x:c>
      <x:c r="Z53" s="14" t="str">
        <x:v>Phân rã nhiệm vụ đến tuyến đầu.</x:v>
      </x:c>
      <x:c r="AA53" s="14" t="str"/>
      <x:c r="AB53" s="14" t="str">
        <x:v>ans; atm; ats; atfm; cang; san bay</x:v>
      </x:c>
    </x:row>
    <x:row r="54">
      <x:c r="A54" s="14" t="str">
        <x:v>VATM-0053</x:v>
      </x:c>
      <x:c r="B54" s="14" t="str">
        <x:v>53</x:v>
      </x:c>
      <x:c r="C54" s="14" t="str">
        <x:v>Nghị định 205/2026/NĐ-CP</x:v>
      </x:c>
      <x:c r="D54" s="14" t="str">
        <x:v>Ra_soat_sau_ND205_VATM_ANSP_day_du.xlsx</x:v>
      </x:c>
      <x:c r="E54" s="14" t="str">
        <x:v>01_Nhiem_vu_chi_tiet</x:v>
      </x:c>
      <x:c r="F54" s="56" t="n">
        <x:v>54</x:v>
      </x:c>
      <x:c r="G54" s="14" t="str">
        <x:v>Các Điều 60-78, 86-89</x:v>
      </x:c>
      <x:c r="H54" s="14" t="str">
        <x:v>ANS - AIS/AIM/Tin tức HK</x:v>
      </x:c>
      <x:c r="I54" s="14" t="str">
        <x:v>AIP/NOTAM/dữ liệu hàng không</x:v>
      </x:c>
      <x:c r="J54" s="14" t="str">
        <x:v>Triển khai tại cơ sở ANS</x:v>
      </x:c>
      <x:c r="K54" s="14" t="str">
        <x:v>Trực tiếp</x:v>
      </x:c>
      <x:c r="L54" s="14" t="str">
        <x:v>Báo cáo/điều tra/khắc phục</x:v>
      </x:c>
      <x:c r="M54" s="14" t="str">
        <x:v>Đơn vị cung cấp dịch vụ ANS</x:v>
      </x:c>
      <x:c r="N54" s="14" t="str">
        <x:v>Tiếp nhận dữ liệu thay đổi, kiểm tra chất lượng dữ liệu, phát hành NOTAM/AIP SUP/AIC theo quy trình khi đủ điều kiện.</x:v>
      </x:c>
      <x:c r="O54" s="14" t="str">
        <x:v>Cập nhật LOA/SOP tại cơ sở; tổ chức briefing kíp trực; kiểm tra sau thay đổi; lưu bằng chứng đào tạo/phổ biến.</x:v>
      </x:c>
      <x:c r="P54" s="14" t="str">
        <x:v>Cơ sở ANS vận hành đồng bộ với thay đổi tại cảng</x:v>
      </x:c>
      <x:c r="Q54" s="14" t="str">
        <x:v>LOA/SOP sửa đổi; log briefing; checklist kiểm tra; báo cáo sau thay đổi</x:v>
      </x:c>
      <x:c r="R54" s="14" t="str">
        <x:v>SOP cơ sở; quy trình briefing thay đổi; quy trình hậu kiểm; Mẫu briefing thay đổi khai thác tại cảng; checklist cơ sở ANS</x:v>
      </x:c>
      <x:c r="S54" s="14" t="str">
        <x:v>Trung tâm Thông báo tin tức hàng không</x:v>
      </x:c>
      <x:c r="T54" s="14" t="str">
        <x:v>Các Công ty Quản lý bay khu vực Bắc/Trung/Nam; Trung tâm Thông báo tin tức hàng không</x:v>
      </x:c>
      <x:c r="U54" s="14" t="str">
        <x:v>Cảng vụ, người khai thác cảng, hãng bay, CHKVN</x:v>
      </x:c>
      <x:c r="V54" s="14" t="str">
        <x:v>Trước ngày hiệu lực thay đổi; rà soát sau 30 ngày</x:v>
      </x:c>
      <x:c r="W54" s="14" t="str">
        <x:v>P1</x:v>
      </x:c>
      <x:c r="X54" s="14" t="str">
        <x:v>Rất cao</x:v>
      </x:c>
      <x:c r="Y54" s="14" t="str">
        <x:v>Chưa bắt đầu</x:v>
      </x:c>
      <x:c r="Z54" s="14" t="str">
        <x:v>Phân rã nhiệm vụ đến tuyến đầu.</x:v>
      </x:c>
      <x:c r="AA54" s="14" t="str"/>
      <x:c r="AB54" s="14" t="str">
        <x:v>ans; ais; aim; du lieu</x:v>
      </x:c>
    </x:row>
    <x:row r="55">
      <x:c r="A55" s="14" t="str">
        <x:v>VATM-0054</x:v>
      </x:c>
      <x:c r="B55" s="14" t="str">
        <x:v>54</x:v>
      </x:c>
      <x:c r="C55" s="14" t="str">
        <x:v>Nghị định 205/2026/NĐ-CP</x:v>
      </x:c>
      <x:c r="D55" s="14" t="str">
        <x:v>Ra_soat_sau_ND205_VATM_ANSP_day_du.xlsx</x:v>
      </x:c>
      <x:c r="E55" s="14" t="str">
        <x:v>01_Nhiem_vu_chi_tiet</x:v>
      </x:c>
      <x:c r="F55" s="56" t="n">
        <x:v>55</x:v>
      </x:c>
      <x:c r="G55" s="14" t="str">
        <x:v>Các Điều 60-78, 86-89</x:v>
      </x:c>
      <x:c r="H55" s="14" t="str">
        <x:v>ANS - CNS/IT/Kỹ thuật</x:v>
      </x:c>
      <x:c r="I55" s="14" t="str">
        <x:v>CNS, trang thiết bị và bảo trì kỹ thuật</x:v>
      </x:c>
      <x:c r="J55" s="14" t="str">
        <x:v>Triển khai tại cơ sở ANS</x:v>
      </x:c>
      <x:c r="K55" s="14" t="str">
        <x:v>Trực tiếp</x:v>
      </x:c>
      <x:c r="L55" s="14" t="str">
        <x:v>Báo cáo/điều tra/khắc phục</x:v>
      </x:c>
      <x:c r="M55" s="14" t="str">
        <x:v>Đơn vị cung cấp dịch vụ ANS</x:v>
      </x:c>
      <x:c r="N55" s="14" t="str">
        <x:v>Đánh giá nhiễu, che khuất, vùng phủ, nguồn điện, truyền dẫn, bảo vệ công trình CNS khi quy hoạch/thi công/cải tạo cảng.</x:v>
      </x:c>
      <x:c r="O55" s="14" t="str">
        <x:v>Cập nhật LOA/SOP tại cơ sở; tổ chức briefing kíp trực; kiểm tra sau thay đổi; lưu bằng chứng đào tạo/phổ biến.</x:v>
      </x:c>
      <x:c r="P55" s="14" t="str">
        <x:v>Cơ sở ANS vận hành đồng bộ với thay đổi tại cảng</x:v>
      </x:c>
      <x:c r="Q55" s="14" t="str">
        <x:v>LOA/SOP sửa đổi; log briefing; checklist kiểm tra; báo cáo sau thay đổi</x:v>
      </x:c>
      <x:c r="R55" s="14" t="str">
        <x:v>SOP cơ sở; quy trình briefing thay đổi; quy trình hậu kiểm; Mẫu briefing thay đổi khai thác tại cảng; checklist cơ sở ANS</x:v>
      </x:c>
      <x:c r="S55" s="14" t="str">
        <x:v>Ban Kỹ thuật - CNS/IT/Môi trường</x:v>
      </x:c>
      <x:c r="T55" s="14" t="str">
        <x:v>Các Công ty Quản lý bay khu vực Bắc/Trung/Nam; Ban Kỹ thuật - CNS/IT/Môi trường</x:v>
      </x:c>
      <x:c r="U55" s="14" t="str">
        <x:v>Cảng vụ, người khai thác cảng, hãng bay, CHKVN</x:v>
      </x:c>
      <x:c r="V55" s="14" t="str">
        <x:v>Trước ngày hiệu lực thay đổi; rà soát sau 30 ngày</x:v>
      </x:c>
      <x:c r="W55" s="14" t="str">
        <x:v>P1</x:v>
      </x:c>
      <x:c r="X55" s="14" t="str">
        <x:v>Rất cao</x:v>
      </x:c>
      <x:c r="Y55" s="14" t="str">
        <x:v>Chưa bắt đầu</x:v>
      </x:c>
      <x:c r="Z55" s="14" t="str">
        <x:v>Phân rã nhiệm vụ đến tuyến đầu.</x:v>
      </x:c>
      <x:c r="AA55" s="14" t="str"/>
      <x:c r="AB55" s="14" t="str">
        <x:v>ans; cns; cang</x:v>
      </x:c>
    </x:row>
    <x:row r="56">
      <x:c r="A56" s="14" t="str">
        <x:v>VATM-0055</x:v>
      </x:c>
      <x:c r="B56" s="14" t="str">
        <x:v>55</x:v>
      </x:c>
      <x:c r="C56" s="14" t="str">
        <x:v>Nghị định 205/2026/NĐ-CP</x:v>
      </x:c>
      <x:c r="D56" s="14" t="str">
        <x:v>Ra_soat_sau_ND205_VATM_ANSP_day_du.xlsx</x:v>
      </x:c>
      <x:c r="E56" s="14" t="str">
        <x:v>01_Nhiem_vu_chi_tiet</x:v>
      </x:c>
      <x:c r="F56" s="56" t="n">
        <x:v>56</x:v>
      </x:c>
      <x:c r="G56" s="14" t="str">
        <x:v>Các Điều 60-78, 86-89</x:v>
      </x:c>
      <x:c r="H56" s="14" t="str">
        <x:v>ANS - MET/Khí tượng hàng không</x:v>
      </x:c>
      <x:c r="I56" s="14" t="str">
        <x:v>Quan trắc, dự báo và cảnh báo MET</x:v>
      </x:c>
      <x:c r="J56" s="14" t="str">
        <x:v>Triển khai tại cơ sở ANS</x:v>
      </x:c>
      <x:c r="K56" s="14" t="str">
        <x:v>Trực tiếp</x:v>
      </x:c>
      <x:c r="L56" s="14" t="str">
        <x:v>Báo cáo/điều tra/khắc phục</x:v>
      </x:c>
      <x:c r="M56" s="14" t="str">
        <x:v>Đơn vị cung cấp dịch vụ ANS</x:v>
      </x:c>
      <x:c r="N56" s="14" t="str">
        <x:v>Đánh giá tác động tới thiết bị quan trắc, vị trí cảm biến, đường truyền dữ liệu khí tượng, cung cấp thông tin MET cho khai thác.</x:v>
      </x:c>
      <x:c r="O56" s="14" t="str">
        <x:v>Cập nhật LOA/SOP tại cơ sở; tổ chức briefing kíp trực; kiểm tra sau thay đổi; lưu bằng chứng đào tạo/phổ biến.</x:v>
      </x:c>
      <x:c r="P56" s="14" t="str">
        <x:v>Cơ sở ANS vận hành đồng bộ với thay đổi tại cảng</x:v>
      </x:c>
      <x:c r="Q56" s="14" t="str">
        <x:v>LOA/SOP sửa đổi; log briefing; checklist kiểm tra; báo cáo sau thay đổi</x:v>
      </x:c>
      <x:c r="R56" s="14" t="str">
        <x:v>SOP cơ sở; quy trình briefing thay đổi; quy trình hậu kiểm; Mẫu briefing thay đổi khai thác tại cảng; checklist cơ sở ANS</x:v>
      </x:c>
      <x:c r="S56" s="14" t="str">
        <x:v>Trung tâm Khí tượng hàng không</x:v>
      </x:c>
      <x:c r="T56" s="14" t="str">
        <x:v>Các Công ty Quản lý bay khu vực Bắc/Trung/Nam; Trung tâm Khí tượng hàng không</x:v>
      </x:c>
      <x:c r="U56" s="14" t="str">
        <x:v>Cảng vụ, người khai thác cảng, hãng bay, CHKVN</x:v>
      </x:c>
      <x:c r="V56" s="14" t="str">
        <x:v>Trước ngày hiệu lực thay đổi; rà soát sau 30 ngày</x:v>
      </x:c>
      <x:c r="W56" s="14" t="str">
        <x:v>P1</x:v>
      </x:c>
      <x:c r="X56" s="14" t="str">
        <x:v>Rất cao</x:v>
      </x:c>
      <x:c r="Y56" s="14" t="str">
        <x:v>Chưa bắt đầu</x:v>
      </x:c>
      <x:c r="Z56" s="14" t="str">
        <x:v>Phân rã nhiệm vụ đến tuyến đầu.</x:v>
      </x:c>
      <x:c r="AA56" s="14" t="str"/>
      <x:c r="AB56" s="14" t="str">
        <x:v>ans; met; du lieu</x:v>
      </x:c>
    </x:row>
    <x:row r="57">
      <x:c r="A57" s="14" t="str">
        <x:v>VATM-0056</x:v>
      </x:c>
      <x:c r="B57" s="14" t="str">
        <x:v>56</x:v>
      </x:c>
      <x:c r="C57" s="14" t="str">
        <x:v>Nghị định 205/2026/NĐ-CP</x:v>
      </x:c>
      <x:c r="D57" s="14" t="str">
        <x:v>Ra_soat_sau_ND205_VATM_ANSP_day_du.xlsx</x:v>
      </x:c>
      <x:c r="E57" s="14" t="str">
        <x:v>01_Nhiem_vu_chi_tiet</x:v>
      </x:c>
      <x:c r="F57" s="56" t="n">
        <x:v>57</x:v>
      </x:c>
      <x:c r="G57" s="14" t="str">
        <x:v>Các Điều 60-78, 86-89</x:v>
      </x:c>
      <x:c r="H57" s="14" t="str">
        <x:v>ANS - Tìm kiếm cứu nạn &amp; khẩn nguy</x:v>
      </x:c>
      <x:c r="I57" s="14" t="str">
        <x:v>SAR, khẩn nguy và hiệp đồng</x:v>
      </x:c>
      <x:c r="J57" s="14" t="str">
        <x:v>Triển khai tại cơ sở ANS</x:v>
      </x:c>
      <x:c r="K57" s="14" t="str">
        <x:v>Trực tiếp</x:v>
      </x:c>
      <x:c r="L57" s="14" t="str">
        <x:v>Báo cáo/điều tra/khắc phục</x:v>
      </x:c>
      <x:c r="M57" s="14" t="str">
        <x:v>Đơn vị cung cấp dịch vụ ANS</x:v>
      </x:c>
      <x:c r="N57" s="14" t="str">
        <x:v>Cập nhật phương án SAR khi mở/đóng bãi cất hạ cánh, chuyển cảng, thay đổi khai thác quốc tế/nội địa.</x:v>
      </x:c>
      <x:c r="O57" s="14" t="str">
        <x:v>Cập nhật LOA/SOP tại cơ sở; tổ chức briefing kíp trực; kiểm tra sau thay đổi; lưu bằng chứng đào tạo/phổ biến.</x:v>
      </x:c>
      <x:c r="P57" s="14" t="str">
        <x:v>Cơ sở ANS vận hành đồng bộ với thay đổi tại cảng</x:v>
      </x:c>
      <x:c r="Q57" s="14" t="str">
        <x:v>LOA/SOP sửa đổi; log briefing; checklist kiểm tra; báo cáo sau thay đổi</x:v>
      </x:c>
      <x:c r="R57" s="14" t="str">
        <x:v>SOP cơ sở; quy trình briefing thay đổi; quy trình hậu kiểm; Mẫu briefing thay đổi khai thác tại cảng; checklist cơ sở ANS</x:v>
      </x:c>
      <x:c r="S57" s="14" t="str">
        <x:v>Trung tâm Tìm kiếm cứu nạn hàng không</x:v>
      </x:c>
      <x:c r="T57" s="14" t="str">
        <x:v>Các Công ty Quản lý bay khu vực Bắc/Trung/Nam; Trung tâm Tìm kiếm cứu nạn hàng không</x:v>
      </x:c>
      <x:c r="U57" s="14" t="str">
        <x:v>Cảng vụ, người khai thác cảng, hãng bay, CHKVN</x:v>
      </x:c>
      <x:c r="V57" s="14" t="str">
        <x:v>Trước ngày hiệu lực thay đổi; rà soát sau 30 ngày</x:v>
      </x:c>
      <x:c r="W57" s="14" t="str">
        <x:v>P1</x:v>
      </x:c>
      <x:c r="X57" s="14" t="str">
        <x:v>Rất cao</x:v>
      </x:c>
      <x:c r="Y57" s="14" t="str">
        <x:v>Chưa bắt đầu</x:v>
      </x:c>
      <x:c r="Z57" s="14" t="str">
        <x:v>Phân rã nhiệm vụ đến tuyến đầu.</x:v>
      </x:c>
      <x:c r="AA57" s="14" t="str"/>
      <x:c r="AB57" s="14" t="str">
        <x:v>ans; sar; cang</x:v>
      </x:c>
    </x:row>
    <x:row r="58">
      <x:c r="A58" s="14" t="str">
        <x:v>VATM-0057</x:v>
      </x:c>
      <x:c r="B58" s="14" t="str">
        <x:v>57</x:v>
      </x:c>
      <x:c r="C58" s="14" t="str">
        <x:v>Nghị định 205/2026/NĐ-CP</x:v>
      </x:c>
      <x:c r="D58" s="14" t="str">
        <x:v>Ra_soat_sau_ND205_VATM_ANSP_day_du.xlsx</x:v>
      </x:c>
      <x:c r="E58" s="14" t="str">
        <x:v>01_Nhiem_vu_chi_tiet</x:v>
      </x:c>
      <x:c r="F58" s="56" t="n">
        <x:v>58</x:v>
      </x:c>
      <x:c r="G58" s="14" t="str">
        <x:v>Các Điều 60-78, 86-89</x:v>
      </x:c>
      <x:c r="H58" s="14" t="str">
        <x:v>ANS - AIS/AIM/Tin tức HK</x:v>
      </x:c>
      <x:c r="I58" s="14" t="str">
        <x:v>AIP/NOTAM/dữ liệu hàng không</x:v>
      </x:c>
      <x:c r="J58" s="14" t="str">
        <x:v>Triển khai tại cơ sở ANS</x:v>
      </x:c>
      <x:c r="K58" s="14" t="str">
        <x:v>Trực tiếp</x:v>
      </x:c>
      <x:c r="L58" s="14" t="str">
        <x:v>Báo cáo/điều tra/khắc phục</x:v>
      </x:c>
      <x:c r="M58" s="14" t="str">
        <x:v>Đơn vị cung cấp dịch vụ ANS</x:v>
      </x:c>
      <x:c r="N58" s="14" t="str">
        <x:v>Cung cấp dữ liệu năng lực khai thác, phương án điều tiết khi công trình/cảng tạm dừng, hạn chế hoặc thay đổi năng lực.</x:v>
      </x:c>
      <x:c r="O58" s="14" t="str">
        <x:v>Cập nhật LOA/SOP tại cơ sở; tổ chức briefing kíp trực; kiểm tra sau thay đổi; lưu bằng chứng đào tạo/phổ biến.</x:v>
      </x:c>
      <x:c r="P58" s="14" t="str">
        <x:v>Cơ sở ANS vận hành đồng bộ với thay đổi tại cảng</x:v>
      </x:c>
      <x:c r="Q58" s="14" t="str">
        <x:v>LOA/SOP sửa đổi; log briefing; checklist kiểm tra; báo cáo sau thay đổi</x:v>
      </x:c>
      <x:c r="R58" s="14" t="str">
        <x:v>SOP cơ sở; quy trình briefing thay đổi; quy trình hậu kiểm; Mẫu briefing thay đổi khai thác tại cảng; checklist cơ sở ANS</x:v>
      </x:c>
      <x:c r="S58" s="14" t="str">
        <x:v>Trung tâm Thông báo tin tức hàng không; Trung tâm Quản lý luồng không lưu</x:v>
      </x:c>
      <x:c r="T58" s="14" t="str">
        <x:v>Các Công ty Quản lý bay khu vực Bắc/Trung/Nam; Trung tâm Thông báo tin tức hàng không</x:v>
      </x:c>
      <x:c r="U58" s="14" t="str">
        <x:v>Cảng vụ, người khai thác cảng, hãng bay, CHKVN</x:v>
      </x:c>
      <x:c r="V58" s="14" t="str">
        <x:v>Trước ngày hiệu lực thay đổi; rà soát sau 30 ngày</x:v>
      </x:c>
      <x:c r="W58" s="14" t="str">
        <x:v>P1</x:v>
      </x:c>
      <x:c r="X58" s="14" t="str">
        <x:v>Rất cao</x:v>
      </x:c>
      <x:c r="Y58" s="14" t="str">
        <x:v>Chưa bắt đầu</x:v>
      </x:c>
      <x:c r="Z58" s="14" t="str">
        <x:v>Phân rã nhiệm vụ đến tuyến đầu.</x:v>
      </x:c>
      <x:c r="AA58" s="14" t="str"/>
      <x:c r="AB58" s="14" t="str">
        <x:v>ans; ais; aim; du lieu; cang</x:v>
      </x:c>
    </x:row>
    <x:row r="59">
      <x:c r="A59" s="14" t="str">
        <x:v>VATM-0058</x:v>
      </x:c>
      <x:c r="B59" s="14" t="str">
        <x:v>58</x:v>
      </x:c>
      <x:c r="C59" s="14" t="str">
        <x:v>Nghị định 205/2026/NĐ-CP</x:v>
      </x:c>
      <x:c r="D59" s="14" t="str">
        <x:v>Ra_soat_sau_ND205_VATM_ANSP_day_du.xlsx</x:v>
      </x:c>
      <x:c r="E59" s="14" t="str">
        <x:v>01_Nhiem_vu_chi_tiet</x:v>
      </x:c>
      <x:c r="F59" s="56" t="n">
        <x:v>59</x:v>
      </x:c>
      <x:c r="G59" s="14" t="str">
        <x:v>Điều 60-78</x:v>
      </x:c>
      <x:c r="H59" s="14" t="str">
        <x:v>Tuân thủ, pháp chế &amp; quản trị</x:v>
      </x:c>
      <x:c r="I59" s="14" t="str">
        <x:v>Rà soát văn bản, quy trình và GAP</x:v>
      </x:c>
      <x:c r="J59" s="14" t="str">
        <x:v>Quy trình nội bộ cần sửa đổi</x:v>
      </x:c>
      <x:c r="K59" s="14" t="str">
        <x:v>Trực tiếp</x:v>
      </x:c>
      <x:c r="L59" s="14" t="str">
        <x:v>Quy trình/SOP/biểu mẫu</x:v>
      </x:c>
      <x:c r="M59" s="14" t="str">
        <x:v>ANSP/doanh nghiệp hàng không</x:v>
      </x:c>
      <x:c r="N59" s="14" t="str">
        <x:v>Áp dụng quản lý thay đổi đối với mọi thay đổi quy hoạch, công trình, thi công, đưa/dừng khai thác có ảnh hưởng hoạt động bay.</x:v>
      </x:c>
      <x:c r="O59" s="14" t="str">
        <x:v>Sửa quy trình, ban hành hướng dẫn áp dụng, đào tạo, kiểm tra thực hiện.</x:v>
      </x:c>
      <x:c r="P59" s="14" t="str">
        <x:v>Quy trình nội bộ bám NĐ205, có phân công và biểu mẫu kiểm soát</x:v>
      </x:c>
      <x:c r="Q59" s="14" t="str">
        <x:v>Quyết định sửa đổi quy trình; tài liệu đào tạo; biên bản nghiệm thu quy trình</x:v>
      </x:c>
      <x:c r="R59" s="14" t="str">
        <x:v>SMS-MOC; Phụ lục biểu mẫu kèm quy trình</x:v>
      </x:c>
      <x:c r="S59" s="14" t="str">
        <x:v>Văn phòng - Pháp chế; Ban An toàn - Chất lượng</x:v>
      </x:c>
      <x:c r="T59" s="14" t="str">
        <x:v>Văn phòng - Pháp chế</x:v>
      </x:c>
      <x:c r="U59" s="14" t="str">
        <x:v>CHK Việt Nam, Cảng vụ, ACV, đơn vị liên quan</x:v>
      </x:c>
      <x:c r="V59" s="14" t="str">
        <x:v>Hoàn thành trong 60-90 ngày từ khi áp dụng NĐ</x:v>
      </x:c>
      <x:c r="W59" s="14" t="str">
        <x:v>P1</x:v>
      </x:c>
      <x:c r="X59" s="14" t="str">
        <x:v>Rất cao</x:v>
      </x:c>
      <x:c r="Y59" s="14" t="str">
        <x:v>Chưa bắt đầu</x:v>
      </x:c>
      <x:c r="Z59" s="14" t="str">
        <x:v>Dòng này phục vụ kế hoạch hành động nội bộ VATM.</x:v>
      </x:c>
      <x:c r="AA59" s="14" t="str"/>
      <x:c r="AB59" s="14" t="str">
        <x:v>phap che; an toan</x:v>
      </x:c>
    </x:row>
    <x:row r="60">
      <x:c r="A60" s="14" t="str">
        <x:v>VATM-0059</x:v>
      </x:c>
      <x:c r="B60" s="14" t="str">
        <x:v>59</x:v>
      </x:c>
      <x:c r="C60" s="14" t="str">
        <x:v>Nghị định 205/2026/NĐ-CP</x:v>
      </x:c>
      <x:c r="D60" s="14" t="str">
        <x:v>Ra_soat_sau_ND205_VATM_ANSP_day_du.xlsx</x:v>
      </x:c>
      <x:c r="E60" s="14" t="str">
        <x:v>01_Nhiem_vu_chi_tiet</x:v>
      </x:c>
      <x:c r="F60" s="56" t="n">
        <x:v>60</x:v>
      </x:c>
      <x:c r="G60" s="14" t="str">
        <x:v>Điều 59, 73-78, 87</x:v>
      </x:c>
      <x:c r="H60" s="14" t="str">
        <x:v>Tuân thủ, pháp chế &amp; quản trị</x:v>
      </x:c>
      <x:c r="I60" s="14" t="str">
        <x:v>Rà soát văn bản, quy trình và GAP</x:v>
      </x:c>
      <x:c r="J60" s="14" t="str">
        <x:v>Quy trình nội bộ cần sửa đổi</x:v>
      </x:c>
      <x:c r="K60" s="14" t="str">
        <x:v>Trực tiếp</x:v>
      </x:c>
      <x:c r="L60" s="14" t="str">
        <x:v>SMS/QLAT</x:v>
      </x:c>
      <x:c r="M60" s="14" t="str">
        <x:v>ANSP/doanh nghiệp hàng không</x:v>
      </x:c>
      <x:c r="N60" s="14" t="str">
        <x:v>Phân tích mối nguy và đánh giá rủi ro đối với thi công, cần cẩu, chiếu sáng, laser, vật thể, phương tiện chuyên ngành.</x:v>
      </x:c>
      <x:c r="O60" s="14" t="str">
        <x:v>Sửa quy trình, ban hành hướng dẫn áp dụng, đào tạo, kiểm tra thực hiện.</x:v>
      </x:c>
      <x:c r="P60" s="14" t="str">
        <x:v>Quy trình nội bộ bám NĐ205, có phân công và biểu mẫu kiểm soát</x:v>
      </x:c>
      <x:c r="Q60" s="14" t="str">
        <x:v>Quyết định sửa đổi quy trình; tài liệu đào tạo; biên bản nghiệm thu quy trình</x:v>
      </x:c>
      <x:c r="R60" s="14" t="str">
        <x:v>SMS-HIRA; Phụ lục biểu mẫu kèm quy trình</x:v>
      </x:c>
      <x:c r="S60" s="14" t="str">
        <x:v>Văn phòng - Pháp chế; Ban An toàn - Chất lượng</x:v>
      </x:c>
      <x:c r="T60" s="14" t="str">
        <x:v>Văn phòng - Pháp chế</x:v>
      </x:c>
      <x:c r="U60" s="14" t="str">
        <x:v>CHK Việt Nam, Cảng vụ, ACV, đơn vị liên quan</x:v>
      </x:c>
      <x:c r="V60" s="14" t="str">
        <x:v>Hoàn thành trong 60-90 ngày từ khi áp dụng NĐ</x:v>
      </x:c>
      <x:c r="W60" s="14" t="str">
        <x:v>P1</x:v>
      </x:c>
      <x:c r="X60" s="14" t="str">
        <x:v>Rất cao</x:v>
      </x:c>
      <x:c r="Y60" s="14" t="str">
        <x:v>Chưa bắt đầu</x:v>
      </x:c>
      <x:c r="Z60" s="14" t="str">
        <x:v>Dòng này phục vụ kế hoạch hành động nội bộ VATM.</x:v>
      </x:c>
      <x:c r="AA60" s="14" t="str"/>
      <x:c r="AB60" s="14" t="str">
        <x:v>phap che; an toan</x:v>
      </x:c>
    </x:row>
    <x:row r="61">
      <x:c r="A61" s="14" t="str">
        <x:v>VATM-0060</x:v>
      </x:c>
      <x:c r="B61" s="14" t="str">
        <x:v>60</x:v>
      </x:c>
      <x:c r="C61" s="14" t="str">
        <x:v>Nghị định 205/2026/NĐ-CP</x:v>
      </x:c>
      <x:c r="D61" s="14" t="str">
        <x:v>Ra_soat_sau_ND205_VATM_ANSP_day_du.xlsx</x:v>
      </x:c>
      <x:c r="E61" s="14" t="str">
        <x:v>01_Nhiem_vu_chi_tiet</x:v>
      </x:c>
      <x:c r="F61" s="56" t="n">
        <x:v>61</x:v>
      </x:c>
      <x:c r="G61" s="14" t="str">
        <x:v>Điều 65, 69-71, 79-85</x:v>
      </x:c>
      <x:c r="H61" s="14" t="str">
        <x:v>Tuân thủ, pháp chế &amp; quản trị</x:v>
      </x:c>
      <x:c r="I61" s="14" t="str">
        <x:v>Rà soát văn bản, quy trình và GAP</x:v>
      </x:c>
      <x:c r="J61" s="14" t="str">
        <x:v>Quy trình nội bộ cần sửa đổi</x:v>
      </x:c>
      <x:c r="K61" s="14" t="str">
        <x:v>Trực tiếp</x:v>
      </x:c>
      <x:c r="L61" s="14" t="str">
        <x:v>Dữ liệu/số hóa</x:v>
      </x:c>
      <x:c r="M61" s="14" t="str">
        <x:v>ANSP/doanh nghiệp hàng không</x:v>
      </x:c>
      <x:c r="N61" s="14" t="str">
        <x:v>Kiểm soát chất lượng dữ liệu tọa độ, cao độ, trạng thái công trình/cảng/bãi, thời điểm hiệu lực trước khi công bố.</x:v>
      </x:c>
      <x:c r="O61" s="14" t="str">
        <x:v>Sửa quy trình, ban hành hướng dẫn áp dụng, đào tạo, kiểm tra thực hiện.</x:v>
      </x:c>
      <x:c r="P61" s="14" t="str">
        <x:v>Quy trình nội bộ bám NĐ205, có phân công và biểu mẫu kiểm soát</x:v>
      </x:c>
      <x:c r="Q61" s="14" t="str">
        <x:v>Quyết định sửa đổi quy trình; tài liệu đào tạo; biên bản nghiệm thu quy trình</x:v>
      </x:c>
      <x:c r="R61" s="14" t="str">
        <x:v>AIS-DATA; Phụ lục biểu mẫu kèm quy trình</x:v>
      </x:c>
      <x:c r="S61" s="14" t="str">
        <x:v>Văn phòng - Pháp chế; Ban An toàn - Chất lượng</x:v>
      </x:c>
      <x:c r="T61" s="14" t="str">
        <x:v>Văn phòng - Pháp chế</x:v>
      </x:c>
      <x:c r="U61" s="14" t="str">
        <x:v>CHK Việt Nam, Cảng vụ, ACV, đơn vị liên quan</x:v>
      </x:c>
      <x:c r="V61" s="14" t="str">
        <x:v>Hoàn thành trong 60-90 ngày từ khi áp dụng NĐ</x:v>
      </x:c>
      <x:c r="W61" s="14" t="str">
        <x:v>P1</x:v>
      </x:c>
      <x:c r="X61" s="14" t="str">
        <x:v>Rất cao</x:v>
      </x:c>
      <x:c r="Y61" s="14" t="str">
        <x:v>Chưa bắt đầu</x:v>
      </x:c>
      <x:c r="Z61" s="14" t="str">
        <x:v>Dòng này phục vụ kế hoạch hành động nội bộ VATM.</x:v>
      </x:c>
      <x:c r="AA61" s="14" t="str"/>
      <x:c r="AB61" s="14" t="str">
        <x:v>phap che; cang; du lieu; an toan</x:v>
      </x:c>
    </x:row>
    <x:row r="62">
      <x:c r="A62" s="14" t="str">
        <x:v>VATM-0061</x:v>
      </x:c>
      <x:c r="B62" s="14" t="str">
        <x:v>61</x:v>
      </x:c>
      <x:c r="C62" s="14" t="str">
        <x:v>Nghị định 205/2026/NĐ-CP</x:v>
      </x:c>
      <x:c r="D62" s="14" t="str">
        <x:v>Ra_soat_sau_ND205_VATM_ANSP_day_du.xlsx</x:v>
      </x:c>
      <x:c r="E62" s="14" t="str">
        <x:v>01_Nhiem_vu_chi_tiet</x:v>
      </x:c>
      <x:c r="F62" s="56" t="n">
        <x:v>62</x:v>
      </x:c>
      <x:c r="G62" s="14" t="str">
        <x:v>Điều 69-71, 73-78, 80-85</x:v>
      </x:c>
      <x:c r="H62" s="14" t="str">
        <x:v>Tuân thủ, pháp chế &amp; quản trị</x:v>
      </x:c>
      <x:c r="I62" s="14" t="str">
        <x:v>Rà soát văn bản, quy trình và GAP</x:v>
      </x:c>
      <x:c r="J62" s="14" t="str">
        <x:v>Quy trình nội bộ cần sửa đổi</x:v>
      </x:c>
      <x:c r="K62" s="14" t="str">
        <x:v>Trực tiếp</x:v>
      </x:c>
      <x:c r="L62" s="14" t="str">
        <x:v>Quy trình/SOP/biểu mẫu</x:v>
      </x:c>
      <x:c r="M62" s="14" t="str">
        <x:v>ANSP/doanh nghiệp hàng không</x:v>
      </x:c>
      <x:c r="N62" s="14" t="str">
        <x:v>Chuẩn hóa yêu cầu phát hành NOTAM/AIP SUP/AIC khi thay đổi khai thác, thi công, đóng/mở, chuyển cảng.</x:v>
      </x:c>
      <x:c r="O62" s="14" t="str">
        <x:v>Sửa quy trình, ban hành hướng dẫn áp dụng, đào tạo, kiểm tra thực hiện.</x:v>
      </x:c>
      <x:c r="P62" s="14" t="str">
        <x:v>Quy trình nội bộ bám NĐ205, có phân công và biểu mẫu kiểm soát</x:v>
      </x:c>
      <x:c r="Q62" s="14" t="str">
        <x:v>Quyết định sửa đổi quy trình; tài liệu đào tạo; biên bản nghiệm thu quy trình</x:v>
      </x:c>
      <x:c r="R62" s="14" t="str">
        <x:v>AIS-NOTAM; Phụ lục biểu mẫu kèm quy trình</x:v>
      </x:c>
      <x:c r="S62" s="14" t="str">
        <x:v>Văn phòng - Pháp chế; Ban An toàn - Chất lượng</x:v>
      </x:c>
      <x:c r="T62" s="14" t="str">
        <x:v>Văn phòng - Pháp chế</x:v>
      </x:c>
      <x:c r="U62" s="14" t="str">
        <x:v>CHK Việt Nam, Cảng vụ, ACV, đơn vị liên quan</x:v>
      </x:c>
      <x:c r="V62" s="14" t="str">
        <x:v>Hoàn thành trong 60-90 ngày từ khi áp dụng NĐ</x:v>
      </x:c>
      <x:c r="W62" s="14" t="str">
        <x:v>P1</x:v>
      </x:c>
      <x:c r="X62" s="14" t="str">
        <x:v>Rất cao</x:v>
      </x:c>
      <x:c r="Y62" s="14" t="str">
        <x:v>Chưa bắt đầu</x:v>
      </x:c>
      <x:c r="Z62" s="14" t="str">
        <x:v>Dòng này phục vụ kế hoạch hành động nội bộ VATM.</x:v>
      </x:c>
      <x:c r="AA62" s="14" t="str"/>
      <x:c r="AB62" s="14" t="str">
        <x:v>phap che; cang; an toan</x:v>
      </x:c>
    </x:row>
    <x:row r="63">
      <x:c r="A63" s="14" t="str">
        <x:v>VATM-0062</x:v>
      </x:c>
      <x:c r="B63" s="14" t="str">
        <x:v>62</x:v>
      </x:c>
      <x:c r="C63" s="14" t="str">
        <x:v>Nghị định 205/2026/NĐ-CP</x:v>
      </x:c>
      <x:c r="D63" s="14" t="str">
        <x:v>Ra_soat_sau_ND205_VATM_ANSP_day_du.xlsx</x:v>
      </x:c>
      <x:c r="E63" s="14" t="str">
        <x:v>01_Nhiem_vu_chi_tiet</x:v>
      </x:c>
      <x:c r="F63" s="56" t="n">
        <x:v>63</x:v>
      </x:c>
      <x:c r="G63" s="14" t="str">
        <x:v>Điều 18, 37-45, 72-78</x:v>
      </x:c>
      <x:c r="H63" s="14" t="str">
        <x:v>Tuân thủ, pháp chế &amp; quản trị</x:v>
      </x:c>
      <x:c r="I63" s="14" t="str">
        <x:v>Rà soát văn bản, quy trình và GAP</x:v>
      </x:c>
      <x:c r="J63" s="14" t="str">
        <x:v>Quy trình nội bộ cần sửa đổi</x:v>
      </x:c>
      <x:c r="K63" s="14" t="str">
        <x:v>Trực tiếp</x:v>
      </x:c>
      <x:c r="L63" s="14" t="str">
        <x:v>Quy trình/SOP/biểu mẫu</x:v>
      </x:c>
      <x:c r="M63" s="14" t="str">
        <x:v>ANSP/doanh nghiệp hàng không</x:v>
      </x:c>
      <x:c r="N63" s="14" t="str">
        <x:v>Bảo vệ công trình CNS, đánh giá ảnh hưởng công trình mới/cải tạo đến vùng phủ, nguồn điện, truyền dẫn, nhiễu.</x:v>
      </x:c>
      <x:c r="O63" s="14" t="str">
        <x:v>Sửa quy trình, ban hành hướng dẫn áp dụng, đào tạo, kiểm tra thực hiện.</x:v>
      </x:c>
      <x:c r="P63" s="14" t="str">
        <x:v>Quy trình nội bộ bám NĐ205, có phân công và biểu mẫu kiểm soát</x:v>
      </x:c>
      <x:c r="Q63" s="14" t="str">
        <x:v>Quyết định sửa đổi quy trình; tài liệu đào tạo; biên bản nghiệm thu quy trình</x:v>
      </x:c>
      <x:c r="R63" s="14" t="str">
        <x:v>CNS-PROTECT; Phụ lục biểu mẫu kèm quy trình</x:v>
      </x:c>
      <x:c r="S63" s="14" t="str">
        <x:v>Văn phòng - Pháp chế; Ban An toàn - Chất lượng</x:v>
      </x:c>
      <x:c r="T63" s="14" t="str">
        <x:v>Văn phòng - Pháp chế</x:v>
      </x:c>
      <x:c r="U63" s="14" t="str">
        <x:v>CHK Việt Nam, Cảng vụ, ACV, đơn vị liên quan</x:v>
      </x:c>
      <x:c r="V63" s="14" t="str">
        <x:v>Hoàn thành trong 60-90 ngày từ khi áp dụng NĐ</x:v>
      </x:c>
      <x:c r="W63" s="14" t="str">
        <x:v>P1</x:v>
      </x:c>
      <x:c r="X63" s="14" t="str">
        <x:v>Cao</x:v>
      </x:c>
      <x:c r="Y63" s="14" t="str">
        <x:v>Chưa bắt đầu</x:v>
      </x:c>
      <x:c r="Z63" s="14" t="str">
        <x:v>Dòng này phục vụ kế hoạch hành động nội bộ VATM.</x:v>
      </x:c>
      <x:c r="AA63" s="14" t="str"/>
      <x:c r="AB63" s="14" t="str">
        <x:v>phap che; cns; an toan</x:v>
      </x:c>
    </x:row>
    <x:row r="64">
      <x:c r="A64" s="14" t="str">
        <x:v>VATM-0063</x:v>
      </x:c>
      <x:c r="B64" s="14" t="str">
        <x:v>63</x:v>
      </x:c>
      <x:c r="C64" s="14" t="str">
        <x:v>Nghị định 205/2026/NĐ-CP</x:v>
      </x:c>
      <x:c r="D64" s="14" t="str">
        <x:v>Ra_soat_sau_ND205_VATM_ANSP_day_du.xlsx</x:v>
      </x:c>
      <x:c r="E64" s="14" t="str">
        <x:v>01_Nhiem_vu_chi_tiet</x:v>
      </x:c>
      <x:c r="F64" s="56" t="n">
        <x:v>64</x:v>
      </x:c>
      <x:c r="G64" s="14" t="str">
        <x:v>Điều 86-89</x:v>
      </x:c>
      <x:c r="H64" s="14" t="str">
        <x:v>Tuân thủ, pháp chế &amp; quản trị</x:v>
      </x:c>
      <x:c r="I64" s="14" t="str">
        <x:v>Rà soát văn bản, quy trình và GAP</x:v>
      </x:c>
      <x:c r="J64" s="14" t="str">
        <x:v>Quy trình nội bộ cần sửa đổi</x:v>
      </x:c>
      <x:c r="K64" s="14" t="str">
        <x:v>Trực tiếp</x:v>
      </x:c>
      <x:c r="L64" s="14" t="str">
        <x:v>Quy trình/SOP/biểu mẫu</x:v>
      </x:c>
      <x:c r="M64" s="14" t="str">
        <x:v>ANSP/doanh nghiệp hàng không</x:v>
      </x:c>
      <x:c r="N64" s="14" t="str">
        <x:v>Sửa hiệp đồng điều hành bay với cảng/quân sự/hãng khi có thay đổi sân bay lưỡng dụng, dây chuyền khai thác.</x:v>
      </x:c>
      <x:c r="O64" s="14" t="str">
        <x:v>Sửa quy trình, ban hành hướng dẫn áp dụng, đào tạo, kiểm tra thực hiện.</x:v>
      </x:c>
      <x:c r="P64" s="14" t="str">
        <x:v>Quy trình nội bộ bám NĐ205, có phân công và biểu mẫu kiểm soát</x:v>
      </x:c>
      <x:c r="Q64" s="14" t="str">
        <x:v>Quyết định sửa đổi quy trình; tài liệu đào tạo; biên bản nghiệm thu quy trình</x:v>
      </x:c>
      <x:c r="R64" s="14" t="str">
        <x:v>ATM-LOA; Phụ lục biểu mẫu kèm quy trình</x:v>
      </x:c>
      <x:c r="S64" s="14" t="str">
        <x:v>Văn phòng - Pháp chế; Ban An toàn - Chất lượng</x:v>
      </x:c>
      <x:c r="T64" s="14" t="str">
        <x:v>Văn phòng - Pháp chế</x:v>
      </x:c>
      <x:c r="U64" s="14" t="str">
        <x:v>CHK Việt Nam, Cảng vụ, ACV, đơn vị liên quan</x:v>
      </x:c>
      <x:c r="V64" s="14" t="str">
        <x:v>Hoàn thành trong 60-90 ngày từ khi áp dụng NĐ</x:v>
      </x:c>
      <x:c r="W64" s="14" t="str">
        <x:v>P1</x:v>
      </x:c>
      <x:c r="X64" s="14" t="str">
        <x:v>Cao</x:v>
      </x:c>
      <x:c r="Y64" s="14" t="str">
        <x:v>Chưa bắt đầu</x:v>
      </x:c>
      <x:c r="Z64" s="14" t="str">
        <x:v>Dòng này phục vụ kế hoạch hành động nội bộ VATM.</x:v>
      </x:c>
      <x:c r="AA64" s="14" t="str"/>
      <x:c r="AB64" s="14" t="str">
        <x:v>phap che; cang; san bay; an toan</x:v>
      </x:c>
    </x:row>
    <x:row r="65">
      <x:c r="A65" s="14" t="str">
        <x:v>VATM-0064</x:v>
      </x:c>
      <x:c r="B65" s="14" t="str">
        <x:v>64</x:v>
      </x:c>
      <x:c r="C65" s="14" t="str">
        <x:v>Nghị định 205/2026/NĐ-CP</x:v>
      </x:c>
      <x:c r="D65" s="14" t="str">
        <x:v>Ra_soat_sau_ND205_VATM_ANSP_day_du.xlsx</x:v>
      </x:c>
      <x:c r="E65" s="14" t="str">
        <x:v>01_Nhiem_vu_chi_tiet</x:v>
      </x:c>
      <x:c r="F65" s="56" t="n">
        <x:v>65</x:v>
      </x:c>
      <x:c r="G65" s="14" t="str">
        <x:v>Điều 92-93</x:v>
      </x:c>
      <x:c r="H65" s="14" t="str">
        <x:v>Tuân thủ, pháp chế &amp; quản trị</x:v>
      </x:c>
      <x:c r="I65" s="14" t="str">
        <x:v>Rà soát văn bản, quy trình và GAP</x:v>
      </x:c>
      <x:c r="J65" s="14" t="str">
        <x:v>Quy trình nội bộ cần sửa đổi</x:v>
      </x:c>
      <x:c r="K65" s="14" t="str">
        <x:v>Trực tiếp</x:v>
      </x:c>
      <x:c r="L65" s="14" t="str">
        <x:v>Quy trình/SOP/biểu mẫu</x:v>
      </x:c>
      <x:c r="M65" s="14" t="str">
        <x:v>ANSP/doanh nghiệp hàng không</x:v>
      </x:c>
      <x:c r="N65" s="14" t="str">
        <x:v>Cập nhật căn cứ pháp lý, danh mục văn bản hết hiệu lực và điều khoản chuyển tiếp.</x:v>
      </x:c>
      <x:c r="O65" s="14" t="str">
        <x:v>Sửa quy trình, ban hành hướng dẫn áp dụng, đào tạo, kiểm tra thực hiện.</x:v>
      </x:c>
      <x:c r="P65" s="14" t="str">
        <x:v>Quy trình nội bộ bám NĐ205, có phân công và biểu mẫu kiểm soát</x:v>
      </x:c>
      <x:c r="Q65" s="14" t="str">
        <x:v>Quyết định sửa đổi quy trình; tài liệu đào tạo; biên bản nghiệm thu quy trình</x:v>
      </x:c>
      <x:c r="R65" s="14" t="str">
        <x:v>LEGAL-COMPLIANCE; Phụ lục biểu mẫu kèm quy trình</x:v>
      </x:c>
      <x:c r="S65" s="14" t="str">
        <x:v>Văn phòng - Pháp chế; Ban An toàn - Chất lượng</x:v>
      </x:c>
      <x:c r="T65" s="14" t="str">
        <x:v>Văn phòng - Pháp chế</x:v>
      </x:c>
      <x:c r="U65" s="14" t="str">
        <x:v>CHK Việt Nam, Cảng vụ, ACV, đơn vị liên quan</x:v>
      </x:c>
      <x:c r="V65" s="14" t="str">
        <x:v>Hoàn thành trong 60-90 ngày từ khi áp dụng NĐ</x:v>
      </x:c>
      <x:c r="W65" s="14" t="str">
        <x:v>P1</x:v>
      </x:c>
      <x:c r="X65" s="14" t="str">
        <x:v>Cao</x:v>
      </x:c>
      <x:c r="Y65" s="14" t="str">
        <x:v>Chưa bắt đầu</x:v>
      </x:c>
      <x:c r="Z65" s="14" t="str">
        <x:v>Dòng này phục vụ kế hoạch hành động nội bộ VATM.</x:v>
      </x:c>
      <x:c r="AA65" s="14" t="str"/>
      <x:c r="AB65" s="14" t="str">
        <x:v>phap che; an toan</x:v>
      </x:c>
    </x:row>
    <x:row r="66">
      <x:c r="A66" s="14" t="str">
        <x:v>VATM-0065</x:v>
      </x:c>
      <x:c r="B66" s="14" t="str">
        <x:v>65</x:v>
      </x:c>
      <x:c r="C66" s="14" t="str">
        <x:v>Nghị định 205/2026/NĐ-CP</x:v>
      </x:c>
      <x:c r="D66" s="14" t="str">
        <x:v>Ra_soat_sau_ND205_VATM_ANSP_day_du.xlsx</x:v>
      </x:c>
      <x:c r="E66" s="14" t="str">
        <x:v>01_Nhiem_vu_chi_tiet</x:v>
      </x:c>
      <x:c r="F66" s="56" t="n">
        <x:v>66</x:v>
      </x:c>
      <x:c r="G66" s="14" t="str">
        <x:v>Điều 7, 50, 56, 72-78</x:v>
      </x:c>
      <x:c r="H66" s="14" t="str">
        <x:v>Tuân thủ, pháp chế &amp; quản trị</x:v>
      </x:c>
      <x:c r="I66" s="14" t="str">
        <x:v>Rà soát văn bản, quy trình và GAP</x:v>
      </x:c>
      <x:c r="J66" s="14" t="str">
        <x:v>Quy trình nội bộ cần sửa đổi</x:v>
      </x:c>
      <x:c r="K66" s="14" t="str">
        <x:v>Trực tiếp</x:v>
      </x:c>
      <x:c r="L66" s="14" t="str">
        <x:v>Dữ liệu/số hóa</x:v>
      </x:c>
      <x:c r="M66" s="14" t="str">
        <x:v>ANSP/doanh nghiệp hàng không</x:v>
      </x:c>
      <x:c r="N66" s="14" t="str">
        <x:v>Bổ sung điều khoản phối hợp, cung cấp dữ liệu, an toàn bay trong hợp đồng/thoả thuận với người khai thác cảng/chủ đầu tư.</x:v>
      </x:c>
      <x:c r="O66" s="14" t="str">
        <x:v>Sửa quy trình, ban hành hướng dẫn áp dụng, đào tạo, kiểm tra thực hiện.</x:v>
      </x:c>
      <x:c r="P66" s="14" t="str">
        <x:v>Quy trình nội bộ bám NĐ205, có phân công và biểu mẫu kiểm soát</x:v>
      </x:c>
      <x:c r="Q66" s="14" t="str">
        <x:v>Quyết định sửa đổi quy trình; tài liệu đào tạo; biên bản nghiệm thu quy trình</x:v>
      </x:c>
      <x:c r="R66" s="14" t="str">
        <x:v>CONTRACT-REVIEW; Phụ lục biểu mẫu kèm quy trình</x:v>
      </x:c>
      <x:c r="S66" s="14" t="str">
        <x:v>Văn phòng - Pháp chế; Ban An toàn - Chất lượng</x:v>
      </x:c>
      <x:c r="T66" s="14" t="str">
        <x:v>Văn phòng - Pháp chế</x:v>
      </x:c>
      <x:c r="U66" s="14" t="str">
        <x:v>CHK Việt Nam, Cảng vụ, ACV, đơn vị liên quan</x:v>
      </x:c>
      <x:c r="V66" s="14" t="str">
        <x:v>Hoàn thành trong 60-90 ngày từ khi áp dụng NĐ</x:v>
      </x:c>
      <x:c r="W66" s="14" t="str">
        <x:v>P1</x:v>
      </x:c>
      <x:c r="X66" s="14" t="str">
        <x:v>Trung bình/Cao</x:v>
      </x:c>
      <x:c r="Y66" s="14" t="str">
        <x:v>Chưa bắt đầu</x:v>
      </x:c>
      <x:c r="Z66" s="14" t="str">
        <x:v>Dòng này phục vụ kế hoạch hành động nội bộ VATM.</x:v>
      </x:c>
      <x:c r="AA66" s="14" t="str"/>
      <x:c r="AB66" s="14" t="str">
        <x:v>phap che; an toan; cang; du lieu</x:v>
      </x:c>
    </x:row>
    <x:row r="67">
      <x:c r="A67" s="14" t="str">
        <x:v>VATM-0066</x:v>
      </x:c>
      <x:c r="B67" s="14" t="str">
        <x:v>66</x:v>
      </x:c>
      <x:c r="C67" s="14" t="str">
        <x:v>Nghị định 205/2026/NĐ-CP</x:v>
      </x:c>
      <x:c r="D67" s="14" t="str">
        <x:v>Ra_soat_sau_ND205_VATM_ANSP_day_du.xlsx</x:v>
      </x:c>
      <x:c r="E67" s="14" t="str">
        <x:v>01_Nhiem_vu_chi_tiet</x:v>
      </x:c>
      <x:c r="F67" s="56" t="n">
        <x:v>67</x:v>
      </x:c>
      <x:c r="G67" s="14" t="str">
        <x:v>Điều 50, 69-78, 86</x:v>
      </x:c>
      <x:c r="H67" s="14" t="str">
        <x:v>Tuân thủ, pháp chế &amp; quản trị</x:v>
      </x:c>
      <x:c r="I67" s="14" t="str">
        <x:v>Rà soát văn bản, quy trình và GAP</x:v>
      </x:c>
      <x:c r="J67" s="14" t="str">
        <x:v>Quy trình nội bộ cần sửa đổi</x:v>
      </x:c>
      <x:c r="K67" s="14" t="str">
        <x:v>Trực tiếp</x:v>
      </x:c>
      <x:c r="L67" s="14" t="str">
        <x:v>Báo cáo/điều tra/khắc phục</x:v>
      </x:c>
      <x:c r="M67" s="14" t="str">
        <x:v>ANSP/doanh nghiệp hàng không</x:v>
      </x:c>
      <x:c r="N67" s="14" t="str">
        <x:v>Cập nhật phương án ứng phó khi cảng/công trình tạm dừng, sự cố thi công, sự cố hạ tầng, thiên tai.</x:v>
      </x:c>
      <x:c r="O67" s="14" t="str">
        <x:v>Sửa quy trình, ban hành hướng dẫn áp dụng, đào tạo, kiểm tra thực hiện.</x:v>
      </x:c>
      <x:c r="P67" s="14" t="str">
        <x:v>Quy trình nội bộ bám NĐ205, có phân công và biểu mẫu kiểm soát</x:v>
      </x:c>
      <x:c r="Q67" s="14" t="str">
        <x:v>Quyết định sửa đổi quy trình; tài liệu đào tạo; biên bản nghiệm thu quy trình</x:v>
      </x:c>
      <x:c r="R67" s="14" t="str">
        <x:v>EMERGENCY-CONTINGENCY; Phụ lục biểu mẫu kèm quy trình</x:v>
      </x:c>
      <x:c r="S67" s="14" t="str">
        <x:v>Văn phòng - Pháp chế; Ban An toàn - Chất lượng</x:v>
      </x:c>
      <x:c r="T67" s="14" t="str">
        <x:v>Văn phòng - Pháp chế</x:v>
      </x:c>
      <x:c r="U67" s="14" t="str">
        <x:v>CHK Việt Nam, Cảng vụ, ACV, đơn vị liên quan</x:v>
      </x:c>
      <x:c r="V67" s="14" t="str">
        <x:v>Hoàn thành trong 60-90 ngày từ khi áp dụng NĐ</x:v>
      </x:c>
      <x:c r="W67" s="14" t="str">
        <x:v>P1</x:v>
      </x:c>
      <x:c r="X67" s="14" t="str">
        <x:v>Rất cao</x:v>
      </x:c>
      <x:c r="Y67" s="14" t="str">
        <x:v>Chưa bắt đầu</x:v>
      </x:c>
      <x:c r="Z67" s="14" t="str">
        <x:v>Dòng này phục vụ kế hoạch hành động nội bộ VATM.</x:v>
      </x:c>
      <x:c r="AA67" s="14" t="str"/>
      <x:c r="AB67" s="14" t="str">
        <x:v>phap che; cang; an toan</x:v>
      </x:c>
    </x:row>
    <x:row r="68">
      <x:c r="A68" s="14" t="str">
        <x:v>VATM-0067</x:v>
      </x:c>
      <x:c r="B68" s="14" t="str">
        <x:v>67</x:v>
      </x:c>
      <x:c r="C68" s="14" t="str">
        <x:v>Nghị định 205/2026/NĐ-CP</x:v>
      </x:c>
      <x:c r="D68" s="14" t="str">
        <x:v>Ra_soat_sau_ND205_VATM_ANSP_day_du.xlsx</x:v>
      </x:c>
      <x:c r="E68" s="14" t="str">
        <x:v>01_Nhiem_vu_chi_tiet</x:v>
      </x:c>
      <x:c r="F68" s="56" t="n">
        <x:v>68</x:v>
      </x:c>
      <x:c r="G68" s="14" t="str">
        <x:v>Điều 92-94</x:v>
      </x:c>
      <x:c r="H68" s="14" t="str">
        <x:v>Tuân thủ, pháp chế &amp; quản trị</x:v>
      </x:c>
      <x:c r="I68" s="14" t="str">
        <x:v>Rà soát văn bản, quy trình và GAP</x:v>
      </x:c>
      <x:c r="J68" s="14" t="str">
        <x:v>Quy trình nội bộ cần sửa đổi</x:v>
      </x:c>
      <x:c r="K68" s="14" t="str">
        <x:v>Trực tiếp</x:v>
      </x:c>
      <x:c r="L68" s="14" t="str">
        <x:v>Quy trình/SOP/biểu mẫu</x:v>
      </x:c>
      <x:c r="M68" s="14" t="str">
        <x:v>ANSP/doanh nghiệp hàng không</x:v>
      </x:c>
      <x:c r="N68" s="14" t="str">
        <x:v>Đào tạo/phổ biến NĐ205 cho các Ban, Công ty QLB khu vực, cơ sở ANS liên quan.</x:v>
      </x:c>
      <x:c r="O68" s="14" t="str">
        <x:v>Sửa quy trình, ban hành hướng dẫn áp dụng, đào tạo, kiểm tra thực hiện.</x:v>
      </x:c>
      <x:c r="P68" s="14" t="str">
        <x:v>Quy trình nội bộ bám NĐ205, có phân công và biểu mẫu kiểm soát</x:v>
      </x:c>
      <x:c r="Q68" s="14" t="str">
        <x:v>Quyết định sửa đổi quy trình; tài liệu đào tạo; biên bản nghiệm thu quy trình</x:v>
      </x:c>
      <x:c r="R68" s="14" t="str">
        <x:v>TRAINING-BRIEFING; Phụ lục biểu mẫu kèm quy trình</x:v>
      </x:c>
      <x:c r="S68" s="14" t="str">
        <x:v>Văn phòng - Pháp chế; Ban An toàn - Chất lượng</x:v>
      </x:c>
      <x:c r="T68" s="14" t="str">
        <x:v>Văn phòng - Pháp chế</x:v>
      </x:c>
      <x:c r="U68" s="14" t="str">
        <x:v>CHK Việt Nam, Cảng vụ, ACV, đơn vị liên quan</x:v>
      </x:c>
      <x:c r="V68" s="14" t="str">
        <x:v>Hoàn thành trong 60-90 ngày từ khi áp dụng NĐ</x:v>
      </x:c>
      <x:c r="W68" s="14" t="str">
        <x:v>P2</x:v>
      </x:c>
      <x:c r="X68" s="14" t="str">
        <x:v>Trung bình</x:v>
      </x:c>
      <x:c r="Y68" s="14" t="str">
        <x:v>Chưa bắt đầu</x:v>
      </x:c>
      <x:c r="Z68" s="14" t="str">
        <x:v>Dòng này phục vụ kế hoạch hành động nội bộ VATM.</x:v>
      </x:c>
      <x:c r="AA68" s="14" t="str"/>
      <x:c r="AB68" s="14" t="str">
        <x:v>phap che; ans; an toan</x:v>
      </x:c>
    </x:row>
    <x:row r="69">
      <x:c r="A69" s="14" t="str">
        <x:v>VATM-0068</x:v>
      </x:c>
      <x:c r="B69" s="14" t="str">
        <x:v>68</x:v>
      </x:c>
      <x:c r="C69" s="14" t="str">
        <x:v>Nghị định 205/2026/NĐ-CP</x:v>
      </x:c>
      <x:c r="D69" s="14" t="str">
        <x:v>Ra_soat_sau_ND205_VATM_ANSP_day_du.xlsx</x:v>
      </x:c>
      <x:c r="E69" s="14" t="str">
        <x:v>01_Nhiem_vu_chi_tiet</x:v>
      </x:c>
      <x:c r="F69" s="56" t="n">
        <x:v>69</x:v>
      </x:c>
      <x:c r="G69" s="14" t="str">
        <x:v>Điều 10</x:v>
      </x:c>
      <x:c r="H69" s="14" t="str">
        <x:v>Tài chính - Kế hoạch đầu tư</x:v>
      </x:c>
      <x:c r="I69" s="14" t="str">
        <x:v>Phí, thanh toán, hợp đồng và billing</x:v>
      </x:c>
      <x:c r="J69" s="14" t="str">
        <x:v>Bao phủ chi tiết từng điều quy hoạch</x:v>
      </x:c>
      <x:c r="K69" s="14" t="str">
        <x:v>Phối hợp/Gián tiếp</x:v>
      </x:c>
      <x:c r="L69" s="14" t="str">
        <x:v>Dữ liệu/số hóa</x:v>
      </x:c>
      <x:c r="M69" s="14" t="str">
        <x:v>ANSP</x:v>
      </x:c>
      <x:c r="N69" s="14" t="str">
        <x:v>Theo dõi điều khoản này để xác định điểm chạm khi cơ quan lập/thẩm định quy hoạch yêu cầu ý kiến hoặc dữ liệu kỹ thuật từ VATM; không phát sinh thẩm quyền phê duyệt cho VATM.</x:v>
      </x:c>
      <x:c r="O69" s="14" t="str">
        <x:v>Duy trì đầu mối phản hồi nhanh; chuẩn bị bộ dữ liệu ANS chuẩn; lưu hồ sơ góp ý theo từng điều khoản.</x:v>
      </x:c>
      <x:c r="P69" s="14" t="str">
        <x:v>Không bỏ sót trách nhiệm phối hợp quy hoạch</x:v>
      </x:c>
      <x:c r="Q69" s="14" t="str">
        <x:v>Phiếu rà soát điều khoản; văn bản phản hồi; bộ dữ liệu đã cung cấp</x:v>
      </x:c>
      <x:c r="R69" s="14" t="str">
        <x:v>Quy trình tham gia quy hoạch cảng hàng không; Phiếu rà soát điều khoản quy hoạch NĐ205</x:v>
      </x:c>
      <x:c r="S69" s="14" t="str">
        <x:v>Ban Tài chính; Ban Kế hoạch - Đầu tư; Ban Không lưu; Ban Kỹ thuật - CNS/IT/Môi trường; Trung tâm Thông báo tin tức hàng không</x:v>
      </x:c>
      <x:c r="T69" s="14" t="str">
        <x:v>Ban Tài chính; Ban Kế hoạch - Đầu tư</x:v>
      </x:c>
      <x:c r="U69" s="14" t="str">
        <x:v>Bộ Xây dựng, CHK Việt Nam, Cảng vụ, ACV, địa phương</x:v>
      </x:c>
      <x:c r="V69" s="14" t="str">
        <x:v>Theo từng lần lấy ý kiến</x:v>
      </x:c>
      <x:c r="W69" s="14" t="str">
        <x:v>P1</x:v>
      </x:c>
      <x:c r="X69" s="14" t="str">
        <x:v>Trung bình/Cao</x:v>
      </x:c>
      <x:c r="Y69" s="14" t="str">
        <x:v>Chưa bắt đầu</x:v>
      </x:c>
      <x:c r="Z69" s="14" t="str">
        <x:v>Dòng bổ sung để bảo đảm rà soát theo từng điều.</x:v>
      </x:c>
      <x:c r="AA69" s="14" t="str"/>
      <x:c r="AB69" s="14" t="str">
        <x:v>tai chinh; atm; du lieu; cns</x:v>
      </x:c>
    </x:row>
    <x:row r="70">
      <x:c r="A70" s="14" t="str">
        <x:v>VATM-0069</x:v>
      </x:c>
      <x:c r="B70" s="14" t="str">
        <x:v>69</x:v>
      </x:c>
      <x:c r="C70" s="14" t="str">
        <x:v>Nghị định 205/2026/NĐ-CP</x:v>
      </x:c>
      <x:c r="D70" s="14" t="str">
        <x:v>Ra_soat_sau_ND205_VATM_ANSP_day_du.xlsx</x:v>
      </x:c>
      <x:c r="E70" s="14" t="str">
        <x:v>01_Nhiem_vu_chi_tiet</x:v>
      </x:c>
      <x:c r="F70" s="56" t="n">
        <x:v>70</x:v>
      </x:c>
      <x:c r="G70" s="14" t="str">
        <x:v>Điều 11</x:v>
      </x:c>
      <x:c r="H70" s="14" t="str">
        <x:v>Tài chính - Kế hoạch đầu tư</x:v>
      </x:c>
      <x:c r="I70" s="14" t="str">
        <x:v>Phí, thanh toán, hợp đồng và billing</x:v>
      </x:c>
      <x:c r="J70" s="14" t="str">
        <x:v>Bao phủ chi tiết từng điều quy hoạch</x:v>
      </x:c>
      <x:c r="K70" s="14" t="str">
        <x:v>Phối hợp/Gián tiếp</x:v>
      </x:c>
      <x:c r="L70" s="14" t="str">
        <x:v>Dữ liệu/số hóa</x:v>
      </x:c>
      <x:c r="M70" s="14" t="str">
        <x:v>ANSP</x:v>
      </x:c>
      <x:c r="N70" s="14" t="str">
        <x:v>Theo dõi điều khoản này để xác định điểm chạm khi cơ quan lập/thẩm định quy hoạch yêu cầu ý kiến hoặc dữ liệu kỹ thuật từ VATM; không phát sinh thẩm quyền phê duyệt cho VATM.</x:v>
      </x:c>
      <x:c r="O70" s="14" t="str">
        <x:v>Duy trì đầu mối phản hồi nhanh; chuẩn bị bộ dữ liệu ANS chuẩn; lưu hồ sơ góp ý theo từng điều khoản.</x:v>
      </x:c>
      <x:c r="P70" s="14" t="str">
        <x:v>Không bỏ sót trách nhiệm phối hợp quy hoạch</x:v>
      </x:c>
      <x:c r="Q70" s="14" t="str">
        <x:v>Phiếu rà soát điều khoản; văn bản phản hồi; bộ dữ liệu đã cung cấp</x:v>
      </x:c>
      <x:c r="R70" s="14" t="str">
        <x:v>Quy trình tham gia quy hoạch cảng hàng không; Phiếu rà soát điều khoản quy hoạch NĐ205</x:v>
      </x:c>
      <x:c r="S70" s="14" t="str">
        <x:v>Ban Tài chính; Ban Kế hoạch - Đầu tư; Ban Không lưu; Ban Kỹ thuật - CNS/IT/Môi trường; Trung tâm Thông báo tin tức hàng không</x:v>
      </x:c>
      <x:c r="T70" s="14" t="str">
        <x:v>Ban Tài chính; Ban Kế hoạch - Đầu tư</x:v>
      </x:c>
      <x:c r="U70" s="14" t="str">
        <x:v>Bộ Xây dựng, CHK Việt Nam, Cảng vụ, ACV, địa phương</x:v>
      </x:c>
      <x:c r="V70" s="14" t="str">
        <x:v>Theo từng lần lấy ý kiến</x:v>
      </x:c>
      <x:c r="W70" s="14" t="str">
        <x:v>P1</x:v>
      </x:c>
      <x:c r="X70" s="14" t="str">
        <x:v>Trung bình/Cao</x:v>
      </x:c>
      <x:c r="Y70" s="14" t="str">
        <x:v>Chưa bắt đầu</x:v>
      </x:c>
      <x:c r="Z70" s="14" t="str">
        <x:v>Dòng bổ sung để bảo đảm rà soát theo từng điều.</x:v>
      </x:c>
      <x:c r="AA70" s="14" t="str"/>
      <x:c r="AB70" s="14" t="str">
        <x:v>tai chinh; atm; du lieu; cns</x:v>
      </x:c>
    </x:row>
    <x:row r="71">
      <x:c r="A71" s="14" t="str">
        <x:v>VATM-0070</x:v>
      </x:c>
      <x:c r="B71" s="14" t="str">
        <x:v>70</x:v>
      </x:c>
      <x:c r="C71" s="14" t="str">
        <x:v>Nghị định 205/2026/NĐ-CP</x:v>
      </x:c>
      <x:c r="D71" s="14" t="str">
        <x:v>Ra_soat_sau_ND205_VATM_ANSP_day_du.xlsx</x:v>
      </x:c>
      <x:c r="E71" s="14" t="str">
        <x:v>01_Nhiem_vu_chi_tiet</x:v>
      </x:c>
      <x:c r="F71" s="56" t="n">
        <x:v>71</x:v>
      </x:c>
      <x:c r="G71" s="14" t="str">
        <x:v>Điều 12</x:v>
      </x:c>
      <x:c r="H71" s="14" t="str">
        <x:v>Tài chính - Kế hoạch đầu tư</x:v>
      </x:c>
      <x:c r="I71" s="14" t="str">
        <x:v>Phí, thanh toán, hợp đồng và billing</x:v>
      </x:c>
      <x:c r="J71" s="14" t="str">
        <x:v>Bao phủ chi tiết từng điều quy hoạch</x:v>
      </x:c>
      <x:c r="K71" s="14" t="str">
        <x:v>Phối hợp/Gián tiếp</x:v>
      </x:c>
      <x:c r="L71" s="14" t="str">
        <x:v>Dữ liệu/số hóa</x:v>
      </x:c>
      <x:c r="M71" s="14" t="str">
        <x:v>ANSP</x:v>
      </x:c>
      <x:c r="N71" s="14" t="str">
        <x:v>Theo dõi điều khoản này để xác định điểm chạm khi cơ quan lập/thẩm định quy hoạch yêu cầu ý kiến hoặc dữ liệu kỹ thuật từ VATM; không phát sinh thẩm quyền phê duyệt cho VATM.</x:v>
      </x:c>
      <x:c r="O71" s="14" t="str">
        <x:v>Duy trì đầu mối phản hồi nhanh; chuẩn bị bộ dữ liệu ANS chuẩn; lưu hồ sơ góp ý theo từng điều khoản.</x:v>
      </x:c>
      <x:c r="P71" s="14" t="str">
        <x:v>Không bỏ sót trách nhiệm phối hợp quy hoạch</x:v>
      </x:c>
      <x:c r="Q71" s="14" t="str">
        <x:v>Phiếu rà soát điều khoản; văn bản phản hồi; bộ dữ liệu đã cung cấp</x:v>
      </x:c>
      <x:c r="R71" s="14" t="str">
        <x:v>Quy trình tham gia quy hoạch cảng hàng không; Phiếu rà soát điều khoản quy hoạch NĐ205</x:v>
      </x:c>
      <x:c r="S71" s="14" t="str">
        <x:v>Ban Tài chính; Ban Kế hoạch - Đầu tư; Ban Không lưu; Ban Kỹ thuật - CNS/IT/Môi trường; Trung tâm Thông báo tin tức hàng không</x:v>
      </x:c>
      <x:c r="T71" s="14" t="str">
        <x:v>Ban Tài chính; Ban Kế hoạch - Đầu tư</x:v>
      </x:c>
      <x:c r="U71" s="14" t="str">
        <x:v>Bộ Xây dựng, CHK Việt Nam, Cảng vụ, ACV, địa phương</x:v>
      </x:c>
      <x:c r="V71" s="14" t="str">
        <x:v>Theo từng lần lấy ý kiến</x:v>
      </x:c>
      <x:c r="W71" s="14" t="str">
        <x:v>P1</x:v>
      </x:c>
      <x:c r="X71" s="14" t="str">
        <x:v>Trung bình/Cao</x:v>
      </x:c>
      <x:c r="Y71" s="14" t="str">
        <x:v>Chưa bắt đầu</x:v>
      </x:c>
      <x:c r="Z71" s="14" t="str">
        <x:v>Dòng bổ sung để bảo đảm rà soát theo từng điều.</x:v>
      </x:c>
      <x:c r="AA71" s="14" t="str"/>
      <x:c r="AB71" s="14" t="str">
        <x:v>tai chinh; atm; du lieu; cns</x:v>
      </x:c>
    </x:row>
    <x:row r="72">
      <x:c r="A72" s="14" t="str">
        <x:v>VATM-0071</x:v>
      </x:c>
      <x:c r="B72" s="14" t="str">
        <x:v>71</x:v>
      </x:c>
      <x:c r="C72" s="14" t="str">
        <x:v>Nghị định 205/2026/NĐ-CP</x:v>
      </x:c>
      <x:c r="D72" s="14" t="str">
        <x:v>Ra_soat_sau_ND205_VATM_ANSP_day_du.xlsx</x:v>
      </x:c>
      <x:c r="E72" s="14" t="str">
        <x:v>01_Nhiem_vu_chi_tiet</x:v>
      </x:c>
      <x:c r="F72" s="56" t="n">
        <x:v>72</x:v>
      </x:c>
      <x:c r="G72" s="14" t="str">
        <x:v>Điều 14</x:v>
      </x:c>
      <x:c r="H72" s="14" t="str">
        <x:v>Tài chính - Kế hoạch đầu tư</x:v>
      </x:c>
      <x:c r="I72" s="14" t="str">
        <x:v>Phí, thanh toán, hợp đồng và billing</x:v>
      </x:c>
      <x:c r="J72" s="14" t="str">
        <x:v>Bao phủ chi tiết từng điều quy hoạch</x:v>
      </x:c>
      <x:c r="K72" s="14" t="str">
        <x:v>Phối hợp/Gián tiếp</x:v>
      </x:c>
      <x:c r="L72" s="14" t="str">
        <x:v>Dữ liệu/số hóa</x:v>
      </x:c>
      <x:c r="M72" s="14" t="str">
        <x:v>ANSP</x:v>
      </x:c>
      <x:c r="N72" s="14" t="str">
        <x:v>Theo dõi điều khoản này để xác định điểm chạm khi cơ quan lập/thẩm định quy hoạch yêu cầu ý kiến hoặc dữ liệu kỹ thuật từ VATM; không phát sinh thẩm quyền phê duyệt cho VATM.</x:v>
      </x:c>
      <x:c r="O72" s="14" t="str">
        <x:v>Duy trì đầu mối phản hồi nhanh; chuẩn bị bộ dữ liệu ANS chuẩn; lưu hồ sơ góp ý theo từng điều khoản.</x:v>
      </x:c>
      <x:c r="P72" s="14" t="str">
        <x:v>Không bỏ sót trách nhiệm phối hợp quy hoạch</x:v>
      </x:c>
      <x:c r="Q72" s="14" t="str">
        <x:v>Phiếu rà soát điều khoản; văn bản phản hồi; bộ dữ liệu đã cung cấp</x:v>
      </x:c>
      <x:c r="R72" s="14" t="str">
        <x:v>Quy trình tham gia quy hoạch cảng hàng không; Phiếu rà soát điều khoản quy hoạch NĐ205</x:v>
      </x:c>
      <x:c r="S72" s="14" t="str">
        <x:v>Ban Tài chính; Ban Kế hoạch - Đầu tư; Ban Không lưu; Ban Kỹ thuật - CNS/IT/Môi trường; Trung tâm Thông báo tin tức hàng không</x:v>
      </x:c>
      <x:c r="T72" s="14" t="str">
        <x:v>Ban Tài chính; Ban Kế hoạch - Đầu tư</x:v>
      </x:c>
      <x:c r="U72" s="14" t="str">
        <x:v>Bộ Xây dựng, CHK Việt Nam, Cảng vụ, ACV, địa phương</x:v>
      </x:c>
      <x:c r="V72" s="14" t="str">
        <x:v>Theo từng lần lấy ý kiến</x:v>
      </x:c>
      <x:c r="W72" s="14" t="str">
        <x:v>P1</x:v>
      </x:c>
      <x:c r="X72" s="14" t="str">
        <x:v>Trung bình/Cao</x:v>
      </x:c>
      <x:c r="Y72" s="14" t="str">
        <x:v>Chưa bắt đầu</x:v>
      </x:c>
      <x:c r="Z72" s="14" t="str">
        <x:v>Dòng bổ sung để bảo đảm rà soát theo từng điều.</x:v>
      </x:c>
      <x:c r="AA72" s="14" t="str"/>
      <x:c r="AB72" s="14" t="str">
        <x:v>tai chinh; atm; du lieu; cns</x:v>
      </x:c>
    </x:row>
    <x:row r="73">
      <x:c r="A73" s="14" t="str">
        <x:v>VATM-0072</x:v>
      </x:c>
      <x:c r="B73" s="14" t="str">
        <x:v>72</x:v>
      </x:c>
      <x:c r="C73" s="14" t="str">
        <x:v>Nghị định 205/2026/NĐ-CP</x:v>
      </x:c>
      <x:c r="D73" s="14" t="str">
        <x:v>Ra_soat_sau_ND205_VATM_ANSP_day_du.xlsx</x:v>
      </x:c>
      <x:c r="E73" s="14" t="str">
        <x:v>01_Nhiem_vu_chi_tiet</x:v>
      </x:c>
      <x:c r="F73" s="56" t="n">
        <x:v>73</x:v>
      </x:c>
      <x:c r="G73" s="14" t="str">
        <x:v>Điều 15</x:v>
      </x:c>
      <x:c r="H73" s="14" t="str">
        <x:v>Tài chính - Kế hoạch đầu tư</x:v>
      </x:c>
      <x:c r="I73" s="14" t="str">
        <x:v>Phí, thanh toán, hợp đồng và billing</x:v>
      </x:c>
      <x:c r="J73" s="14" t="str">
        <x:v>Bao phủ chi tiết từng điều quy hoạch</x:v>
      </x:c>
      <x:c r="K73" s="14" t="str">
        <x:v>Phối hợp/Gián tiếp</x:v>
      </x:c>
      <x:c r="L73" s="14" t="str">
        <x:v>Dữ liệu/số hóa</x:v>
      </x:c>
      <x:c r="M73" s="14" t="str">
        <x:v>ANSP</x:v>
      </x:c>
      <x:c r="N73" s="14" t="str">
        <x:v>Theo dõi điều khoản này để xác định điểm chạm khi cơ quan lập/thẩm định quy hoạch yêu cầu ý kiến hoặc dữ liệu kỹ thuật từ VATM; không phát sinh thẩm quyền phê duyệt cho VATM.</x:v>
      </x:c>
      <x:c r="O73" s="14" t="str">
        <x:v>Duy trì đầu mối phản hồi nhanh; chuẩn bị bộ dữ liệu ANS chuẩn; lưu hồ sơ góp ý theo từng điều khoản.</x:v>
      </x:c>
      <x:c r="P73" s="14" t="str">
        <x:v>Không bỏ sót trách nhiệm phối hợp quy hoạch</x:v>
      </x:c>
      <x:c r="Q73" s="14" t="str">
        <x:v>Phiếu rà soát điều khoản; văn bản phản hồi; bộ dữ liệu đã cung cấp</x:v>
      </x:c>
      <x:c r="R73" s="14" t="str">
        <x:v>Quy trình tham gia quy hoạch cảng hàng không; Phiếu rà soát điều khoản quy hoạch NĐ205</x:v>
      </x:c>
      <x:c r="S73" s="14" t="str">
        <x:v>Ban Tài chính; Ban Kế hoạch - Đầu tư; Ban Không lưu; Ban Kỹ thuật - CNS/IT/Môi trường; Trung tâm Thông báo tin tức hàng không</x:v>
      </x:c>
      <x:c r="T73" s="14" t="str">
        <x:v>Ban Tài chính; Ban Kế hoạch - Đầu tư</x:v>
      </x:c>
      <x:c r="U73" s="14" t="str">
        <x:v>Bộ Xây dựng, CHK Việt Nam, Cảng vụ, ACV, địa phương</x:v>
      </x:c>
      <x:c r="V73" s="14" t="str">
        <x:v>Theo từng lần lấy ý kiến</x:v>
      </x:c>
      <x:c r="W73" s="14" t="str">
        <x:v>P1</x:v>
      </x:c>
      <x:c r="X73" s="14" t="str">
        <x:v>Trung bình/Cao</x:v>
      </x:c>
      <x:c r="Y73" s="14" t="str">
        <x:v>Chưa bắt đầu</x:v>
      </x:c>
      <x:c r="Z73" s="14" t="str">
        <x:v>Dòng bổ sung để bảo đảm rà soát theo từng điều.</x:v>
      </x:c>
      <x:c r="AA73" s="14" t="str"/>
      <x:c r="AB73" s="14" t="str">
        <x:v>tai chinh; atm; du lieu; cns</x:v>
      </x:c>
    </x:row>
    <x:row r="74">
      <x:c r="A74" s="14" t="str">
        <x:v>VATM-0073</x:v>
      </x:c>
      <x:c r="B74" s="14" t="str">
        <x:v>73</x:v>
      </x:c>
      <x:c r="C74" s="14" t="str">
        <x:v>Nghị định 205/2026/NĐ-CP</x:v>
      </x:c>
      <x:c r="D74" s="14" t="str">
        <x:v>Ra_soat_sau_ND205_VATM_ANSP_day_du.xlsx</x:v>
      </x:c>
      <x:c r="E74" s="14" t="str">
        <x:v>01_Nhiem_vu_chi_tiet</x:v>
      </x:c>
      <x:c r="F74" s="56" t="n">
        <x:v>74</x:v>
      </x:c>
      <x:c r="G74" s="14" t="str">
        <x:v>Điều 16</x:v>
      </x:c>
      <x:c r="H74" s="14" t="str">
        <x:v>Tài chính - Kế hoạch đầu tư</x:v>
      </x:c>
      <x:c r="I74" s="14" t="str">
        <x:v>Phí, thanh toán, hợp đồng và billing</x:v>
      </x:c>
      <x:c r="J74" s="14" t="str">
        <x:v>Bao phủ chi tiết từng điều quy hoạch</x:v>
      </x:c>
      <x:c r="K74" s="14" t="str">
        <x:v>Phối hợp/Gián tiếp</x:v>
      </x:c>
      <x:c r="L74" s="14" t="str">
        <x:v>Dữ liệu/số hóa</x:v>
      </x:c>
      <x:c r="M74" s="14" t="str">
        <x:v>ANSP</x:v>
      </x:c>
      <x:c r="N74" s="14" t="str">
        <x:v>Theo dõi điều khoản này để xác định điểm chạm khi cơ quan lập/thẩm định quy hoạch yêu cầu ý kiến hoặc dữ liệu kỹ thuật từ VATM; không phát sinh thẩm quyền phê duyệt cho VATM.</x:v>
      </x:c>
      <x:c r="O74" s="14" t="str">
        <x:v>Duy trì đầu mối phản hồi nhanh; chuẩn bị bộ dữ liệu ANS chuẩn; lưu hồ sơ góp ý theo từng điều khoản.</x:v>
      </x:c>
      <x:c r="P74" s="14" t="str">
        <x:v>Không bỏ sót trách nhiệm phối hợp quy hoạch</x:v>
      </x:c>
      <x:c r="Q74" s="14" t="str">
        <x:v>Phiếu rà soát điều khoản; văn bản phản hồi; bộ dữ liệu đã cung cấp</x:v>
      </x:c>
      <x:c r="R74" s="14" t="str">
        <x:v>Quy trình tham gia quy hoạch cảng hàng không; Phiếu rà soát điều khoản quy hoạch NĐ205</x:v>
      </x:c>
      <x:c r="S74" s="14" t="str">
        <x:v>Ban Tài chính; Ban Kế hoạch - Đầu tư; Ban Không lưu; Ban Kỹ thuật - CNS/IT/Môi trường; Trung tâm Thông báo tin tức hàng không</x:v>
      </x:c>
      <x:c r="T74" s="14" t="str">
        <x:v>Ban Tài chính; Ban Kế hoạch - Đầu tư</x:v>
      </x:c>
      <x:c r="U74" s="14" t="str">
        <x:v>Bộ Xây dựng, CHK Việt Nam, Cảng vụ, ACV, địa phương</x:v>
      </x:c>
      <x:c r="V74" s="14" t="str">
        <x:v>Theo từng lần lấy ý kiến</x:v>
      </x:c>
      <x:c r="W74" s="14" t="str">
        <x:v>P1</x:v>
      </x:c>
      <x:c r="X74" s="14" t="str">
        <x:v>Trung bình/Cao</x:v>
      </x:c>
      <x:c r="Y74" s="14" t="str">
        <x:v>Chưa bắt đầu</x:v>
      </x:c>
      <x:c r="Z74" s="14" t="str">
        <x:v>Dòng bổ sung để bảo đảm rà soát theo từng điều.</x:v>
      </x:c>
      <x:c r="AA74" s="14" t="str"/>
      <x:c r="AB74" s="14" t="str">
        <x:v>tai chinh; atm; du lieu; cns</x:v>
      </x:c>
    </x:row>
    <x:row r="75">
      <x:c r="A75" s="14" t="str">
        <x:v>VATM-0074</x:v>
      </x:c>
      <x:c r="B75" s="14" t="str">
        <x:v>74</x:v>
      </x:c>
      <x:c r="C75" s="14" t="str">
        <x:v>Nghị định 205/2026/NĐ-CP</x:v>
      </x:c>
      <x:c r="D75" s="14" t="str">
        <x:v>Ra_soat_sau_ND205_VATM_ANSP_day_du.xlsx</x:v>
      </x:c>
      <x:c r="E75" s="14" t="str">
        <x:v>01_Nhiem_vu_chi_tiet</x:v>
      </x:c>
      <x:c r="F75" s="56" t="n">
        <x:v>75</x:v>
      </x:c>
      <x:c r="G75" s="14" t="str">
        <x:v>Điều 17</x:v>
      </x:c>
      <x:c r="H75" s="14" t="str">
        <x:v>Tài chính - Kế hoạch đầu tư</x:v>
      </x:c>
      <x:c r="I75" s="14" t="str">
        <x:v>Phí, thanh toán, hợp đồng và billing</x:v>
      </x:c>
      <x:c r="J75" s="14" t="str">
        <x:v>Bao phủ chi tiết từng điều quy hoạch</x:v>
      </x:c>
      <x:c r="K75" s="14" t="str">
        <x:v>Phối hợp/Gián tiếp</x:v>
      </x:c>
      <x:c r="L75" s="14" t="str">
        <x:v>Dữ liệu/số hóa</x:v>
      </x:c>
      <x:c r="M75" s="14" t="str">
        <x:v>ANSP</x:v>
      </x:c>
      <x:c r="N75" s="14" t="str">
        <x:v>Theo dõi điều khoản này để xác định điểm chạm khi cơ quan lập/thẩm định quy hoạch yêu cầu ý kiến hoặc dữ liệu kỹ thuật từ VATM; không phát sinh thẩm quyền phê duyệt cho VATM.</x:v>
      </x:c>
      <x:c r="O75" s="14" t="str">
        <x:v>Duy trì đầu mối phản hồi nhanh; chuẩn bị bộ dữ liệu ANS chuẩn; lưu hồ sơ góp ý theo từng điều khoản.</x:v>
      </x:c>
      <x:c r="P75" s="14" t="str">
        <x:v>Không bỏ sót trách nhiệm phối hợp quy hoạch</x:v>
      </x:c>
      <x:c r="Q75" s="14" t="str">
        <x:v>Phiếu rà soát điều khoản; văn bản phản hồi; bộ dữ liệu đã cung cấp</x:v>
      </x:c>
      <x:c r="R75" s="14" t="str">
        <x:v>Quy trình tham gia quy hoạch cảng hàng không; Phiếu rà soát điều khoản quy hoạch NĐ205</x:v>
      </x:c>
      <x:c r="S75" s="14" t="str">
        <x:v>Ban Tài chính; Ban Kế hoạch - Đầu tư; Ban Không lưu; Ban Kỹ thuật - CNS/IT/Môi trường; Trung tâm Thông báo tin tức hàng không</x:v>
      </x:c>
      <x:c r="T75" s="14" t="str">
        <x:v>Ban Tài chính; Ban Kế hoạch - Đầu tư</x:v>
      </x:c>
      <x:c r="U75" s="14" t="str">
        <x:v>Bộ Xây dựng, CHK Việt Nam, Cảng vụ, ACV, địa phương</x:v>
      </x:c>
      <x:c r="V75" s="14" t="str">
        <x:v>Theo từng lần lấy ý kiến</x:v>
      </x:c>
      <x:c r="W75" s="14" t="str">
        <x:v>P1</x:v>
      </x:c>
      <x:c r="X75" s="14" t="str">
        <x:v>Trung bình/Cao</x:v>
      </x:c>
      <x:c r="Y75" s="14" t="str">
        <x:v>Chưa bắt đầu</x:v>
      </x:c>
      <x:c r="Z75" s="14" t="str">
        <x:v>Dòng bổ sung để bảo đảm rà soát theo từng điều.</x:v>
      </x:c>
      <x:c r="AA75" s="14" t="str"/>
      <x:c r="AB75" s="14" t="str">
        <x:v>tai chinh; atm; du lieu; cns</x:v>
      </x:c>
    </x:row>
    <x:row r="76">
      <x:c r="A76" s="14" t="str">
        <x:v>VATM-0075</x:v>
      </x:c>
      <x:c r="B76" s="14" t="str">
        <x:v>75</x:v>
      </x:c>
      <x:c r="C76" s="14" t="str">
        <x:v>Nghị định 205/2026/NĐ-CP</x:v>
      </x:c>
      <x:c r="D76" s="14" t="str">
        <x:v>Ra_soat_sau_ND205_VATM_ANSP_day_du.xlsx</x:v>
      </x:c>
      <x:c r="E76" s="14" t="str">
        <x:v>01_Nhiem_vu_chi_tiet</x:v>
      </x:c>
      <x:c r="F76" s="56" t="n">
        <x:v>76</x:v>
      </x:c>
      <x:c r="G76" s="14" t="str">
        <x:v>Điều 19</x:v>
      </x:c>
      <x:c r="H76" s="14" t="str">
        <x:v>Tài chính - Kế hoạch đầu tư</x:v>
      </x:c>
      <x:c r="I76" s="14" t="str">
        <x:v>Phí, thanh toán, hợp đồng và billing</x:v>
      </x:c>
      <x:c r="J76" s="14" t="str">
        <x:v>Bao phủ chi tiết từng điều quy hoạch</x:v>
      </x:c>
      <x:c r="K76" s="14" t="str">
        <x:v>Phối hợp/Gián tiếp</x:v>
      </x:c>
      <x:c r="L76" s="14" t="str">
        <x:v>Dữ liệu/số hóa</x:v>
      </x:c>
      <x:c r="M76" s="14" t="str">
        <x:v>ANSP</x:v>
      </x:c>
      <x:c r="N76" s="14" t="str">
        <x:v>Theo dõi điều khoản này để xác định điểm chạm khi cơ quan lập/thẩm định quy hoạch yêu cầu ý kiến hoặc dữ liệu kỹ thuật từ VATM; không phát sinh thẩm quyền phê duyệt cho VATM.</x:v>
      </x:c>
      <x:c r="O76" s="14" t="str">
        <x:v>Duy trì đầu mối phản hồi nhanh; chuẩn bị bộ dữ liệu ANS chuẩn; lưu hồ sơ góp ý theo từng điều khoản.</x:v>
      </x:c>
      <x:c r="P76" s="14" t="str">
        <x:v>Không bỏ sót trách nhiệm phối hợp quy hoạch</x:v>
      </x:c>
      <x:c r="Q76" s="14" t="str">
        <x:v>Phiếu rà soát điều khoản; văn bản phản hồi; bộ dữ liệu đã cung cấp</x:v>
      </x:c>
      <x:c r="R76" s="14" t="str">
        <x:v>Quy trình tham gia quy hoạch cảng hàng không; Phiếu rà soát điều khoản quy hoạch NĐ205</x:v>
      </x:c>
      <x:c r="S76" s="14" t="str">
        <x:v>Ban Tài chính; Ban Kế hoạch - Đầu tư; Ban Không lưu; Ban Kỹ thuật - CNS/IT/Môi trường; Trung tâm Thông báo tin tức hàng không</x:v>
      </x:c>
      <x:c r="T76" s="14" t="str">
        <x:v>Ban Tài chính; Ban Kế hoạch - Đầu tư</x:v>
      </x:c>
      <x:c r="U76" s="14" t="str">
        <x:v>Bộ Xây dựng, CHK Việt Nam, Cảng vụ, ACV, địa phương</x:v>
      </x:c>
      <x:c r="V76" s="14" t="str">
        <x:v>Theo từng lần lấy ý kiến</x:v>
      </x:c>
      <x:c r="W76" s="14" t="str">
        <x:v>P1</x:v>
      </x:c>
      <x:c r="X76" s="14" t="str">
        <x:v>Trung bình/Cao</x:v>
      </x:c>
      <x:c r="Y76" s="14" t="str">
        <x:v>Chưa bắt đầu</x:v>
      </x:c>
      <x:c r="Z76" s="14" t="str">
        <x:v>Dòng bổ sung để bảo đảm rà soát theo từng điều.</x:v>
      </x:c>
      <x:c r="AA76" s="14" t="str"/>
      <x:c r="AB76" s="14" t="str">
        <x:v>tai chinh; atm; du lieu; cns</x:v>
      </x:c>
    </x:row>
    <x:row r="77">
      <x:c r="A77" s="14" t="str">
        <x:v>VATM-0076</x:v>
      </x:c>
      <x:c r="B77" s="14" t="str">
        <x:v>76</x:v>
      </x:c>
      <x:c r="C77" s="14" t="str">
        <x:v>Nghị định 205/2026/NĐ-CP</x:v>
      </x:c>
      <x:c r="D77" s="14" t="str">
        <x:v>Ra_soat_sau_ND205_VATM_ANSP_day_du.xlsx</x:v>
      </x:c>
      <x:c r="E77" s="14" t="str">
        <x:v>01_Nhiem_vu_chi_tiet</x:v>
      </x:c>
      <x:c r="F77" s="56" t="n">
        <x:v>77</x:v>
      </x:c>
      <x:c r="G77" s="14" t="str">
        <x:v>Điều 20</x:v>
      </x:c>
      <x:c r="H77" s="14" t="str">
        <x:v>Tài chính - Kế hoạch đầu tư</x:v>
      </x:c>
      <x:c r="I77" s="14" t="str">
        <x:v>Phí, thanh toán, hợp đồng và billing</x:v>
      </x:c>
      <x:c r="J77" s="14" t="str">
        <x:v>Bao phủ chi tiết từng điều quy hoạch</x:v>
      </x:c>
      <x:c r="K77" s="14" t="str">
        <x:v>Phối hợp/Gián tiếp</x:v>
      </x:c>
      <x:c r="L77" s="14" t="str">
        <x:v>Dữ liệu/số hóa</x:v>
      </x:c>
      <x:c r="M77" s="14" t="str">
        <x:v>ANSP</x:v>
      </x:c>
      <x:c r="N77" s="14" t="str">
        <x:v>Theo dõi điều khoản này để xác định điểm chạm khi cơ quan lập/thẩm định quy hoạch yêu cầu ý kiến hoặc dữ liệu kỹ thuật từ VATM; không phát sinh thẩm quyền phê duyệt cho VATM.</x:v>
      </x:c>
      <x:c r="O77" s="14" t="str">
        <x:v>Duy trì đầu mối phản hồi nhanh; chuẩn bị bộ dữ liệu ANS chuẩn; lưu hồ sơ góp ý theo từng điều khoản.</x:v>
      </x:c>
      <x:c r="P77" s="14" t="str">
        <x:v>Không bỏ sót trách nhiệm phối hợp quy hoạch</x:v>
      </x:c>
      <x:c r="Q77" s="14" t="str">
        <x:v>Phiếu rà soát điều khoản; văn bản phản hồi; bộ dữ liệu đã cung cấp</x:v>
      </x:c>
      <x:c r="R77" s="14" t="str">
        <x:v>Quy trình tham gia quy hoạch cảng hàng không; Phiếu rà soát điều khoản quy hoạch NĐ205</x:v>
      </x:c>
      <x:c r="S77" s="14" t="str">
        <x:v>Ban Tài chính; Ban Kế hoạch - Đầu tư; Ban Không lưu; Ban Kỹ thuật - CNS/IT/Môi trường; Trung tâm Thông báo tin tức hàng không</x:v>
      </x:c>
      <x:c r="T77" s="14" t="str">
        <x:v>Ban Tài chính; Ban Kế hoạch - Đầu tư</x:v>
      </x:c>
      <x:c r="U77" s="14" t="str">
        <x:v>Bộ Xây dựng, CHK Việt Nam, Cảng vụ, ACV, địa phương</x:v>
      </x:c>
      <x:c r="V77" s="14" t="str">
        <x:v>Theo từng lần lấy ý kiến</x:v>
      </x:c>
      <x:c r="W77" s="14" t="str">
        <x:v>P1</x:v>
      </x:c>
      <x:c r="X77" s="14" t="str">
        <x:v>Trung bình/Cao</x:v>
      </x:c>
      <x:c r="Y77" s="14" t="str">
        <x:v>Chưa bắt đầu</x:v>
      </x:c>
      <x:c r="Z77" s="14" t="str">
        <x:v>Dòng bổ sung để bảo đảm rà soát theo từng điều.</x:v>
      </x:c>
      <x:c r="AA77" s="14" t="str"/>
      <x:c r="AB77" s="14" t="str">
        <x:v>tai chinh; atm; du lieu; cns</x:v>
      </x:c>
    </x:row>
    <x:row r="78">
      <x:c r="A78" s="14" t="str">
        <x:v>VATM-0077</x:v>
      </x:c>
      <x:c r="B78" s="14" t="str">
        <x:v>77</x:v>
      </x:c>
      <x:c r="C78" s="14" t="str">
        <x:v>Nghị định 205/2026/NĐ-CP</x:v>
      </x:c>
      <x:c r="D78" s="14" t="str">
        <x:v>Ra_soat_sau_ND205_VATM_ANSP_day_du.xlsx</x:v>
      </x:c>
      <x:c r="E78" s="14" t="str">
        <x:v>01_Nhiem_vu_chi_tiet</x:v>
      </x:c>
      <x:c r="F78" s="56" t="n">
        <x:v>78</x:v>
      </x:c>
      <x:c r="G78" s="14" t="str">
        <x:v>Điều 21</x:v>
      </x:c>
      <x:c r="H78" s="14" t="str">
        <x:v>Tài chính - Kế hoạch đầu tư</x:v>
      </x:c>
      <x:c r="I78" s="14" t="str">
        <x:v>Phí, thanh toán, hợp đồng và billing</x:v>
      </x:c>
      <x:c r="J78" s="14" t="str">
        <x:v>Bao phủ chi tiết từng điều quy hoạch</x:v>
      </x:c>
      <x:c r="K78" s="14" t="str">
        <x:v>Phối hợp/Gián tiếp</x:v>
      </x:c>
      <x:c r="L78" s="14" t="str">
        <x:v>Dữ liệu/số hóa</x:v>
      </x:c>
      <x:c r="M78" s="14" t="str">
        <x:v>ANSP</x:v>
      </x:c>
      <x:c r="N78" s="14" t="str">
        <x:v>Theo dõi điều khoản này để xác định điểm chạm khi cơ quan lập/thẩm định quy hoạch yêu cầu ý kiến hoặc dữ liệu kỹ thuật từ VATM; không phát sinh thẩm quyền phê duyệt cho VATM.</x:v>
      </x:c>
      <x:c r="O78" s="14" t="str">
        <x:v>Duy trì đầu mối phản hồi nhanh; chuẩn bị bộ dữ liệu ANS chuẩn; lưu hồ sơ góp ý theo từng điều khoản.</x:v>
      </x:c>
      <x:c r="P78" s="14" t="str">
        <x:v>Không bỏ sót trách nhiệm phối hợp quy hoạch</x:v>
      </x:c>
      <x:c r="Q78" s="14" t="str">
        <x:v>Phiếu rà soát điều khoản; văn bản phản hồi; bộ dữ liệu đã cung cấp</x:v>
      </x:c>
      <x:c r="R78" s="14" t="str">
        <x:v>Quy trình tham gia quy hoạch cảng hàng không; Phiếu rà soát điều khoản quy hoạch NĐ205</x:v>
      </x:c>
      <x:c r="S78" s="14" t="str">
        <x:v>Ban Tài chính; Ban Kế hoạch - Đầu tư; Ban Không lưu; Ban Kỹ thuật - CNS/IT/Môi trường; Trung tâm Thông báo tin tức hàng không</x:v>
      </x:c>
      <x:c r="T78" s="14" t="str">
        <x:v>Ban Tài chính; Ban Kế hoạch - Đầu tư</x:v>
      </x:c>
      <x:c r="U78" s="14" t="str">
        <x:v>Bộ Xây dựng, CHK Việt Nam, Cảng vụ, ACV, địa phương</x:v>
      </x:c>
      <x:c r="V78" s="14" t="str">
        <x:v>Theo từng lần lấy ý kiến</x:v>
      </x:c>
      <x:c r="W78" s="14" t="str">
        <x:v>P1</x:v>
      </x:c>
      <x:c r="X78" s="14" t="str">
        <x:v>Trung bình/Cao</x:v>
      </x:c>
      <x:c r="Y78" s="14" t="str">
        <x:v>Chưa bắt đầu</x:v>
      </x:c>
      <x:c r="Z78" s="14" t="str">
        <x:v>Dòng bổ sung để bảo đảm rà soát theo từng điều.</x:v>
      </x:c>
      <x:c r="AA78" s="14" t="str"/>
      <x:c r="AB78" s="14" t="str">
        <x:v>tai chinh; atm; du lieu; cns</x:v>
      </x:c>
    </x:row>
    <x:row r="79">
      <x:c r="A79" s="14" t="str">
        <x:v>VATM-0078</x:v>
      </x:c>
      <x:c r="B79" s="14" t="str">
        <x:v>78</x:v>
      </x:c>
      <x:c r="C79" s="14" t="str">
        <x:v>Nghị định 205/2026/NĐ-CP</x:v>
      </x:c>
      <x:c r="D79" s="14" t="str">
        <x:v>Ra_soat_sau_ND205_VATM_ANSP_day_du.xlsx</x:v>
      </x:c>
      <x:c r="E79" s="14" t="str">
        <x:v>01_Nhiem_vu_chi_tiet</x:v>
      </x:c>
      <x:c r="F79" s="56" t="n">
        <x:v>79</x:v>
      </x:c>
      <x:c r="G79" s="14" t="str">
        <x:v>Điều 22</x:v>
      </x:c>
      <x:c r="H79" s="14" t="str">
        <x:v>Tài chính - Kế hoạch đầu tư</x:v>
      </x:c>
      <x:c r="I79" s="14" t="str">
        <x:v>Phí, thanh toán, hợp đồng và billing</x:v>
      </x:c>
      <x:c r="J79" s="14" t="str">
        <x:v>Bao phủ chi tiết từng điều quy hoạch</x:v>
      </x:c>
      <x:c r="K79" s="14" t="str">
        <x:v>Phối hợp/Gián tiếp</x:v>
      </x:c>
      <x:c r="L79" s="14" t="str">
        <x:v>Dữ liệu/số hóa</x:v>
      </x:c>
      <x:c r="M79" s="14" t="str">
        <x:v>ANSP</x:v>
      </x:c>
      <x:c r="N79" s="14" t="str">
        <x:v>Theo dõi điều khoản này để xác định điểm chạm khi cơ quan lập/thẩm định quy hoạch yêu cầu ý kiến hoặc dữ liệu kỹ thuật từ VATM; không phát sinh thẩm quyền phê duyệt cho VATM.</x:v>
      </x:c>
      <x:c r="O79" s="14" t="str">
        <x:v>Duy trì đầu mối phản hồi nhanh; chuẩn bị bộ dữ liệu ANS chuẩn; lưu hồ sơ góp ý theo từng điều khoản.</x:v>
      </x:c>
      <x:c r="P79" s="14" t="str">
        <x:v>Không bỏ sót trách nhiệm phối hợp quy hoạch</x:v>
      </x:c>
      <x:c r="Q79" s="14" t="str">
        <x:v>Phiếu rà soát điều khoản; văn bản phản hồi; bộ dữ liệu đã cung cấp</x:v>
      </x:c>
      <x:c r="R79" s="14" t="str">
        <x:v>Quy trình tham gia quy hoạch cảng hàng không; Phiếu rà soát điều khoản quy hoạch NĐ205</x:v>
      </x:c>
      <x:c r="S79" s="14" t="str">
        <x:v>Ban Tài chính; Ban Kế hoạch - Đầu tư; Ban Không lưu; Ban Kỹ thuật - CNS/IT/Môi trường; Trung tâm Thông báo tin tức hàng không</x:v>
      </x:c>
      <x:c r="T79" s="14" t="str">
        <x:v>Ban Tài chính; Ban Kế hoạch - Đầu tư</x:v>
      </x:c>
      <x:c r="U79" s="14" t="str">
        <x:v>Bộ Xây dựng, CHK Việt Nam, Cảng vụ, ACV, địa phương</x:v>
      </x:c>
      <x:c r="V79" s="14" t="str">
        <x:v>Theo từng lần lấy ý kiến</x:v>
      </x:c>
      <x:c r="W79" s="14" t="str">
        <x:v>P1</x:v>
      </x:c>
      <x:c r="X79" s="14" t="str">
        <x:v>Trung bình/Cao</x:v>
      </x:c>
      <x:c r="Y79" s="14" t="str">
        <x:v>Chưa bắt đầu</x:v>
      </x:c>
      <x:c r="Z79" s="14" t="str">
        <x:v>Dòng bổ sung để bảo đảm rà soát theo từng điều.</x:v>
      </x:c>
      <x:c r="AA79" s="14" t="str"/>
      <x:c r="AB79" s="14" t="str">
        <x:v>tai chinh; atm; du lieu; cns</x:v>
      </x:c>
    </x:row>
    <x:row r="80">
      <x:c r="A80" s="14" t="str">
        <x:v>VATM-0079</x:v>
      </x:c>
      <x:c r="B80" s="14" t="str">
        <x:v>79</x:v>
      </x:c>
      <x:c r="C80" s="14" t="str">
        <x:v>Nghị định 205/2026/NĐ-CP</x:v>
      </x:c>
      <x:c r="D80" s="14" t="str">
        <x:v>Ra_soat_sau_ND205_VATM_ANSP_day_du.xlsx</x:v>
      </x:c>
      <x:c r="E80" s="14" t="str">
        <x:v>01_Nhiem_vu_chi_tiet</x:v>
      </x:c>
      <x:c r="F80" s="56" t="n">
        <x:v>80</x:v>
      </x:c>
      <x:c r="G80" s="14" t="str">
        <x:v>Điều 23</x:v>
      </x:c>
      <x:c r="H80" s="14" t="str">
        <x:v>Tài chính - Kế hoạch đầu tư</x:v>
      </x:c>
      <x:c r="I80" s="14" t="str">
        <x:v>Phí, thanh toán, hợp đồng và billing</x:v>
      </x:c>
      <x:c r="J80" s="14" t="str">
        <x:v>Bao phủ chi tiết từng điều quy hoạch</x:v>
      </x:c>
      <x:c r="K80" s="14" t="str">
        <x:v>Phối hợp/Gián tiếp</x:v>
      </x:c>
      <x:c r="L80" s="14" t="str">
        <x:v>Dữ liệu/số hóa</x:v>
      </x:c>
      <x:c r="M80" s="14" t="str">
        <x:v>ANSP</x:v>
      </x:c>
      <x:c r="N80" s="14" t="str">
        <x:v>Theo dõi điều khoản này để xác định điểm chạm khi cơ quan lập/thẩm định quy hoạch yêu cầu ý kiến hoặc dữ liệu kỹ thuật từ VATM; không phát sinh thẩm quyền phê duyệt cho VATM.</x:v>
      </x:c>
      <x:c r="O80" s="14" t="str">
        <x:v>Duy trì đầu mối phản hồi nhanh; chuẩn bị bộ dữ liệu ANS chuẩn; lưu hồ sơ góp ý theo từng điều khoản.</x:v>
      </x:c>
      <x:c r="P80" s="14" t="str">
        <x:v>Không bỏ sót trách nhiệm phối hợp quy hoạch</x:v>
      </x:c>
      <x:c r="Q80" s="14" t="str">
        <x:v>Phiếu rà soát điều khoản; văn bản phản hồi; bộ dữ liệu đã cung cấp</x:v>
      </x:c>
      <x:c r="R80" s="14" t="str">
        <x:v>Quy trình tham gia quy hoạch cảng hàng không; Phiếu rà soát điều khoản quy hoạch NĐ205</x:v>
      </x:c>
      <x:c r="S80" s="14" t="str">
        <x:v>Ban Tài chính; Ban Kế hoạch - Đầu tư; Ban Không lưu; Ban Kỹ thuật - CNS/IT/Môi trường; Trung tâm Thông báo tin tức hàng không</x:v>
      </x:c>
      <x:c r="T80" s="14" t="str">
        <x:v>Ban Tài chính; Ban Kế hoạch - Đầu tư</x:v>
      </x:c>
      <x:c r="U80" s="14" t="str">
        <x:v>Bộ Xây dựng, CHK Việt Nam, Cảng vụ, ACV, địa phương</x:v>
      </x:c>
      <x:c r="V80" s="14" t="str">
        <x:v>Theo từng lần lấy ý kiến</x:v>
      </x:c>
      <x:c r="W80" s="14" t="str">
        <x:v>P1</x:v>
      </x:c>
      <x:c r="X80" s="14" t="str">
        <x:v>Trung bình/Cao</x:v>
      </x:c>
      <x:c r="Y80" s="14" t="str">
        <x:v>Chưa bắt đầu</x:v>
      </x:c>
      <x:c r="Z80" s="14" t="str">
        <x:v>Dòng bổ sung để bảo đảm rà soát theo từng điều.</x:v>
      </x:c>
      <x:c r="AA80" s="14" t="str"/>
      <x:c r="AB80" s="14" t="str">
        <x:v>tai chinh; atm; du lieu; cns</x:v>
      </x:c>
    </x:row>
    <x:row r="81">
      <x:c r="A81" s="14" t="str">
        <x:v>VATM-0080</x:v>
      </x:c>
      <x:c r="B81" s="14" t="str">
        <x:v>80</x:v>
      </x:c>
      <x:c r="C81" s="14" t="str">
        <x:v>Nghị định 205/2026/NĐ-CP</x:v>
      </x:c>
      <x:c r="D81" s="14" t="str">
        <x:v>Ra_soat_sau_ND205_VATM_ANSP_day_du.xlsx</x:v>
      </x:c>
      <x:c r="E81" s="14" t="str">
        <x:v>01_Nhiem_vu_chi_tiet</x:v>
      </x:c>
      <x:c r="F81" s="56" t="n">
        <x:v>81</x:v>
      </x:c>
      <x:c r="G81" s="14" t="str">
        <x:v>Điều 24</x:v>
      </x:c>
      <x:c r="H81" s="14" t="str">
        <x:v>Tài chính - Kế hoạch đầu tư</x:v>
      </x:c>
      <x:c r="I81" s="14" t="str">
        <x:v>Phí, thanh toán, hợp đồng và billing</x:v>
      </x:c>
      <x:c r="J81" s="14" t="str">
        <x:v>Bao phủ chi tiết từng điều quy hoạch</x:v>
      </x:c>
      <x:c r="K81" s="14" t="str">
        <x:v>Phối hợp/Gián tiếp</x:v>
      </x:c>
      <x:c r="L81" s="14" t="str">
        <x:v>Dữ liệu/số hóa</x:v>
      </x:c>
      <x:c r="M81" s="14" t="str">
        <x:v>ANSP</x:v>
      </x:c>
      <x:c r="N81" s="14" t="str">
        <x:v>Theo dõi điều khoản này để xác định điểm chạm khi cơ quan lập/thẩm định quy hoạch yêu cầu ý kiến hoặc dữ liệu kỹ thuật từ VATM; không phát sinh thẩm quyền phê duyệt cho VATM.</x:v>
      </x:c>
      <x:c r="O81" s="14" t="str">
        <x:v>Duy trì đầu mối phản hồi nhanh; chuẩn bị bộ dữ liệu ANS chuẩn; lưu hồ sơ góp ý theo từng điều khoản.</x:v>
      </x:c>
      <x:c r="P81" s="14" t="str">
        <x:v>Không bỏ sót trách nhiệm phối hợp quy hoạch</x:v>
      </x:c>
      <x:c r="Q81" s="14" t="str">
        <x:v>Phiếu rà soát điều khoản; văn bản phản hồi; bộ dữ liệu đã cung cấp</x:v>
      </x:c>
      <x:c r="R81" s="14" t="str">
        <x:v>Quy trình tham gia quy hoạch cảng hàng không; Phiếu rà soát điều khoản quy hoạch NĐ205</x:v>
      </x:c>
      <x:c r="S81" s="14" t="str">
        <x:v>Ban Tài chính; Ban Kế hoạch - Đầu tư; Ban Không lưu; Ban Kỹ thuật - CNS/IT/Môi trường; Trung tâm Thông báo tin tức hàng không</x:v>
      </x:c>
      <x:c r="T81" s="14" t="str">
        <x:v>Ban Tài chính; Ban Kế hoạch - Đầu tư</x:v>
      </x:c>
      <x:c r="U81" s="14" t="str">
        <x:v>Bộ Xây dựng, CHK Việt Nam, Cảng vụ, ACV, địa phương</x:v>
      </x:c>
      <x:c r="V81" s="14" t="str">
        <x:v>Theo từng lần lấy ý kiến</x:v>
      </x:c>
      <x:c r="W81" s="14" t="str">
        <x:v>P1</x:v>
      </x:c>
      <x:c r="X81" s="14" t="str">
        <x:v>Trung bình/Cao</x:v>
      </x:c>
      <x:c r="Y81" s="14" t="str">
        <x:v>Chưa bắt đầu</x:v>
      </x:c>
      <x:c r="Z81" s="14" t="str">
        <x:v>Dòng bổ sung để bảo đảm rà soát theo từng điều.</x:v>
      </x:c>
      <x:c r="AA81" s="14" t="str"/>
      <x:c r="AB81" s="14" t="str">
        <x:v>tai chinh; atm; du lieu; cns</x:v>
      </x:c>
    </x:row>
    <x:row r="82">
      <x:c r="A82" s="14" t="str">
        <x:v>VATM-0081</x:v>
      </x:c>
      <x:c r="B82" s="14" t="str">
        <x:v>81</x:v>
      </x:c>
      <x:c r="C82" s="14" t="str">
        <x:v>Nghị định 205/2026/NĐ-CP</x:v>
      </x:c>
      <x:c r="D82" s="14" t="str">
        <x:v>Ra_soat_sau_ND205_VATM_ANSP_day_du.xlsx</x:v>
      </x:c>
      <x:c r="E82" s="14" t="str">
        <x:v>01_Nhiem_vu_chi_tiet</x:v>
      </x:c>
      <x:c r="F82" s="56" t="n">
        <x:v>82</x:v>
      </x:c>
      <x:c r="G82" s="14" t="str">
        <x:v>Điều 25</x:v>
      </x:c>
      <x:c r="H82" s="14" t="str">
        <x:v>Tài chính - Kế hoạch đầu tư</x:v>
      </x:c>
      <x:c r="I82" s="14" t="str">
        <x:v>Phí, thanh toán, hợp đồng và billing</x:v>
      </x:c>
      <x:c r="J82" s="14" t="str">
        <x:v>Bao phủ chi tiết từng điều quy hoạch</x:v>
      </x:c>
      <x:c r="K82" s="14" t="str">
        <x:v>Phối hợp/Gián tiếp</x:v>
      </x:c>
      <x:c r="L82" s="14" t="str">
        <x:v>Dữ liệu/số hóa</x:v>
      </x:c>
      <x:c r="M82" s="14" t="str">
        <x:v>ANSP</x:v>
      </x:c>
      <x:c r="N82" s="14" t="str">
        <x:v>Theo dõi điều khoản này để xác định điểm chạm khi cơ quan lập/thẩm định quy hoạch yêu cầu ý kiến hoặc dữ liệu kỹ thuật từ VATM; không phát sinh thẩm quyền phê duyệt cho VATM.</x:v>
      </x:c>
      <x:c r="O82" s="14" t="str">
        <x:v>Duy trì đầu mối phản hồi nhanh; chuẩn bị bộ dữ liệu ANS chuẩn; lưu hồ sơ góp ý theo từng điều khoản.</x:v>
      </x:c>
      <x:c r="P82" s="14" t="str">
        <x:v>Không bỏ sót trách nhiệm phối hợp quy hoạch</x:v>
      </x:c>
      <x:c r="Q82" s="14" t="str">
        <x:v>Phiếu rà soát điều khoản; văn bản phản hồi; bộ dữ liệu đã cung cấp</x:v>
      </x:c>
      <x:c r="R82" s="14" t="str">
        <x:v>Quy trình tham gia quy hoạch cảng hàng không; Phiếu rà soát điều khoản quy hoạch NĐ205</x:v>
      </x:c>
      <x:c r="S82" s="14" t="str">
        <x:v>Ban Tài chính; Ban Kế hoạch - Đầu tư; Ban Không lưu; Ban Kỹ thuật - CNS/IT/Môi trường; Trung tâm Thông báo tin tức hàng không</x:v>
      </x:c>
      <x:c r="T82" s="14" t="str">
        <x:v>Ban Tài chính; Ban Kế hoạch - Đầu tư</x:v>
      </x:c>
      <x:c r="U82" s="14" t="str">
        <x:v>Bộ Xây dựng, CHK Việt Nam, Cảng vụ, ACV, địa phương</x:v>
      </x:c>
      <x:c r="V82" s="14" t="str">
        <x:v>Theo từng lần lấy ý kiến</x:v>
      </x:c>
      <x:c r="W82" s="14" t="str">
        <x:v>P1</x:v>
      </x:c>
      <x:c r="X82" s="14" t="str">
        <x:v>Trung bình/Cao</x:v>
      </x:c>
      <x:c r="Y82" s="14" t="str">
        <x:v>Chưa bắt đầu</x:v>
      </x:c>
      <x:c r="Z82" s="14" t="str">
        <x:v>Dòng bổ sung để bảo đảm rà soát theo từng điều.</x:v>
      </x:c>
      <x:c r="AA82" s="14" t="str"/>
      <x:c r="AB82" s="14" t="str">
        <x:v>tai chinh; atm; du lieu; cns</x:v>
      </x:c>
    </x:row>
    <x:row r="83">
      <x:c r="A83" s="14" t="str">
        <x:v>VATM-0082</x:v>
      </x:c>
      <x:c r="B83" s="14" t="str">
        <x:v>82</x:v>
      </x:c>
      <x:c r="C83" s="14" t="str">
        <x:v>Nghị định 205/2026/NĐ-CP</x:v>
      </x:c>
      <x:c r="D83" s="14" t="str">
        <x:v>Ra_soat_sau_ND205_VATM_ANSP_day_du.xlsx</x:v>
      </x:c>
      <x:c r="E83" s="14" t="str">
        <x:v>01_Nhiem_vu_chi_tiet</x:v>
      </x:c>
      <x:c r="F83" s="56" t="n">
        <x:v>83</x:v>
      </x:c>
      <x:c r="G83" s="14" t="str">
        <x:v>Điều 26</x:v>
      </x:c>
      <x:c r="H83" s="14" t="str">
        <x:v>Tài chính - Kế hoạch đầu tư</x:v>
      </x:c>
      <x:c r="I83" s="14" t="str">
        <x:v>Phí, thanh toán, hợp đồng và billing</x:v>
      </x:c>
      <x:c r="J83" s="14" t="str">
        <x:v>Bao phủ chi tiết từng điều quy hoạch</x:v>
      </x:c>
      <x:c r="K83" s="14" t="str">
        <x:v>Phối hợp/Gián tiếp</x:v>
      </x:c>
      <x:c r="L83" s="14" t="str">
        <x:v>Dữ liệu/số hóa</x:v>
      </x:c>
      <x:c r="M83" s="14" t="str">
        <x:v>ANSP</x:v>
      </x:c>
      <x:c r="N83" s="14" t="str">
        <x:v>Theo dõi điều khoản này để xác định điểm chạm khi cơ quan lập/thẩm định quy hoạch yêu cầu ý kiến hoặc dữ liệu kỹ thuật từ VATM; không phát sinh thẩm quyền phê duyệt cho VATM.</x:v>
      </x:c>
      <x:c r="O83" s="14" t="str">
        <x:v>Duy trì đầu mối phản hồi nhanh; chuẩn bị bộ dữ liệu ANS chuẩn; lưu hồ sơ góp ý theo từng điều khoản.</x:v>
      </x:c>
      <x:c r="P83" s="14" t="str">
        <x:v>Không bỏ sót trách nhiệm phối hợp quy hoạch</x:v>
      </x:c>
      <x:c r="Q83" s="14" t="str">
        <x:v>Phiếu rà soát điều khoản; văn bản phản hồi; bộ dữ liệu đã cung cấp</x:v>
      </x:c>
      <x:c r="R83" s="14" t="str">
        <x:v>Quy trình tham gia quy hoạch cảng hàng không; Phiếu rà soát điều khoản quy hoạch NĐ205</x:v>
      </x:c>
      <x:c r="S83" s="14" t="str">
        <x:v>Ban Tài chính; Ban Kế hoạch - Đầu tư; Ban Không lưu; Ban Kỹ thuật - CNS/IT/Môi trường; Trung tâm Thông báo tin tức hàng không</x:v>
      </x:c>
      <x:c r="T83" s="14" t="str">
        <x:v>Ban Tài chính; Ban Kế hoạch - Đầu tư</x:v>
      </x:c>
      <x:c r="U83" s="14" t="str">
        <x:v>Bộ Xây dựng, CHK Việt Nam, Cảng vụ, ACV, địa phương</x:v>
      </x:c>
      <x:c r="V83" s="14" t="str">
        <x:v>Theo từng lần lấy ý kiến</x:v>
      </x:c>
      <x:c r="W83" s="14" t="str">
        <x:v>P1</x:v>
      </x:c>
      <x:c r="X83" s="14" t="str">
        <x:v>Trung bình/Cao</x:v>
      </x:c>
      <x:c r="Y83" s="14" t="str">
        <x:v>Chưa bắt đầu</x:v>
      </x:c>
      <x:c r="Z83" s="14" t="str">
        <x:v>Dòng bổ sung để bảo đảm rà soát theo từng điều.</x:v>
      </x:c>
      <x:c r="AA83" s="14" t="str"/>
      <x:c r="AB83" s="14" t="str">
        <x:v>tai chinh; atm; du lieu; cns</x:v>
      </x:c>
    </x:row>
    <x:row r="84">
      <x:c r="A84" s="14" t="str">
        <x:v>VATM-0083</x:v>
      </x:c>
      <x:c r="B84" s="14" t="str">
        <x:v>83</x:v>
      </x:c>
      <x:c r="C84" s="14" t="str">
        <x:v>Nghị định 205/2026/NĐ-CP</x:v>
      </x:c>
      <x:c r="D84" s="14" t="str">
        <x:v>Ra_soat_sau_ND205_VATM_ANSP_day_du.xlsx</x:v>
      </x:c>
      <x:c r="E84" s="14" t="str">
        <x:v>01_Nhiem_vu_chi_tiet</x:v>
      </x:c>
      <x:c r="F84" s="56" t="n">
        <x:v>84</x:v>
      </x:c>
      <x:c r="G84" s="14" t="str">
        <x:v>Điều 27</x:v>
      </x:c>
      <x:c r="H84" s="14" t="str">
        <x:v>Tài chính - Kế hoạch đầu tư</x:v>
      </x:c>
      <x:c r="I84" s="14" t="str">
        <x:v>Phí, thanh toán, hợp đồng và billing</x:v>
      </x:c>
      <x:c r="J84" s="14" t="str">
        <x:v>Bao phủ chi tiết từng điều quy hoạch</x:v>
      </x:c>
      <x:c r="K84" s="14" t="str">
        <x:v>Phối hợp/Gián tiếp</x:v>
      </x:c>
      <x:c r="L84" s="14" t="str">
        <x:v>Dữ liệu/số hóa</x:v>
      </x:c>
      <x:c r="M84" s="14" t="str">
        <x:v>ANSP</x:v>
      </x:c>
      <x:c r="N84" s="14" t="str">
        <x:v>Theo dõi điều khoản này để xác định điểm chạm khi cơ quan lập/thẩm định quy hoạch yêu cầu ý kiến hoặc dữ liệu kỹ thuật từ VATM; không phát sinh thẩm quyền phê duyệt cho VATM.</x:v>
      </x:c>
      <x:c r="O84" s="14" t="str">
        <x:v>Duy trì đầu mối phản hồi nhanh; chuẩn bị bộ dữ liệu ANS chuẩn; lưu hồ sơ góp ý theo từng điều khoản.</x:v>
      </x:c>
      <x:c r="P84" s="14" t="str">
        <x:v>Không bỏ sót trách nhiệm phối hợp quy hoạch</x:v>
      </x:c>
      <x:c r="Q84" s="14" t="str">
        <x:v>Phiếu rà soát điều khoản; văn bản phản hồi; bộ dữ liệu đã cung cấp</x:v>
      </x:c>
      <x:c r="R84" s="14" t="str">
        <x:v>Quy trình tham gia quy hoạch cảng hàng không; Phiếu rà soát điều khoản quy hoạch NĐ205</x:v>
      </x:c>
      <x:c r="S84" s="14" t="str">
        <x:v>Ban Tài chính; Ban Kế hoạch - Đầu tư; Ban Không lưu; Ban Kỹ thuật - CNS/IT/Môi trường; Trung tâm Thông báo tin tức hàng không</x:v>
      </x:c>
      <x:c r="T84" s="14" t="str">
        <x:v>Ban Tài chính; Ban Kế hoạch - Đầu tư</x:v>
      </x:c>
      <x:c r="U84" s="14" t="str">
        <x:v>Bộ Xây dựng, CHK Việt Nam, Cảng vụ, ACV, địa phương</x:v>
      </x:c>
      <x:c r="V84" s="14" t="str">
        <x:v>Theo từng lần lấy ý kiến</x:v>
      </x:c>
      <x:c r="W84" s="14" t="str">
        <x:v>P1</x:v>
      </x:c>
      <x:c r="X84" s="14" t="str">
        <x:v>Trung bình/Cao</x:v>
      </x:c>
      <x:c r="Y84" s="14" t="str">
        <x:v>Chưa bắt đầu</x:v>
      </x:c>
      <x:c r="Z84" s="14" t="str">
        <x:v>Dòng bổ sung để bảo đảm rà soát theo từng điều.</x:v>
      </x:c>
      <x:c r="AA84" s="14" t="str"/>
      <x:c r="AB84" s="14" t="str">
        <x:v>tai chinh; atm; du lieu; cns</x:v>
      </x:c>
    </x:row>
    <x:row r="85">
      <x:c r="A85" s="14" t="str">
        <x:v>VATM-0084</x:v>
      </x:c>
      <x:c r="B85" s="14" t="str">
        <x:v>84</x:v>
      </x:c>
      <x:c r="C85" s="14" t="str">
        <x:v>Nghị định 205/2026/NĐ-CP</x:v>
      </x:c>
      <x:c r="D85" s="14" t="str">
        <x:v>Ra_soat_sau_ND205_VATM_ANSP_day_du.xlsx</x:v>
      </x:c>
      <x:c r="E85" s="14" t="str">
        <x:v>01_Nhiem_vu_chi_tiet</x:v>
      </x:c>
      <x:c r="F85" s="56" t="n">
        <x:v>85</x:v>
      </x:c>
      <x:c r="G85" s="14" t="str">
        <x:v>Điều 28</x:v>
      </x:c>
      <x:c r="H85" s="14" t="str">
        <x:v>Tài chính - Kế hoạch đầu tư</x:v>
      </x:c>
      <x:c r="I85" s="14" t="str">
        <x:v>Phí, thanh toán, hợp đồng và billing</x:v>
      </x:c>
      <x:c r="J85" s="14" t="str">
        <x:v>Bao phủ chi tiết từng điều quy hoạch</x:v>
      </x:c>
      <x:c r="K85" s="14" t="str">
        <x:v>Phối hợp/Gián tiếp</x:v>
      </x:c>
      <x:c r="L85" s="14" t="str">
        <x:v>Dữ liệu/số hóa</x:v>
      </x:c>
      <x:c r="M85" s="14" t="str">
        <x:v>ANSP</x:v>
      </x:c>
      <x:c r="N85" s="14" t="str">
        <x:v>Theo dõi điều khoản này để xác định điểm chạm khi cơ quan lập/thẩm định quy hoạch yêu cầu ý kiến hoặc dữ liệu kỹ thuật từ VATM; không phát sinh thẩm quyền phê duyệt cho VATM.</x:v>
      </x:c>
      <x:c r="O85" s="14" t="str">
        <x:v>Duy trì đầu mối phản hồi nhanh; chuẩn bị bộ dữ liệu ANS chuẩn; lưu hồ sơ góp ý theo từng điều khoản.</x:v>
      </x:c>
      <x:c r="P85" s="14" t="str">
        <x:v>Không bỏ sót trách nhiệm phối hợp quy hoạch</x:v>
      </x:c>
      <x:c r="Q85" s="14" t="str">
        <x:v>Phiếu rà soát điều khoản; văn bản phản hồi; bộ dữ liệu đã cung cấp</x:v>
      </x:c>
      <x:c r="R85" s="14" t="str">
        <x:v>Quy trình tham gia quy hoạch cảng hàng không; Phiếu rà soát điều khoản quy hoạch NĐ205</x:v>
      </x:c>
      <x:c r="S85" s="14" t="str">
        <x:v>Ban Tài chính; Ban Kế hoạch - Đầu tư; Ban Không lưu; Ban Kỹ thuật - CNS/IT/Môi trường; Trung tâm Thông báo tin tức hàng không</x:v>
      </x:c>
      <x:c r="T85" s="14" t="str">
        <x:v>Ban Tài chính; Ban Kế hoạch - Đầu tư</x:v>
      </x:c>
      <x:c r="U85" s="14" t="str">
        <x:v>Bộ Xây dựng, CHK Việt Nam, Cảng vụ, ACV, địa phương</x:v>
      </x:c>
      <x:c r="V85" s="14" t="str">
        <x:v>Theo từng lần lấy ý kiến</x:v>
      </x:c>
      <x:c r="W85" s="14" t="str">
        <x:v>P1</x:v>
      </x:c>
      <x:c r="X85" s="14" t="str">
        <x:v>Trung bình/Cao</x:v>
      </x:c>
      <x:c r="Y85" s="14" t="str">
        <x:v>Chưa bắt đầu</x:v>
      </x:c>
      <x:c r="Z85" s="14" t="str">
        <x:v>Dòng bổ sung để bảo đảm rà soát theo từng điều.</x:v>
      </x:c>
      <x:c r="AA85" s="14" t="str"/>
      <x:c r="AB85" s="14" t="str">
        <x:v>tai chinh; atm; du lieu; cns</x:v>
      </x:c>
    </x:row>
    <x:row r="86">
      <x:c r="A86" s="14" t="str">
        <x:v>VATM-0085</x:v>
      </x:c>
      <x:c r="B86" s="14" t="str">
        <x:v>85</x:v>
      </x:c>
      <x:c r="C86" s="14" t="str">
        <x:v>Nghị định 205/2026/NĐ-CP</x:v>
      </x:c>
      <x:c r="D86" s="14" t="str">
        <x:v>Ra_soat_sau_ND205_VATM_ANSP_day_du.xlsx</x:v>
      </x:c>
      <x:c r="E86" s="14" t="str">
        <x:v>01_Nhiem_vu_chi_tiet</x:v>
      </x:c>
      <x:c r="F86" s="56" t="n">
        <x:v>86</x:v>
      </x:c>
      <x:c r="G86" s="14" t="str">
        <x:v>Điều 29</x:v>
      </x:c>
      <x:c r="H86" s="14" t="str">
        <x:v>Tài chính - Kế hoạch đầu tư</x:v>
      </x:c>
      <x:c r="I86" s="14" t="str">
        <x:v>Phí, thanh toán, hợp đồng và billing</x:v>
      </x:c>
      <x:c r="J86" s="14" t="str">
        <x:v>Bao phủ chi tiết từng điều quy hoạch</x:v>
      </x:c>
      <x:c r="K86" s="14" t="str">
        <x:v>Phối hợp/Gián tiếp</x:v>
      </x:c>
      <x:c r="L86" s="14" t="str">
        <x:v>Dữ liệu/số hóa</x:v>
      </x:c>
      <x:c r="M86" s="14" t="str">
        <x:v>ANSP</x:v>
      </x:c>
      <x:c r="N86" s="14" t="str">
        <x:v>Theo dõi điều khoản này để xác định điểm chạm khi cơ quan lập/thẩm định quy hoạch yêu cầu ý kiến hoặc dữ liệu kỹ thuật từ VATM; không phát sinh thẩm quyền phê duyệt cho VATM.</x:v>
      </x:c>
      <x:c r="O86" s="14" t="str">
        <x:v>Duy trì đầu mối phản hồi nhanh; chuẩn bị bộ dữ liệu ANS chuẩn; lưu hồ sơ góp ý theo từng điều khoản.</x:v>
      </x:c>
      <x:c r="P86" s="14" t="str">
        <x:v>Không bỏ sót trách nhiệm phối hợp quy hoạch</x:v>
      </x:c>
      <x:c r="Q86" s="14" t="str">
        <x:v>Phiếu rà soát điều khoản; văn bản phản hồi; bộ dữ liệu đã cung cấp</x:v>
      </x:c>
      <x:c r="R86" s="14" t="str">
        <x:v>Quy trình tham gia quy hoạch cảng hàng không; Phiếu rà soát điều khoản quy hoạch NĐ205</x:v>
      </x:c>
      <x:c r="S86" s="14" t="str">
        <x:v>Ban Tài chính; Ban Kế hoạch - Đầu tư; Ban Không lưu; Ban Kỹ thuật - CNS/IT/Môi trường; Trung tâm Thông báo tin tức hàng không</x:v>
      </x:c>
      <x:c r="T86" s="14" t="str">
        <x:v>Ban Tài chính; Ban Kế hoạch - Đầu tư</x:v>
      </x:c>
      <x:c r="U86" s="14" t="str">
        <x:v>Bộ Xây dựng, CHK Việt Nam, Cảng vụ, ACV, địa phương</x:v>
      </x:c>
      <x:c r="V86" s="14" t="str">
        <x:v>Theo từng lần lấy ý kiến</x:v>
      </x:c>
      <x:c r="W86" s="14" t="str">
        <x:v>P1</x:v>
      </x:c>
      <x:c r="X86" s="14" t="str">
        <x:v>Trung bình/Cao</x:v>
      </x:c>
      <x:c r="Y86" s="14" t="str">
        <x:v>Chưa bắt đầu</x:v>
      </x:c>
      <x:c r="Z86" s="14" t="str">
        <x:v>Dòng bổ sung để bảo đảm rà soát theo từng điều.</x:v>
      </x:c>
      <x:c r="AA86" s="14" t="str"/>
      <x:c r="AB86" s="14" t="str">
        <x:v>tai chinh; atm; du lieu; cns</x:v>
      </x:c>
    </x:row>
    <x:row r="87">
      <x:c r="A87" s="14" t="str">
        <x:v>VATM-0086</x:v>
      </x:c>
      <x:c r="B87" s="14" t="str">
        <x:v>86</x:v>
      </x:c>
      <x:c r="C87" s="14" t="str">
        <x:v>Nghị định 205/2026/NĐ-CP</x:v>
      </x:c>
      <x:c r="D87" s="14" t="str">
        <x:v>Ra_soat_sau_ND205_VATM_ANSP_day_du.xlsx</x:v>
      </x:c>
      <x:c r="E87" s="14" t="str">
        <x:v>01_Nhiem_vu_chi_tiet</x:v>
      </x:c>
      <x:c r="F87" s="56" t="n">
        <x:v>87</x:v>
      </x:c>
      <x:c r="G87" s="14" t="str">
        <x:v>Điều 31</x:v>
      </x:c>
      <x:c r="H87" s="14" t="str">
        <x:v>Quản lý khai thác cảng/sân bay</x:v>
      </x:c>
      <x:c r="I87" s="14" t="str">
        <x:v>Công trình, chướng ngại và thi công</x:v>
      </x:c>
      <x:c r="J87" s="14" t="str">
        <x:v>Bao phủ chi tiết từng điều đầu tư/xây dựng</x:v>
      </x:c>
      <x:c r="K87" s="14" t="str">
        <x:v>Trực tiếp</x:v>
      </x:c>
      <x:c r="L87" s="14" t="str">
        <x:v>Báo cáo/điều tra/khắc phục</x:v>
      </x:c>
      <x:c r="M87" s="14" t="str">
        <x:v>ANSP</x:v>
      </x:c>
      <x:c r="N87" s="14" t="str">
        <x:v>Xác định hồ sơ, bản vẽ, thiết kế, phương án đầu tư hoặc xử lý công trình theo điều này có tác động đến hoạt động bay/công trình ANS; lập ý kiến chuyên ngành VATM.</x:v>
      </x:c>
      <x:c r="O87" s="14" t="str">
        <x:v>Áp dụng checklist tĩnh không-CNS-ATM-AIS-MET-SAR; yêu cầu bổ sung hồ sơ khi dữ liệu chưa đủ; tổ chức họp kỹ thuật nếu rủi ro cao.</x:v>
      </x:c>
      <x:c r="P87" s="14" t="str">
        <x:v>Đưa yêu cầu ANS vào dự án từ đầu</x:v>
      </x:c>
      <x:c r="Q87" s="14" t="str">
        <x:v>Báo cáo đánh giá tác động; văn bản ý kiến; biên bản họp kỹ thuật</x:v>
      </x:c>
      <x:c r="R87" s="14" t="str">
        <x:v>Quy trình đánh giá ảnh hưởng công trình/dự án; Checklist dự án đầu tư/xây dựng theo NĐ205</x:v>
      </x:c>
      <x:c r="S87" s="14" t="str">
        <x:v>Ban Kế hoạch - Đầu tư; Ban Không lưu; Ban Kỹ thuật - CNS/IT/Môi trường</x:v>
      </x:c>
      <x:c r="T87" s="14" t="str">
        <x:v>Các Công ty Quản lý bay khu vực Bắc/Trung/Nam; Ban Kế hoạch - Đầu tư; Ban Không lưu; Ban Kỹ thuật - CNS/IT/Môi trường</x:v>
      </x:c>
      <x:c r="U87" s="14" t="str">
        <x:v>Bộ Xây dựng, Bộ Quốc phòng, CHK Việt Nam, Cảng vụ, chủ đầu tư</x:v>
      </x:c>
      <x:c r="V87" s="14" t="str">
        <x:v>Theo từng hồ sơ/dự án</x:v>
      </x:c>
      <x:c r="W87" s="14" t="str">
        <x:v>P1</x:v>
      </x:c>
      <x:c r="X87" s="14" t="str">
        <x:v>Cao</x:v>
      </x:c>
      <x:c r="Y87" s="14" t="str">
        <x:v>Chưa bắt đầu</x:v>
      </x:c>
      <x:c r="Z87" s="14" t="str">
        <x:v>Bảo đảm độ phủ từng điều.</x:v>
      </x:c>
      <x:c r="AA87" s="14" t="str"/>
      <x:c r="AB87" s="14" t="str">
        <x:v>cang; san bay; ans; atm; cns</x:v>
      </x:c>
    </x:row>
    <x:row r="88">
      <x:c r="A88" s="14" t="str">
        <x:v>VATM-0087</x:v>
      </x:c>
      <x:c r="B88" s="14" t="str">
        <x:v>87</x:v>
      </x:c>
      <x:c r="C88" s="14" t="str">
        <x:v>Nghị định 205/2026/NĐ-CP</x:v>
      </x:c>
      <x:c r="D88" s="14" t="str">
        <x:v>Ra_soat_sau_ND205_VATM_ANSP_day_du.xlsx</x:v>
      </x:c>
      <x:c r="E88" s="14" t="str">
        <x:v>01_Nhiem_vu_chi_tiet</x:v>
      </x:c>
      <x:c r="F88" s="56" t="n">
        <x:v>88</x:v>
      </x:c>
      <x:c r="G88" s="14" t="str">
        <x:v>Điều 32</x:v>
      </x:c>
      <x:c r="H88" s="14" t="str">
        <x:v>Quản lý khai thác cảng/sân bay</x:v>
      </x:c>
      <x:c r="I88" s="14" t="str">
        <x:v>Công trình, chướng ngại và thi công</x:v>
      </x:c>
      <x:c r="J88" s="14" t="str">
        <x:v>Bao phủ chi tiết từng điều đầu tư/xây dựng</x:v>
      </x:c>
      <x:c r="K88" s="14" t="str">
        <x:v>Trực tiếp</x:v>
      </x:c>
      <x:c r="L88" s="14" t="str">
        <x:v>Báo cáo/điều tra/khắc phục</x:v>
      </x:c>
      <x:c r="M88" s="14" t="str">
        <x:v>ANSP</x:v>
      </x:c>
      <x:c r="N88" s="14" t="str">
        <x:v>Xác định hồ sơ, bản vẽ, thiết kế, phương án đầu tư hoặc xử lý công trình theo điều này có tác động đến hoạt động bay/công trình ANS; lập ý kiến chuyên ngành VATM.</x:v>
      </x:c>
      <x:c r="O88" s="14" t="str">
        <x:v>Áp dụng checklist tĩnh không-CNS-ATM-AIS-MET-SAR; yêu cầu bổ sung hồ sơ khi dữ liệu chưa đủ; tổ chức họp kỹ thuật nếu rủi ro cao.</x:v>
      </x:c>
      <x:c r="P88" s="14" t="str">
        <x:v>Đưa yêu cầu ANS vào dự án từ đầu</x:v>
      </x:c>
      <x:c r="Q88" s="14" t="str">
        <x:v>Báo cáo đánh giá tác động; văn bản ý kiến; biên bản họp kỹ thuật</x:v>
      </x:c>
      <x:c r="R88" s="14" t="str">
        <x:v>Quy trình đánh giá ảnh hưởng công trình/dự án; Checklist dự án đầu tư/xây dựng theo NĐ205</x:v>
      </x:c>
      <x:c r="S88" s="14" t="str">
        <x:v>Ban Kế hoạch - Đầu tư; Ban Không lưu; Ban Kỹ thuật - CNS/IT/Môi trường</x:v>
      </x:c>
      <x:c r="T88" s="14" t="str">
        <x:v>Các Công ty Quản lý bay khu vực Bắc/Trung/Nam; Ban Kế hoạch - Đầu tư; Ban Không lưu; Ban Kỹ thuật - CNS/IT/Môi trường</x:v>
      </x:c>
      <x:c r="U88" s="14" t="str">
        <x:v>Bộ Xây dựng, Bộ Quốc phòng, CHK Việt Nam, Cảng vụ, chủ đầu tư</x:v>
      </x:c>
      <x:c r="V88" s="14" t="str">
        <x:v>Theo từng hồ sơ/dự án</x:v>
      </x:c>
      <x:c r="W88" s="14" t="str">
        <x:v>P1</x:v>
      </x:c>
      <x:c r="X88" s="14" t="str">
        <x:v>Cao</x:v>
      </x:c>
      <x:c r="Y88" s="14" t="str">
        <x:v>Chưa bắt đầu</x:v>
      </x:c>
      <x:c r="Z88" s="14" t="str">
        <x:v>Bảo đảm độ phủ từng điều.</x:v>
      </x:c>
      <x:c r="AA88" s="14" t="str"/>
      <x:c r="AB88" s="14" t="str">
        <x:v>cang; san bay; ans; atm; cns</x:v>
      </x:c>
    </x:row>
    <x:row r="89">
      <x:c r="A89" s="14" t="str">
        <x:v>VATM-0088</x:v>
      </x:c>
      <x:c r="B89" s="14" t="str">
        <x:v>88</x:v>
      </x:c>
      <x:c r="C89" s="14" t="str">
        <x:v>Nghị định 205/2026/NĐ-CP</x:v>
      </x:c>
      <x:c r="D89" s="14" t="str">
        <x:v>Ra_soat_sau_ND205_VATM_ANSP_day_du.xlsx</x:v>
      </x:c>
      <x:c r="E89" s="14" t="str">
        <x:v>01_Nhiem_vu_chi_tiet</x:v>
      </x:c>
      <x:c r="F89" s="56" t="n">
        <x:v>89</x:v>
      </x:c>
      <x:c r="G89" s="14" t="str">
        <x:v>Điều 33</x:v>
      </x:c>
      <x:c r="H89" s="14" t="str">
        <x:v>Quản lý khai thác cảng/sân bay</x:v>
      </x:c>
      <x:c r="I89" s="14" t="str">
        <x:v>Công trình, chướng ngại và thi công</x:v>
      </x:c>
      <x:c r="J89" s="14" t="str">
        <x:v>Bao phủ chi tiết từng điều đầu tư/xây dựng</x:v>
      </x:c>
      <x:c r="K89" s="14" t="str">
        <x:v>Trực tiếp</x:v>
      </x:c>
      <x:c r="L89" s="14" t="str">
        <x:v>Báo cáo/điều tra/khắc phục</x:v>
      </x:c>
      <x:c r="M89" s="14" t="str">
        <x:v>ANSP</x:v>
      </x:c>
      <x:c r="N89" s="14" t="str">
        <x:v>Xác định hồ sơ, bản vẽ, thiết kế, phương án đầu tư hoặc xử lý công trình theo điều này có tác động đến hoạt động bay/công trình ANS; lập ý kiến chuyên ngành VATM.</x:v>
      </x:c>
      <x:c r="O89" s="14" t="str">
        <x:v>Áp dụng checklist tĩnh không-CNS-ATM-AIS-MET-SAR; yêu cầu bổ sung hồ sơ khi dữ liệu chưa đủ; tổ chức họp kỹ thuật nếu rủi ro cao.</x:v>
      </x:c>
      <x:c r="P89" s="14" t="str">
        <x:v>Đưa yêu cầu ANS vào dự án từ đầu</x:v>
      </x:c>
      <x:c r="Q89" s="14" t="str">
        <x:v>Báo cáo đánh giá tác động; văn bản ý kiến; biên bản họp kỹ thuật</x:v>
      </x:c>
      <x:c r="R89" s="14" t="str">
        <x:v>Quy trình đánh giá ảnh hưởng công trình/dự án; Checklist dự án đầu tư/xây dựng theo NĐ205</x:v>
      </x:c>
      <x:c r="S89" s="14" t="str">
        <x:v>Ban Kế hoạch - Đầu tư; Ban Không lưu; Ban Kỹ thuật - CNS/IT/Môi trường</x:v>
      </x:c>
      <x:c r="T89" s="14" t="str">
        <x:v>Các Công ty Quản lý bay khu vực Bắc/Trung/Nam; Ban Kế hoạch - Đầu tư; Ban Không lưu; Ban Kỹ thuật - CNS/IT/Môi trường</x:v>
      </x:c>
      <x:c r="U89" s="14" t="str">
        <x:v>Bộ Xây dựng, Bộ Quốc phòng, CHK Việt Nam, Cảng vụ, chủ đầu tư</x:v>
      </x:c>
      <x:c r="V89" s="14" t="str">
        <x:v>Theo từng hồ sơ/dự án</x:v>
      </x:c>
      <x:c r="W89" s="14" t="str">
        <x:v>P1</x:v>
      </x:c>
      <x:c r="X89" s="14" t="str">
        <x:v>Cao</x:v>
      </x:c>
      <x:c r="Y89" s="14" t="str">
        <x:v>Chưa bắt đầu</x:v>
      </x:c>
      <x:c r="Z89" s="14" t="str">
        <x:v>Bảo đảm độ phủ từng điều.</x:v>
      </x:c>
      <x:c r="AA89" s="14" t="str"/>
      <x:c r="AB89" s="14" t="str">
        <x:v>cang; san bay; ans; atm; cns</x:v>
      </x:c>
    </x:row>
    <x:row r="90">
      <x:c r="A90" s="14" t="str">
        <x:v>VATM-0089</x:v>
      </x:c>
      <x:c r="B90" s="14" t="str">
        <x:v>89</x:v>
      </x:c>
      <x:c r="C90" s="14" t="str">
        <x:v>Nghị định 205/2026/NĐ-CP</x:v>
      </x:c>
      <x:c r="D90" s="14" t="str">
        <x:v>Ra_soat_sau_ND205_VATM_ANSP_day_du.xlsx</x:v>
      </x:c>
      <x:c r="E90" s="14" t="str">
        <x:v>01_Nhiem_vu_chi_tiet</x:v>
      </x:c>
      <x:c r="F90" s="56" t="n">
        <x:v>90</x:v>
      </x:c>
      <x:c r="G90" s="14" t="str">
        <x:v>Điều 34</x:v>
      </x:c>
      <x:c r="H90" s="14" t="str">
        <x:v>Quản lý khai thác cảng/sân bay</x:v>
      </x:c>
      <x:c r="I90" s="14" t="str">
        <x:v>Công trình, chướng ngại và thi công</x:v>
      </x:c>
      <x:c r="J90" s="14" t="str">
        <x:v>Bao phủ chi tiết từng điều đầu tư/xây dựng</x:v>
      </x:c>
      <x:c r="K90" s="14" t="str">
        <x:v>Trực tiếp</x:v>
      </x:c>
      <x:c r="L90" s="14" t="str">
        <x:v>Báo cáo/điều tra/khắc phục</x:v>
      </x:c>
      <x:c r="M90" s="14" t="str">
        <x:v>ANSP</x:v>
      </x:c>
      <x:c r="N90" s="14" t="str">
        <x:v>Xác định hồ sơ, bản vẽ, thiết kế, phương án đầu tư hoặc xử lý công trình theo điều này có tác động đến hoạt động bay/công trình ANS; lập ý kiến chuyên ngành VATM.</x:v>
      </x:c>
      <x:c r="O90" s="14" t="str">
        <x:v>Áp dụng checklist tĩnh không-CNS-ATM-AIS-MET-SAR; yêu cầu bổ sung hồ sơ khi dữ liệu chưa đủ; tổ chức họp kỹ thuật nếu rủi ro cao.</x:v>
      </x:c>
      <x:c r="P90" s="14" t="str">
        <x:v>Đưa yêu cầu ANS vào dự án từ đầu</x:v>
      </x:c>
      <x:c r="Q90" s="14" t="str">
        <x:v>Báo cáo đánh giá tác động; văn bản ý kiến; biên bản họp kỹ thuật</x:v>
      </x:c>
      <x:c r="R90" s="14" t="str">
        <x:v>Quy trình đánh giá ảnh hưởng công trình/dự án; Checklist dự án đầu tư/xây dựng theo NĐ205</x:v>
      </x:c>
      <x:c r="S90" s="14" t="str">
        <x:v>Ban Kế hoạch - Đầu tư; Ban Không lưu; Ban Kỹ thuật - CNS/IT/Môi trường</x:v>
      </x:c>
      <x:c r="T90" s="14" t="str">
        <x:v>Các Công ty Quản lý bay khu vực Bắc/Trung/Nam; Ban Kế hoạch - Đầu tư; Ban Không lưu; Ban Kỹ thuật - CNS/IT/Môi trường</x:v>
      </x:c>
      <x:c r="U90" s="14" t="str">
        <x:v>Bộ Xây dựng, Bộ Quốc phòng, CHK Việt Nam, Cảng vụ, chủ đầu tư</x:v>
      </x:c>
      <x:c r="V90" s="14" t="str">
        <x:v>Theo từng hồ sơ/dự án</x:v>
      </x:c>
      <x:c r="W90" s="14" t="str">
        <x:v>P1</x:v>
      </x:c>
      <x:c r="X90" s="14" t="str">
        <x:v>Cao</x:v>
      </x:c>
      <x:c r="Y90" s="14" t="str">
        <x:v>Chưa bắt đầu</x:v>
      </x:c>
      <x:c r="Z90" s="14" t="str">
        <x:v>Bảo đảm độ phủ từng điều.</x:v>
      </x:c>
      <x:c r="AA90" s="14" t="str"/>
      <x:c r="AB90" s="14" t="str">
        <x:v>cang; san bay; ans; atm; cns</x:v>
      </x:c>
    </x:row>
    <x:row r="91">
      <x:c r="A91" s="14" t="str">
        <x:v>VATM-0090</x:v>
      </x:c>
      <x:c r="B91" s="14" t="str">
        <x:v>90</x:v>
      </x:c>
      <x:c r="C91" s="14" t="str">
        <x:v>Nghị định 205/2026/NĐ-CP</x:v>
      </x:c>
      <x:c r="D91" s="14" t="str">
        <x:v>Ra_soat_sau_ND205_VATM_ANSP_day_du.xlsx</x:v>
      </x:c>
      <x:c r="E91" s="14" t="str">
        <x:v>01_Nhiem_vu_chi_tiet</x:v>
      </x:c>
      <x:c r="F91" s="56" t="n">
        <x:v>91</x:v>
      </x:c>
      <x:c r="G91" s="14" t="str">
        <x:v>Điều 35</x:v>
      </x:c>
      <x:c r="H91" s="14" t="str">
        <x:v>Quản lý khai thác cảng/sân bay</x:v>
      </x:c>
      <x:c r="I91" s="14" t="str">
        <x:v>Công trình, chướng ngại và thi công</x:v>
      </x:c>
      <x:c r="J91" s="14" t="str">
        <x:v>Bao phủ chi tiết từng điều đầu tư/xây dựng</x:v>
      </x:c>
      <x:c r="K91" s="14" t="str">
        <x:v>Trực tiếp</x:v>
      </x:c>
      <x:c r="L91" s="14" t="str">
        <x:v>Báo cáo/điều tra/khắc phục</x:v>
      </x:c>
      <x:c r="M91" s="14" t="str">
        <x:v>ANSP</x:v>
      </x:c>
      <x:c r="N91" s="14" t="str">
        <x:v>Xác định hồ sơ, bản vẽ, thiết kế, phương án đầu tư hoặc xử lý công trình theo điều này có tác động đến hoạt động bay/công trình ANS; lập ý kiến chuyên ngành VATM.</x:v>
      </x:c>
      <x:c r="O91" s="14" t="str">
        <x:v>Áp dụng checklist tĩnh không-CNS-ATM-AIS-MET-SAR; yêu cầu bổ sung hồ sơ khi dữ liệu chưa đủ; tổ chức họp kỹ thuật nếu rủi ro cao.</x:v>
      </x:c>
      <x:c r="P91" s="14" t="str">
        <x:v>Đưa yêu cầu ANS vào dự án từ đầu</x:v>
      </x:c>
      <x:c r="Q91" s="14" t="str">
        <x:v>Báo cáo đánh giá tác động; văn bản ý kiến; biên bản họp kỹ thuật</x:v>
      </x:c>
      <x:c r="R91" s="14" t="str">
        <x:v>Quy trình đánh giá ảnh hưởng công trình/dự án; Checklist dự án đầu tư/xây dựng theo NĐ205</x:v>
      </x:c>
      <x:c r="S91" s="14" t="str">
        <x:v>Ban Kế hoạch - Đầu tư; Ban Không lưu; Ban Kỹ thuật - CNS/IT/Môi trường</x:v>
      </x:c>
      <x:c r="T91" s="14" t="str">
        <x:v>Các Công ty Quản lý bay khu vực Bắc/Trung/Nam; Ban Kế hoạch - Đầu tư; Ban Không lưu; Ban Kỹ thuật - CNS/IT/Môi trường</x:v>
      </x:c>
      <x:c r="U91" s="14" t="str">
        <x:v>Bộ Xây dựng, Bộ Quốc phòng, CHK Việt Nam, Cảng vụ, chủ đầu tư</x:v>
      </x:c>
      <x:c r="V91" s="14" t="str">
        <x:v>Theo từng hồ sơ/dự án</x:v>
      </x:c>
      <x:c r="W91" s="14" t="str">
        <x:v>P1</x:v>
      </x:c>
      <x:c r="X91" s="14" t="str">
        <x:v>Cao</x:v>
      </x:c>
      <x:c r="Y91" s="14" t="str">
        <x:v>Chưa bắt đầu</x:v>
      </x:c>
      <x:c r="Z91" s="14" t="str">
        <x:v>Bảo đảm độ phủ từng điều.</x:v>
      </x:c>
      <x:c r="AA91" s="14" t="str"/>
      <x:c r="AB91" s="14" t="str">
        <x:v>cang; san bay; ans; atm; cns</x:v>
      </x:c>
    </x:row>
    <x:row r="92">
      <x:c r="A92" s="14" t="str">
        <x:v>VATM-0091</x:v>
      </x:c>
      <x:c r="B92" s="14" t="str">
        <x:v>91</x:v>
      </x:c>
      <x:c r="C92" s="14" t="str">
        <x:v>Nghị định 205/2026/NĐ-CP</x:v>
      </x:c>
      <x:c r="D92" s="14" t="str">
        <x:v>Ra_soat_sau_ND205_VATM_ANSP_day_du.xlsx</x:v>
      </x:c>
      <x:c r="E92" s="14" t="str">
        <x:v>01_Nhiem_vu_chi_tiet</x:v>
      </x:c>
      <x:c r="F92" s="56" t="n">
        <x:v>92</x:v>
      </x:c>
      <x:c r="G92" s="14" t="str">
        <x:v>Điều 36</x:v>
      </x:c>
      <x:c r="H92" s="14" t="str">
        <x:v>Quản lý khai thác cảng/sân bay</x:v>
      </x:c>
      <x:c r="I92" s="14" t="str">
        <x:v>Công trình, chướng ngại và thi công</x:v>
      </x:c>
      <x:c r="J92" s="14" t="str">
        <x:v>Bao phủ chi tiết từng điều đầu tư/xây dựng</x:v>
      </x:c>
      <x:c r="K92" s="14" t="str">
        <x:v>Trực tiếp</x:v>
      </x:c>
      <x:c r="L92" s="14" t="str">
        <x:v>Báo cáo/điều tra/khắc phục</x:v>
      </x:c>
      <x:c r="M92" s="14" t="str">
        <x:v>ANSP</x:v>
      </x:c>
      <x:c r="N92" s="14" t="str">
        <x:v>Xác định hồ sơ, bản vẽ, thiết kế, phương án đầu tư hoặc xử lý công trình theo điều này có tác động đến hoạt động bay/công trình ANS; lập ý kiến chuyên ngành VATM.</x:v>
      </x:c>
      <x:c r="O92" s="14" t="str">
        <x:v>Áp dụng checklist tĩnh không-CNS-ATM-AIS-MET-SAR; yêu cầu bổ sung hồ sơ khi dữ liệu chưa đủ; tổ chức họp kỹ thuật nếu rủi ro cao.</x:v>
      </x:c>
      <x:c r="P92" s="14" t="str">
        <x:v>Đưa yêu cầu ANS vào dự án từ đầu</x:v>
      </x:c>
      <x:c r="Q92" s="14" t="str">
        <x:v>Báo cáo đánh giá tác động; văn bản ý kiến; biên bản họp kỹ thuật</x:v>
      </x:c>
      <x:c r="R92" s="14" t="str">
        <x:v>Quy trình đánh giá ảnh hưởng công trình/dự án; Checklist dự án đầu tư/xây dựng theo NĐ205</x:v>
      </x:c>
      <x:c r="S92" s="14" t="str">
        <x:v>Ban Kế hoạch - Đầu tư; Ban Không lưu; Ban Kỹ thuật - CNS/IT/Môi trường</x:v>
      </x:c>
      <x:c r="T92" s="14" t="str">
        <x:v>Các Công ty Quản lý bay khu vực Bắc/Trung/Nam; Ban Kế hoạch - Đầu tư; Ban Không lưu; Ban Kỹ thuật - CNS/IT/Môi trường</x:v>
      </x:c>
      <x:c r="U92" s="14" t="str">
        <x:v>Bộ Xây dựng, Bộ Quốc phòng, CHK Việt Nam, Cảng vụ, chủ đầu tư</x:v>
      </x:c>
      <x:c r="V92" s="14" t="str">
        <x:v>Theo từng hồ sơ/dự án</x:v>
      </x:c>
      <x:c r="W92" s="14" t="str">
        <x:v>P1</x:v>
      </x:c>
      <x:c r="X92" s="14" t="str">
        <x:v>Cao</x:v>
      </x:c>
      <x:c r="Y92" s="14" t="str">
        <x:v>Chưa bắt đầu</x:v>
      </x:c>
      <x:c r="Z92" s="14" t="str">
        <x:v>Bảo đảm độ phủ từng điều.</x:v>
      </x:c>
      <x:c r="AA92" s="14" t="str"/>
      <x:c r="AB92" s="14" t="str">
        <x:v>cang; san bay; ans; atm; cns</x:v>
      </x:c>
    </x:row>
    <x:row r="93">
      <x:c r="A93" s="14" t="str">
        <x:v>VATM-0092</x:v>
      </x:c>
      <x:c r="B93" s="14" t="str">
        <x:v>92</x:v>
      </x:c>
      <x:c r="C93" s="14" t="str">
        <x:v>Nghị định 205/2026/NĐ-CP</x:v>
      </x:c>
      <x:c r="D93" s="14" t="str">
        <x:v>Ra_soat_sau_ND205_VATM_ANSP_day_du.xlsx</x:v>
      </x:c>
      <x:c r="E93" s="14" t="str">
        <x:v>01_Nhiem_vu_chi_tiet</x:v>
      </x:c>
      <x:c r="F93" s="56" t="n">
        <x:v>93</x:v>
      </x:c>
      <x:c r="G93" s="14" t="str">
        <x:v>Điều 37</x:v>
      </x:c>
      <x:c r="H93" s="14" t="str">
        <x:v>Quản lý khai thác cảng/sân bay</x:v>
      </x:c>
      <x:c r="I93" s="14" t="str">
        <x:v>Công trình, chướng ngại và thi công</x:v>
      </x:c>
      <x:c r="J93" s="14" t="str">
        <x:v>Bao phủ chi tiết từng điều đầu tư/xây dựng</x:v>
      </x:c>
      <x:c r="K93" s="14" t="str">
        <x:v>Trực tiếp</x:v>
      </x:c>
      <x:c r="L93" s="14" t="str">
        <x:v>Báo cáo/điều tra/khắc phục</x:v>
      </x:c>
      <x:c r="M93" s="14" t="str">
        <x:v>ANSP</x:v>
      </x:c>
      <x:c r="N93" s="14" t="str">
        <x:v>Xác định hồ sơ, bản vẽ, thiết kế, phương án đầu tư hoặc xử lý công trình theo điều này có tác động đến hoạt động bay/công trình ANS; lập ý kiến chuyên ngành VATM.</x:v>
      </x:c>
      <x:c r="O93" s="14" t="str">
        <x:v>Áp dụng checklist tĩnh không-CNS-ATM-AIS-MET-SAR; yêu cầu bổ sung hồ sơ khi dữ liệu chưa đủ; tổ chức họp kỹ thuật nếu rủi ro cao.</x:v>
      </x:c>
      <x:c r="P93" s="14" t="str">
        <x:v>Đưa yêu cầu ANS vào dự án từ đầu</x:v>
      </x:c>
      <x:c r="Q93" s="14" t="str">
        <x:v>Báo cáo đánh giá tác động; văn bản ý kiến; biên bản họp kỹ thuật</x:v>
      </x:c>
      <x:c r="R93" s="14" t="str">
        <x:v>Quy trình đánh giá ảnh hưởng công trình/dự án; Checklist dự án đầu tư/xây dựng theo NĐ205</x:v>
      </x:c>
      <x:c r="S93" s="14" t="str">
        <x:v>Ban Kế hoạch - Đầu tư; Ban Không lưu; Ban Kỹ thuật - CNS/IT/Môi trường</x:v>
      </x:c>
      <x:c r="T93" s="14" t="str">
        <x:v>Các Công ty Quản lý bay khu vực Bắc/Trung/Nam; Ban Kế hoạch - Đầu tư; Ban Không lưu; Ban Kỹ thuật - CNS/IT/Môi trường</x:v>
      </x:c>
      <x:c r="U93" s="14" t="str">
        <x:v>Bộ Xây dựng, Bộ Quốc phòng, CHK Việt Nam, Cảng vụ, chủ đầu tư</x:v>
      </x:c>
      <x:c r="V93" s="14" t="str">
        <x:v>Theo từng hồ sơ/dự án</x:v>
      </x:c>
      <x:c r="W93" s="14" t="str">
        <x:v>P1</x:v>
      </x:c>
      <x:c r="X93" s="14" t="str">
        <x:v>Cao</x:v>
      </x:c>
      <x:c r="Y93" s="14" t="str">
        <x:v>Chưa bắt đầu</x:v>
      </x:c>
      <x:c r="Z93" s="14" t="str">
        <x:v>Bảo đảm độ phủ từng điều.</x:v>
      </x:c>
      <x:c r="AA93" s="14" t="str"/>
      <x:c r="AB93" s="14" t="str">
        <x:v>cang; san bay; ans; atm; cns</x:v>
      </x:c>
    </x:row>
    <x:row r="94">
      <x:c r="A94" s="14" t="str">
        <x:v>VATM-0093</x:v>
      </x:c>
      <x:c r="B94" s="14" t="str">
        <x:v>93</x:v>
      </x:c>
      <x:c r="C94" s="14" t="str">
        <x:v>Nghị định 205/2026/NĐ-CP</x:v>
      </x:c>
      <x:c r="D94" s="14" t="str">
        <x:v>Ra_soat_sau_ND205_VATM_ANSP_day_du.xlsx</x:v>
      </x:c>
      <x:c r="E94" s="14" t="str">
        <x:v>01_Nhiem_vu_chi_tiet</x:v>
      </x:c>
      <x:c r="F94" s="56" t="n">
        <x:v>94</x:v>
      </x:c>
      <x:c r="G94" s="14" t="str">
        <x:v>Điều 38</x:v>
      </x:c>
      <x:c r="H94" s="14" t="str">
        <x:v>Quản lý khai thác cảng/sân bay</x:v>
      </x:c>
      <x:c r="I94" s="14" t="str">
        <x:v>Công trình, chướng ngại và thi công</x:v>
      </x:c>
      <x:c r="J94" s="14" t="str">
        <x:v>Bao phủ chi tiết từng điều đầu tư/xây dựng</x:v>
      </x:c>
      <x:c r="K94" s="14" t="str">
        <x:v>Trực tiếp</x:v>
      </x:c>
      <x:c r="L94" s="14" t="str">
        <x:v>Báo cáo/điều tra/khắc phục</x:v>
      </x:c>
      <x:c r="M94" s="14" t="str">
        <x:v>ANSP</x:v>
      </x:c>
      <x:c r="N94" s="14" t="str">
        <x:v>Xác định hồ sơ, bản vẽ, thiết kế, phương án đầu tư hoặc xử lý công trình theo điều này có tác động đến hoạt động bay/công trình ANS; lập ý kiến chuyên ngành VATM.</x:v>
      </x:c>
      <x:c r="O94" s="14" t="str">
        <x:v>Áp dụng checklist tĩnh không-CNS-ATM-AIS-MET-SAR; yêu cầu bổ sung hồ sơ khi dữ liệu chưa đủ; tổ chức họp kỹ thuật nếu rủi ro cao.</x:v>
      </x:c>
      <x:c r="P94" s="14" t="str">
        <x:v>Đưa yêu cầu ANS vào dự án từ đầu</x:v>
      </x:c>
      <x:c r="Q94" s="14" t="str">
        <x:v>Báo cáo đánh giá tác động; văn bản ý kiến; biên bản họp kỹ thuật</x:v>
      </x:c>
      <x:c r="R94" s="14" t="str">
        <x:v>Quy trình đánh giá ảnh hưởng công trình/dự án; Checklist dự án đầu tư/xây dựng theo NĐ205</x:v>
      </x:c>
      <x:c r="S94" s="14" t="str">
        <x:v>Ban Kế hoạch - Đầu tư; Ban Không lưu; Ban Kỹ thuật - CNS/IT/Môi trường</x:v>
      </x:c>
      <x:c r="T94" s="14" t="str">
        <x:v>Các Công ty Quản lý bay khu vực Bắc/Trung/Nam; Ban Kế hoạch - Đầu tư; Ban Không lưu; Ban Kỹ thuật - CNS/IT/Môi trường</x:v>
      </x:c>
      <x:c r="U94" s="14" t="str">
        <x:v>Bộ Xây dựng, Bộ Quốc phòng, CHK Việt Nam, Cảng vụ, chủ đầu tư</x:v>
      </x:c>
      <x:c r="V94" s="14" t="str">
        <x:v>Theo từng hồ sơ/dự án</x:v>
      </x:c>
      <x:c r="W94" s="14" t="str">
        <x:v>P1</x:v>
      </x:c>
      <x:c r="X94" s="14" t="str">
        <x:v>Cao</x:v>
      </x:c>
      <x:c r="Y94" s="14" t="str">
        <x:v>Chưa bắt đầu</x:v>
      </x:c>
      <x:c r="Z94" s="14" t="str">
        <x:v>Bảo đảm độ phủ từng điều.</x:v>
      </x:c>
      <x:c r="AA94" s="14" t="str"/>
      <x:c r="AB94" s="14" t="str">
        <x:v>cang; san bay; ans; atm; cns</x:v>
      </x:c>
    </x:row>
    <x:row r="95">
      <x:c r="A95" s="14" t="str">
        <x:v>VATM-0094</x:v>
      </x:c>
      <x:c r="B95" s="14" t="str">
        <x:v>94</x:v>
      </x:c>
      <x:c r="C95" s="14" t="str">
        <x:v>Nghị định 205/2026/NĐ-CP</x:v>
      </x:c>
      <x:c r="D95" s="14" t="str">
        <x:v>Ra_soat_sau_ND205_VATM_ANSP_day_du.xlsx</x:v>
      </x:c>
      <x:c r="E95" s="14" t="str">
        <x:v>01_Nhiem_vu_chi_tiet</x:v>
      </x:c>
      <x:c r="F95" s="56" t="n">
        <x:v>95</x:v>
      </x:c>
      <x:c r="G95" s="14" t="str">
        <x:v>Điều 39</x:v>
      </x:c>
      <x:c r="H95" s="14" t="str">
        <x:v>Quản lý khai thác cảng/sân bay</x:v>
      </x:c>
      <x:c r="I95" s="14" t="str">
        <x:v>Công trình, chướng ngại và thi công</x:v>
      </x:c>
      <x:c r="J95" s="14" t="str">
        <x:v>Bao phủ chi tiết từng điều đầu tư/xây dựng</x:v>
      </x:c>
      <x:c r="K95" s="14" t="str">
        <x:v>Trực tiếp</x:v>
      </x:c>
      <x:c r="L95" s="14" t="str">
        <x:v>Báo cáo/điều tra/khắc phục</x:v>
      </x:c>
      <x:c r="M95" s="14" t="str">
        <x:v>ANSP</x:v>
      </x:c>
      <x:c r="N95" s="14" t="str">
        <x:v>Xác định hồ sơ, bản vẽ, thiết kế, phương án đầu tư hoặc xử lý công trình theo điều này có tác động đến hoạt động bay/công trình ANS; lập ý kiến chuyên ngành VATM.</x:v>
      </x:c>
      <x:c r="O95" s="14" t="str">
        <x:v>Áp dụng checklist tĩnh không-CNS-ATM-AIS-MET-SAR; yêu cầu bổ sung hồ sơ khi dữ liệu chưa đủ; tổ chức họp kỹ thuật nếu rủi ro cao.</x:v>
      </x:c>
      <x:c r="P95" s="14" t="str">
        <x:v>Đưa yêu cầu ANS vào dự án từ đầu</x:v>
      </x:c>
      <x:c r="Q95" s="14" t="str">
        <x:v>Báo cáo đánh giá tác động; văn bản ý kiến; biên bản họp kỹ thuật</x:v>
      </x:c>
      <x:c r="R95" s="14" t="str">
        <x:v>Quy trình đánh giá ảnh hưởng công trình/dự án; Checklist dự án đầu tư/xây dựng theo NĐ205</x:v>
      </x:c>
      <x:c r="S95" s="14" t="str">
        <x:v>Ban Kế hoạch - Đầu tư; Ban Không lưu; Ban Kỹ thuật - CNS/IT/Môi trường</x:v>
      </x:c>
      <x:c r="T95" s="14" t="str">
        <x:v>Các Công ty Quản lý bay khu vực Bắc/Trung/Nam; Ban Kế hoạch - Đầu tư; Ban Không lưu; Ban Kỹ thuật - CNS/IT/Môi trường</x:v>
      </x:c>
      <x:c r="U95" s="14" t="str">
        <x:v>Bộ Xây dựng, Bộ Quốc phòng, CHK Việt Nam, Cảng vụ, chủ đầu tư</x:v>
      </x:c>
      <x:c r="V95" s="14" t="str">
        <x:v>Theo từng hồ sơ/dự án</x:v>
      </x:c>
      <x:c r="W95" s="14" t="str">
        <x:v>P1</x:v>
      </x:c>
      <x:c r="X95" s="14" t="str">
        <x:v>Cao</x:v>
      </x:c>
      <x:c r="Y95" s="14" t="str">
        <x:v>Chưa bắt đầu</x:v>
      </x:c>
      <x:c r="Z95" s="14" t="str">
        <x:v>Bảo đảm độ phủ từng điều.</x:v>
      </x:c>
      <x:c r="AA95" s="14" t="str"/>
      <x:c r="AB95" s="14" t="str">
        <x:v>cang; san bay; ans; atm; cns</x:v>
      </x:c>
    </x:row>
    <x:row r="96">
      <x:c r="A96" s="14" t="str">
        <x:v>VATM-0095</x:v>
      </x:c>
      <x:c r="B96" s="14" t="str">
        <x:v>95</x:v>
      </x:c>
      <x:c r="C96" s="14" t="str">
        <x:v>Nghị định 205/2026/NĐ-CP</x:v>
      </x:c>
      <x:c r="D96" s="14" t="str">
        <x:v>Ra_soat_sau_ND205_VATM_ANSP_day_du.xlsx</x:v>
      </x:c>
      <x:c r="E96" s="14" t="str">
        <x:v>01_Nhiem_vu_chi_tiet</x:v>
      </x:c>
      <x:c r="F96" s="56" t="n">
        <x:v>96</x:v>
      </x:c>
      <x:c r="G96" s="14" t="str">
        <x:v>Điều 40</x:v>
      </x:c>
      <x:c r="H96" s="14" t="str">
        <x:v>Quản lý khai thác cảng/sân bay</x:v>
      </x:c>
      <x:c r="I96" s="14" t="str">
        <x:v>Công trình, chướng ngại và thi công</x:v>
      </x:c>
      <x:c r="J96" s="14" t="str">
        <x:v>Bao phủ chi tiết từng điều đầu tư/xây dựng</x:v>
      </x:c>
      <x:c r="K96" s="14" t="str">
        <x:v>Trực tiếp</x:v>
      </x:c>
      <x:c r="L96" s="14" t="str">
        <x:v>Báo cáo/điều tra/khắc phục</x:v>
      </x:c>
      <x:c r="M96" s="14" t="str">
        <x:v>ANSP</x:v>
      </x:c>
      <x:c r="N96" s="14" t="str">
        <x:v>Xác định hồ sơ, bản vẽ, thiết kế, phương án đầu tư hoặc xử lý công trình theo điều này có tác động đến hoạt động bay/công trình ANS; lập ý kiến chuyên ngành VATM.</x:v>
      </x:c>
      <x:c r="O96" s="14" t="str">
        <x:v>Áp dụng checklist tĩnh không-CNS-ATM-AIS-MET-SAR; yêu cầu bổ sung hồ sơ khi dữ liệu chưa đủ; tổ chức họp kỹ thuật nếu rủi ro cao.</x:v>
      </x:c>
      <x:c r="P96" s="14" t="str">
        <x:v>Đưa yêu cầu ANS vào dự án từ đầu</x:v>
      </x:c>
      <x:c r="Q96" s="14" t="str">
        <x:v>Báo cáo đánh giá tác động; văn bản ý kiến; biên bản họp kỹ thuật</x:v>
      </x:c>
      <x:c r="R96" s="14" t="str">
        <x:v>Quy trình đánh giá ảnh hưởng công trình/dự án; Checklist dự án đầu tư/xây dựng theo NĐ205</x:v>
      </x:c>
      <x:c r="S96" s="14" t="str">
        <x:v>Ban Kế hoạch - Đầu tư; Ban Không lưu; Ban Kỹ thuật - CNS/IT/Môi trường</x:v>
      </x:c>
      <x:c r="T96" s="14" t="str">
        <x:v>Các Công ty Quản lý bay khu vực Bắc/Trung/Nam; Ban Kế hoạch - Đầu tư; Ban Không lưu; Ban Kỹ thuật - CNS/IT/Môi trường</x:v>
      </x:c>
      <x:c r="U96" s="14" t="str">
        <x:v>Bộ Xây dựng, Bộ Quốc phòng, CHK Việt Nam, Cảng vụ, chủ đầu tư</x:v>
      </x:c>
      <x:c r="V96" s="14" t="str">
        <x:v>Theo từng hồ sơ/dự án</x:v>
      </x:c>
      <x:c r="W96" s="14" t="str">
        <x:v>P1</x:v>
      </x:c>
      <x:c r="X96" s="14" t="str">
        <x:v>Cao</x:v>
      </x:c>
      <x:c r="Y96" s="14" t="str">
        <x:v>Chưa bắt đầu</x:v>
      </x:c>
      <x:c r="Z96" s="14" t="str">
        <x:v>Bảo đảm độ phủ từng điều.</x:v>
      </x:c>
      <x:c r="AA96" s="14" t="str"/>
      <x:c r="AB96" s="14" t="str">
        <x:v>cang; san bay; ans; atm; cns</x:v>
      </x:c>
    </x:row>
    <x:row r="97">
      <x:c r="A97" s="14" t="str">
        <x:v>VATM-0096</x:v>
      </x:c>
      <x:c r="B97" s="14" t="str">
        <x:v>96</x:v>
      </x:c>
      <x:c r="C97" s="14" t="str">
        <x:v>Nghị định 205/2026/NĐ-CP</x:v>
      </x:c>
      <x:c r="D97" s="14" t="str">
        <x:v>Ra_soat_sau_ND205_VATM_ANSP_day_du.xlsx</x:v>
      </x:c>
      <x:c r="E97" s="14" t="str">
        <x:v>01_Nhiem_vu_chi_tiet</x:v>
      </x:c>
      <x:c r="F97" s="56" t="n">
        <x:v>97</x:v>
      </x:c>
      <x:c r="G97" s="14" t="str">
        <x:v>Điều 41</x:v>
      </x:c>
      <x:c r="H97" s="14" t="str">
        <x:v>Quản lý khai thác cảng/sân bay</x:v>
      </x:c>
      <x:c r="I97" s="14" t="str">
        <x:v>Công trình, chướng ngại và thi công</x:v>
      </x:c>
      <x:c r="J97" s="14" t="str">
        <x:v>Bao phủ chi tiết từng điều đầu tư/xây dựng</x:v>
      </x:c>
      <x:c r="K97" s="14" t="str">
        <x:v>Trực tiếp</x:v>
      </x:c>
      <x:c r="L97" s="14" t="str">
        <x:v>Báo cáo/điều tra/khắc phục</x:v>
      </x:c>
      <x:c r="M97" s="14" t="str">
        <x:v>ANSP</x:v>
      </x:c>
      <x:c r="N97" s="14" t="str">
        <x:v>Xác định hồ sơ, bản vẽ, thiết kế, phương án đầu tư hoặc xử lý công trình theo điều này có tác động đến hoạt động bay/công trình ANS; lập ý kiến chuyên ngành VATM.</x:v>
      </x:c>
      <x:c r="O97" s="14" t="str">
        <x:v>Áp dụng checklist tĩnh không-CNS-ATM-AIS-MET-SAR; yêu cầu bổ sung hồ sơ khi dữ liệu chưa đủ; tổ chức họp kỹ thuật nếu rủi ro cao.</x:v>
      </x:c>
      <x:c r="P97" s="14" t="str">
        <x:v>Đưa yêu cầu ANS vào dự án từ đầu</x:v>
      </x:c>
      <x:c r="Q97" s="14" t="str">
        <x:v>Báo cáo đánh giá tác động; văn bản ý kiến; biên bản họp kỹ thuật</x:v>
      </x:c>
      <x:c r="R97" s="14" t="str">
        <x:v>Quy trình đánh giá ảnh hưởng công trình/dự án; Checklist dự án đầu tư/xây dựng theo NĐ205</x:v>
      </x:c>
      <x:c r="S97" s="14" t="str">
        <x:v>Ban Kế hoạch - Đầu tư; Ban Không lưu; Ban Kỹ thuật - CNS/IT/Môi trường</x:v>
      </x:c>
      <x:c r="T97" s="14" t="str">
        <x:v>Các Công ty Quản lý bay khu vực Bắc/Trung/Nam; Ban Kế hoạch - Đầu tư; Ban Không lưu; Ban Kỹ thuật - CNS/IT/Môi trường</x:v>
      </x:c>
      <x:c r="U97" s="14" t="str">
        <x:v>Bộ Xây dựng, Bộ Quốc phòng, CHK Việt Nam, Cảng vụ, chủ đầu tư</x:v>
      </x:c>
      <x:c r="V97" s="14" t="str">
        <x:v>Theo từng hồ sơ/dự án</x:v>
      </x:c>
      <x:c r="W97" s="14" t="str">
        <x:v>P1</x:v>
      </x:c>
      <x:c r="X97" s="14" t="str">
        <x:v>Cao</x:v>
      </x:c>
      <x:c r="Y97" s="14" t="str">
        <x:v>Chưa bắt đầu</x:v>
      </x:c>
      <x:c r="Z97" s="14" t="str">
        <x:v>Bảo đảm độ phủ từng điều.</x:v>
      </x:c>
      <x:c r="AA97" s="14" t="str"/>
      <x:c r="AB97" s="14" t="str">
        <x:v>cang; san bay; ans; atm; cns</x:v>
      </x:c>
    </x:row>
    <x:row r="98">
      <x:c r="A98" s="14" t="str">
        <x:v>VATM-0097</x:v>
      </x:c>
      <x:c r="B98" s="14" t="str">
        <x:v>97</x:v>
      </x:c>
      <x:c r="C98" s="14" t="str">
        <x:v>Nghị định 205/2026/NĐ-CP</x:v>
      </x:c>
      <x:c r="D98" s="14" t="str">
        <x:v>Ra_soat_sau_ND205_VATM_ANSP_day_du.xlsx</x:v>
      </x:c>
      <x:c r="E98" s="14" t="str">
        <x:v>01_Nhiem_vu_chi_tiet</x:v>
      </x:c>
      <x:c r="F98" s="56" t="n">
        <x:v>98</x:v>
      </x:c>
      <x:c r="G98" s="14" t="str">
        <x:v>Điều 42</x:v>
      </x:c>
      <x:c r="H98" s="14" t="str">
        <x:v>Quản lý khai thác cảng/sân bay</x:v>
      </x:c>
      <x:c r="I98" s="14" t="str">
        <x:v>Công trình, chướng ngại và thi công</x:v>
      </x:c>
      <x:c r="J98" s="14" t="str">
        <x:v>Bao phủ chi tiết từng điều đầu tư/xây dựng</x:v>
      </x:c>
      <x:c r="K98" s="14" t="str">
        <x:v>Trực tiếp</x:v>
      </x:c>
      <x:c r="L98" s="14" t="str">
        <x:v>Báo cáo/điều tra/khắc phục</x:v>
      </x:c>
      <x:c r="M98" s="14" t="str">
        <x:v>ANSP</x:v>
      </x:c>
      <x:c r="N98" s="14" t="str">
        <x:v>Xác định hồ sơ, bản vẽ, thiết kế, phương án đầu tư hoặc xử lý công trình theo điều này có tác động đến hoạt động bay/công trình ANS; lập ý kiến chuyên ngành VATM.</x:v>
      </x:c>
      <x:c r="O98" s="14" t="str">
        <x:v>Áp dụng checklist tĩnh không-CNS-ATM-AIS-MET-SAR; yêu cầu bổ sung hồ sơ khi dữ liệu chưa đủ; tổ chức họp kỹ thuật nếu rủi ro cao.</x:v>
      </x:c>
      <x:c r="P98" s="14" t="str">
        <x:v>Đưa yêu cầu ANS vào dự án từ đầu</x:v>
      </x:c>
      <x:c r="Q98" s="14" t="str">
        <x:v>Báo cáo đánh giá tác động; văn bản ý kiến; biên bản họp kỹ thuật</x:v>
      </x:c>
      <x:c r="R98" s="14" t="str">
        <x:v>Quy trình đánh giá ảnh hưởng công trình/dự án; Checklist dự án đầu tư/xây dựng theo NĐ205</x:v>
      </x:c>
      <x:c r="S98" s="14" t="str">
        <x:v>Ban Kế hoạch - Đầu tư; Ban Không lưu; Ban Kỹ thuật - CNS/IT/Môi trường</x:v>
      </x:c>
      <x:c r="T98" s="14" t="str">
        <x:v>Các Công ty Quản lý bay khu vực Bắc/Trung/Nam; Ban Kế hoạch - Đầu tư; Ban Không lưu; Ban Kỹ thuật - CNS/IT/Môi trường</x:v>
      </x:c>
      <x:c r="U98" s="14" t="str">
        <x:v>Bộ Xây dựng, Bộ Quốc phòng, CHK Việt Nam, Cảng vụ, chủ đầu tư</x:v>
      </x:c>
      <x:c r="V98" s="14" t="str">
        <x:v>Theo từng hồ sơ/dự án</x:v>
      </x:c>
      <x:c r="W98" s="14" t="str">
        <x:v>P1</x:v>
      </x:c>
      <x:c r="X98" s="14" t="str">
        <x:v>Cao</x:v>
      </x:c>
      <x:c r="Y98" s="14" t="str">
        <x:v>Chưa bắt đầu</x:v>
      </x:c>
      <x:c r="Z98" s="14" t="str">
        <x:v>Bảo đảm độ phủ từng điều.</x:v>
      </x:c>
      <x:c r="AA98" s="14" t="str"/>
      <x:c r="AB98" s="14" t="str">
        <x:v>cang; san bay; ans; atm; cns</x:v>
      </x:c>
    </x:row>
    <x:row r="99">
      <x:c r="A99" s="14" t="str">
        <x:v>VATM-0098</x:v>
      </x:c>
      <x:c r="B99" s="14" t="str">
        <x:v>98</x:v>
      </x:c>
      <x:c r="C99" s="14" t="str">
        <x:v>Nghị định 205/2026/NĐ-CP</x:v>
      </x:c>
      <x:c r="D99" s="14" t="str">
        <x:v>Ra_soat_sau_ND205_VATM_ANSP_day_du.xlsx</x:v>
      </x:c>
      <x:c r="E99" s="14" t="str">
        <x:v>01_Nhiem_vu_chi_tiet</x:v>
      </x:c>
      <x:c r="F99" s="56" t="n">
        <x:v>99</x:v>
      </x:c>
      <x:c r="G99" s="14" t="str">
        <x:v>Điều 43</x:v>
      </x:c>
      <x:c r="H99" s="14" t="str">
        <x:v>Quản lý khai thác cảng/sân bay</x:v>
      </x:c>
      <x:c r="I99" s="14" t="str">
        <x:v>Công trình, chướng ngại và thi công</x:v>
      </x:c>
      <x:c r="J99" s="14" t="str">
        <x:v>Bao phủ chi tiết từng điều đầu tư/xây dựng</x:v>
      </x:c>
      <x:c r="K99" s="14" t="str">
        <x:v>Trực tiếp</x:v>
      </x:c>
      <x:c r="L99" s="14" t="str">
        <x:v>Báo cáo/điều tra/khắc phục</x:v>
      </x:c>
      <x:c r="M99" s="14" t="str">
        <x:v>ANSP</x:v>
      </x:c>
      <x:c r="N99" s="14" t="str">
        <x:v>Xác định hồ sơ, bản vẽ, thiết kế, phương án đầu tư hoặc xử lý công trình theo điều này có tác động đến hoạt động bay/công trình ANS; lập ý kiến chuyên ngành VATM.</x:v>
      </x:c>
      <x:c r="O99" s="14" t="str">
        <x:v>Áp dụng checklist tĩnh không-CNS-ATM-AIS-MET-SAR; yêu cầu bổ sung hồ sơ khi dữ liệu chưa đủ; tổ chức họp kỹ thuật nếu rủi ro cao.</x:v>
      </x:c>
      <x:c r="P99" s="14" t="str">
        <x:v>Đưa yêu cầu ANS vào dự án từ đầu</x:v>
      </x:c>
      <x:c r="Q99" s="14" t="str">
        <x:v>Báo cáo đánh giá tác động; văn bản ý kiến; biên bản họp kỹ thuật</x:v>
      </x:c>
      <x:c r="R99" s="14" t="str">
        <x:v>Quy trình đánh giá ảnh hưởng công trình/dự án; Checklist dự án đầu tư/xây dựng theo NĐ205</x:v>
      </x:c>
      <x:c r="S99" s="14" t="str">
        <x:v>Ban Kế hoạch - Đầu tư; Ban Không lưu; Ban Kỹ thuật - CNS/IT/Môi trường</x:v>
      </x:c>
      <x:c r="T99" s="14" t="str">
        <x:v>Các Công ty Quản lý bay khu vực Bắc/Trung/Nam; Ban Kế hoạch - Đầu tư; Ban Không lưu; Ban Kỹ thuật - CNS/IT/Môi trường</x:v>
      </x:c>
      <x:c r="U99" s="14" t="str">
        <x:v>Bộ Xây dựng, Bộ Quốc phòng, CHK Việt Nam, Cảng vụ, chủ đầu tư</x:v>
      </x:c>
      <x:c r="V99" s="14" t="str">
        <x:v>Theo từng hồ sơ/dự án</x:v>
      </x:c>
      <x:c r="W99" s="14" t="str">
        <x:v>P1</x:v>
      </x:c>
      <x:c r="X99" s="14" t="str">
        <x:v>Cao</x:v>
      </x:c>
      <x:c r="Y99" s="14" t="str">
        <x:v>Chưa bắt đầu</x:v>
      </x:c>
      <x:c r="Z99" s="14" t="str">
        <x:v>Bảo đảm độ phủ từng điều.</x:v>
      </x:c>
      <x:c r="AA99" s="14" t="str"/>
      <x:c r="AB99" s="14" t="str">
        <x:v>cang; san bay; ans; atm; cns</x:v>
      </x:c>
    </x:row>
    <x:row r="100">
      <x:c r="A100" s="14" t="str">
        <x:v>VATM-0099</x:v>
      </x:c>
      <x:c r="B100" s="14" t="str">
        <x:v>99</x:v>
      </x:c>
      <x:c r="C100" s="14" t="str">
        <x:v>Nghị định 205/2026/NĐ-CP</x:v>
      </x:c>
      <x:c r="D100" s="14" t="str">
        <x:v>Ra_soat_sau_ND205_VATM_ANSP_day_du.xlsx</x:v>
      </x:c>
      <x:c r="E100" s="14" t="str">
        <x:v>01_Nhiem_vu_chi_tiet</x:v>
      </x:c>
      <x:c r="F100" s="56" t="n">
        <x:v>100</x:v>
      </x:c>
      <x:c r="G100" s="14" t="str">
        <x:v>Điều 44</x:v>
      </x:c>
      <x:c r="H100" s="14" t="str">
        <x:v>Quản lý khai thác cảng/sân bay</x:v>
      </x:c>
      <x:c r="I100" s="14" t="str">
        <x:v>Công trình, chướng ngại và thi công</x:v>
      </x:c>
      <x:c r="J100" s="14" t="str">
        <x:v>Bao phủ chi tiết từng điều đầu tư/xây dựng</x:v>
      </x:c>
      <x:c r="K100" s="14" t="str">
        <x:v>Trực tiếp</x:v>
      </x:c>
      <x:c r="L100" s="14" t="str">
        <x:v>Báo cáo/điều tra/khắc phục</x:v>
      </x:c>
      <x:c r="M100" s="14" t="str">
        <x:v>ANSP</x:v>
      </x:c>
      <x:c r="N100" s="14" t="str">
        <x:v>Xác định hồ sơ, bản vẽ, thiết kế, phương án đầu tư hoặc xử lý công trình theo điều này có tác động đến hoạt động bay/công trình ANS; lập ý kiến chuyên ngành VATM.</x:v>
      </x:c>
      <x:c r="O100" s="14" t="str">
        <x:v>Áp dụng checklist tĩnh không-CNS-ATM-AIS-MET-SAR; yêu cầu bổ sung hồ sơ khi dữ liệu chưa đủ; tổ chức họp kỹ thuật nếu rủi ro cao.</x:v>
      </x:c>
      <x:c r="P100" s="14" t="str">
        <x:v>Đưa yêu cầu ANS vào dự án từ đầu</x:v>
      </x:c>
      <x:c r="Q100" s="14" t="str">
        <x:v>Báo cáo đánh giá tác động; văn bản ý kiến; biên bản họp kỹ thuật</x:v>
      </x:c>
      <x:c r="R100" s="14" t="str">
        <x:v>Quy trình đánh giá ảnh hưởng công trình/dự án; Checklist dự án đầu tư/xây dựng theo NĐ205</x:v>
      </x:c>
      <x:c r="S100" s="14" t="str">
        <x:v>Ban Kế hoạch - Đầu tư; Ban Không lưu; Ban Kỹ thuật - CNS/IT/Môi trường</x:v>
      </x:c>
      <x:c r="T100" s="14" t="str">
        <x:v>Các Công ty Quản lý bay khu vực Bắc/Trung/Nam; Ban Kế hoạch - Đầu tư; Ban Không lưu; Ban Kỹ thuật - CNS/IT/Môi trường</x:v>
      </x:c>
      <x:c r="U100" s="14" t="str">
        <x:v>Bộ Xây dựng, Bộ Quốc phòng, CHK Việt Nam, Cảng vụ, chủ đầu tư</x:v>
      </x:c>
      <x:c r="V100" s="14" t="str">
        <x:v>Theo từng hồ sơ/dự án</x:v>
      </x:c>
      <x:c r="W100" s="14" t="str">
        <x:v>P1</x:v>
      </x:c>
      <x:c r="X100" s="14" t="str">
        <x:v>Cao</x:v>
      </x:c>
      <x:c r="Y100" s="14" t="str">
        <x:v>Chưa bắt đầu</x:v>
      </x:c>
      <x:c r="Z100" s="14" t="str">
        <x:v>Bảo đảm độ phủ từng điều.</x:v>
      </x:c>
      <x:c r="AA100" s="14" t="str"/>
      <x:c r="AB100" s="14" t="str">
        <x:v>cang; san bay; ans; atm; cns</x:v>
      </x:c>
    </x:row>
    <x:row r="101">
      <x:c r="A101" s="14" t="str">
        <x:v>VATM-0100</x:v>
      </x:c>
      <x:c r="B101" s="14" t="str">
        <x:v>100</x:v>
      </x:c>
      <x:c r="C101" s="14" t="str">
        <x:v>Nghị định 205/2026/NĐ-CP</x:v>
      </x:c>
      <x:c r="D101" s="14" t="str">
        <x:v>Ra_soat_sau_ND205_VATM_ANSP_day_du.xlsx</x:v>
      </x:c>
      <x:c r="E101" s="14" t="str">
        <x:v>01_Nhiem_vu_chi_tiet</x:v>
      </x:c>
      <x:c r="F101" s="56" t="n">
        <x:v>101</x:v>
      </x:c>
      <x:c r="G101" s="14" t="str">
        <x:v>Điều 45</x:v>
      </x:c>
      <x:c r="H101" s="14" t="str">
        <x:v>Quản lý khai thác cảng/sân bay</x:v>
      </x:c>
      <x:c r="I101" s="14" t="str">
        <x:v>Công trình, chướng ngại và thi công</x:v>
      </x:c>
      <x:c r="J101" s="14" t="str">
        <x:v>Bao phủ chi tiết từng điều đầu tư/xây dựng</x:v>
      </x:c>
      <x:c r="K101" s="14" t="str">
        <x:v>Trực tiếp</x:v>
      </x:c>
      <x:c r="L101" s="14" t="str">
        <x:v>Báo cáo/điều tra/khắc phục</x:v>
      </x:c>
      <x:c r="M101" s="14" t="str">
        <x:v>ANSP</x:v>
      </x:c>
      <x:c r="N101" s="14" t="str">
        <x:v>Xác định hồ sơ, bản vẽ, thiết kế, phương án đầu tư hoặc xử lý công trình theo điều này có tác động đến hoạt động bay/công trình ANS; lập ý kiến chuyên ngành VATM.</x:v>
      </x:c>
      <x:c r="O101" s="14" t="str">
        <x:v>Áp dụng checklist tĩnh không-CNS-ATM-AIS-MET-SAR; yêu cầu bổ sung hồ sơ khi dữ liệu chưa đủ; tổ chức họp kỹ thuật nếu rủi ro cao.</x:v>
      </x:c>
      <x:c r="P101" s="14" t="str">
        <x:v>Đưa yêu cầu ANS vào dự án từ đầu</x:v>
      </x:c>
      <x:c r="Q101" s="14" t="str">
        <x:v>Báo cáo đánh giá tác động; văn bản ý kiến; biên bản họp kỹ thuật</x:v>
      </x:c>
      <x:c r="R101" s="14" t="str">
        <x:v>Quy trình đánh giá ảnh hưởng công trình/dự án; Checklist dự án đầu tư/xây dựng theo NĐ205</x:v>
      </x:c>
      <x:c r="S101" s="14" t="str">
        <x:v>Ban Kế hoạch - Đầu tư; Ban Không lưu; Ban Kỹ thuật - CNS/IT/Môi trường</x:v>
      </x:c>
      <x:c r="T101" s="14" t="str">
        <x:v>Các Công ty Quản lý bay khu vực Bắc/Trung/Nam; Ban Kế hoạch - Đầu tư; Ban Không lưu; Ban Kỹ thuật - CNS/IT/Môi trường</x:v>
      </x:c>
      <x:c r="U101" s="14" t="str">
        <x:v>Bộ Xây dựng, Bộ Quốc phòng, CHK Việt Nam, Cảng vụ, chủ đầu tư</x:v>
      </x:c>
      <x:c r="V101" s="14" t="str">
        <x:v>Theo từng hồ sơ/dự án</x:v>
      </x:c>
      <x:c r="W101" s="14" t="str">
        <x:v>P1</x:v>
      </x:c>
      <x:c r="X101" s="14" t="str">
        <x:v>Cao</x:v>
      </x:c>
      <x:c r="Y101" s="14" t="str">
        <x:v>Chưa bắt đầu</x:v>
      </x:c>
      <x:c r="Z101" s="14" t="str">
        <x:v>Bảo đảm độ phủ từng điều.</x:v>
      </x:c>
      <x:c r="AA101" s="14" t="str"/>
      <x:c r="AB101" s="14" t="str">
        <x:v>cang; san bay; ans; atm; cns</x:v>
      </x:c>
    </x:row>
    <x:row r="102">
      <x:c r="A102" s="14" t="str">
        <x:v>VATM-0101</x:v>
      </x:c>
      <x:c r="B102" s="14" t="str">
        <x:v>101</x:v>
      </x:c>
      <x:c r="C102" s="14" t="str">
        <x:v>Nghị định 205/2026/NĐ-CP</x:v>
      </x:c>
      <x:c r="D102" s="14" t="str">
        <x:v>Ra_soat_sau_ND205_VATM_ANSP_day_du.xlsx</x:v>
      </x:c>
      <x:c r="E102" s="14" t="str">
        <x:v>01_Nhiem_vu_chi_tiet</x:v>
      </x:c>
      <x:c r="F102" s="56" t="n">
        <x:v>102</x:v>
      </x:c>
      <x:c r="G102" s="14" t="str">
        <x:v>Điều 46</x:v>
      </x:c>
      <x:c r="H102" s="14" t="str">
        <x:v>Tài chính - Kế hoạch đầu tư</x:v>
      </x:c>
      <x:c r="I102" s="14" t="str">
        <x:v>Phí, thanh toán, hợp đồng và billing</x:v>
      </x:c>
      <x:c r="J102" s="14" t="str">
        <x:v>Bao phủ chi tiết từng điều kinh doanh tại cảng</x:v>
      </x:c>
      <x:c r="K102" s="14" t="str">
        <x:v>Phối hợp/Gián tiếp</x:v>
      </x:c>
      <x:c r="L102" s="14" t="str">
        <x:v>Báo cáo/điều tra/khắc phục</x:v>
      </x:c>
      <x:c r="M102" s="14" t="str">
        <x:v>ANSP/doanh nghiệp hàng không</x:v>
      </x:c>
      <x:c r="N102" s="14" t="str">
        <x:v>Theo dõi điều kiện, giấy phép, tạm dừng, bảo đảm kinh doanh dịch vụ tại cảng không ảnh hưởng dây chuyền bảo đảm hoạt động bay; đề xuất phối hợp/NOTAM nếu thay đổi tác động khai thác.</x:v>
      </x:c>
      <x:c r="O102" s="14" t="str">
        <x:v>Cập nhật quy chế phối hợp; lập kênh cảnh báo thay đổi dịch vụ; yêu cầu đánh giá ảnh hưởng nếu có tác động đến sân đỗ, phương tiện, thiết bị, dữ liệu bay.</x:v>
      </x:c>
      <x:c r="P102" s="14" t="str">
        <x:v>Dịch vụ tại cảng không làm giảm an toàn, an ninh, chất lượng ANS</x:v>
      </x:c>
      <x:c r="Q102" s="14" t="str">
        <x:v>Văn bản phối hợp; biên bản họp; báo cáo ảnh hưởng khai thác; NOTAM nếu có</x:v>
      </x:c>
      <x:c r="R102" s="14" t="str">
        <x:v>Quy trình phối hợp dịch vụ tại cảng; Phiếu rà soát ảnh hưởng dịch vụ tại cảng đến ANS</x:v>
      </x:c>
      <x:c r="S102" s="14" t="str">
        <x:v>Ban Tài chính; Văn phòng - Pháp chế; Ban Không lưu; Các Công ty Quản lý bay khu vực Bắc/Trung/Nam</x:v>
      </x:c>
      <x:c r="T102" s="14" t="str">
        <x:v>Ban Tài chính; Ban Kế hoạch - Đầu tư</x:v>
      </x:c>
      <x:c r="U102" s="14" t="str">
        <x:v>CHK Việt Nam, Cảng vụ, ACV, doanh nghiệp dịch vụ, hãng bay</x:v>
      </x:c>
      <x:c r="V102" s="14" t="str">
        <x:v>Khi cấp phép/thay đổi/tạm dừng/dừng dịch vụ</x:v>
      </x:c>
      <x:c r="W102" s="14" t="str">
        <x:v>P1</x:v>
      </x:c>
      <x:c r="X102" s="14" t="str">
        <x:v>Trung bình/Cao</x:v>
      </x:c>
      <x:c r="Y102" s="14" t="str">
        <x:v>Chưa bắt đầu</x:v>
      </x:c>
      <x:c r="Z102" s="14" t="str">
        <x:v>Có thể là nhiệm vụ gián tiếp nhưng cần kiểm soát.</x:v>
      </x:c>
      <x:c r="AA102" s="14" t="str"/>
      <x:c r="AB102" s="14" t="str">
        <x:v>tai chinh; cang; giay phep; phap che</x:v>
      </x:c>
    </x:row>
    <x:row r="103">
      <x:c r="A103" s="14" t="str">
        <x:v>VATM-0102</x:v>
      </x:c>
      <x:c r="B103" s="14" t="str">
        <x:v>102</x:v>
      </x:c>
      <x:c r="C103" s="14" t="str">
        <x:v>Nghị định 205/2026/NĐ-CP</x:v>
      </x:c>
      <x:c r="D103" s="14" t="str">
        <x:v>Ra_soat_sau_ND205_VATM_ANSP_day_du.xlsx</x:v>
      </x:c>
      <x:c r="E103" s="14" t="str">
        <x:v>01_Nhiem_vu_chi_tiet</x:v>
      </x:c>
      <x:c r="F103" s="56" t="n">
        <x:v>103</x:v>
      </x:c>
      <x:c r="G103" s="14" t="str">
        <x:v>Điều 47</x:v>
      </x:c>
      <x:c r="H103" s="14" t="str">
        <x:v>Tài chính - Kế hoạch đầu tư</x:v>
      </x:c>
      <x:c r="I103" s="14" t="str">
        <x:v>Phí, thanh toán, hợp đồng và billing</x:v>
      </x:c>
      <x:c r="J103" s="14" t="str">
        <x:v>Bao phủ chi tiết từng điều kinh doanh tại cảng</x:v>
      </x:c>
      <x:c r="K103" s="14" t="str">
        <x:v>Phối hợp/Gián tiếp</x:v>
      </x:c>
      <x:c r="L103" s="14" t="str">
        <x:v>Báo cáo/điều tra/khắc phục</x:v>
      </x:c>
      <x:c r="M103" s="14" t="str">
        <x:v>ANSP/doanh nghiệp hàng không</x:v>
      </x:c>
      <x:c r="N103" s="14" t="str">
        <x:v>Theo dõi điều kiện, giấy phép, tạm dừng, bảo đảm kinh doanh dịch vụ tại cảng không ảnh hưởng dây chuyền bảo đảm hoạt động bay; đề xuất phối hợp/NOTAM nếu thay đổi tác động khai thác.</x:v>
      </x:c>
      <x:c r="O103" s="14" t="str">
        <x:v>Cập nhật quy chế phối hợp; lập kênh cảnh báo thay đổi dịch vụ; yêu cầu đánh giá ảnh hưởng nếu có tác động đến sân đỗ, phương tiện, thiết bị, dữ liệu bay.</x:v>
      </x:c>
      <x:c r="P103" s="14" t="str">
        <x:v>Dịch vụ tại cảng không làm giảm an toàn, an ninh, chất lượng ANS</x:v>
      </x:c>
      <x:c r="Q103" s="14" t="str">
        <x:v>Văn bản phối hợp; biên bản họp; báo cáo ảnh hưởng khai thác; NOTAM nếu có</x:v>
      </x:c>
      <x:c r="R103" s="14" t="str">
        <x:v>Quy trình phối hợp dịch vụ tại cảng; Phiếu rà soát ảnh hưởng dịch vụ tại cảng đến ANS</x:v>
      </x:c>
      <x:c r="S103" s="14" t="str">
        <x:v>Ban Tài chính; Văn phòng - Pháp chế; Ban Không lưu; Các Công ty Quản lý bay khu vực Bắc/Trung/Nam</x:v>
      </x:c>
      <x:c r="T103" s="14" t="str">
        <x:v>Ban Tài chính; Ban Kế hoạch - Đầu tư</x:v>
      </x:c>
      <x:c r="U103" s="14" t="str">
        <x:v>CHK Việt Nam, Cảng vụ, ACV, doanh nghiệp dịch vụ, hãng bay</x:v>
      </x:c>
      <x:c r="V103" s="14" t="str">
        <x:v>Khi cấp phép/thay đổi/tạm dừng/dừng dịch vụ</x:v>
      </x:c>
      <x:c r="W103" s="14" t="str">
        <x:v>P1</x:v>
      </x:c>
      <x:c r="X103" s="14" t="str">
        <x:v>Trung bình/Cao</x:v>
      </x:c>
      <x:c r="Y103" s="14" t="str">
        <x:v>Chưa bắt đầu</x:v>
      </x:c>
      <x:c r="Z103" s="14" t="str">
        <x:v>Có thể là nhiệm vụ gián tiếp nhưng cần kiểm soát.</x:v>
      </x:c>
      <x:c r="AA103" s="14" t="str"/>
      <x:c r="AB103" s="14" t="str">
        <x:v>tai chinh; cang; giay phep; phap che</x:v>
      </x:c>
    </x:row>
    <x:row r="104">
      <x:c r="A104" s="14" t="str">
        <x:v>VATM-0103</x:v>
      </x:c>
      <x:c r="B104" s="14" t="str">
        <x:v>103</x:v>
      </x:c>
      <x:c r="C104" s="14" t="str">
        <x:v>Nghị định 205/2026/NĐ-CP</x:v>
      </x:c>
      <x:c r="D104" s="14" t="str">
        <x:v>Ra_soat_sau_ND205_VATM_ANSP_day_du.xlsx</x:v>
      </x:c>
      <x:c r="E104" s="14" t="str">
        <x:v>01_Nhiem_vu_chi_tiet</x:v>
      </x:c>
      <x:c r="F104" s="56" t="n">
        <x:v>104</x:v>
      </x:c>
      <x:c r="G104" s="14" t="str">
        <x:v>Điều 48</x:v>
      </x:c>
      <x:c r="H104" s="14" t="str">
        <x:v>Tài chính - Kế hoạch đầu tư</x:v>
      </x:c>
      <x:c r="I104" s="14" t="str">
        <x:v>Phí, thanh toán, hợp đồng và billing</x:v>
      </x:c>
      <x:c r="J104" s="14" t="str">
        <x:v>Bao phủ chi tiết từng điều kinh doanh tại cảng</x:v>
      </x:c>
      <x:c r="K104" s="14" t="str">
        <x:v>Phối hợp/Gián tiếp</x:v>
      </x:c>
      <x:c r="L104" s="14" t="str">
        <x:v>Báo cáo/điều tra/khắc phục</x:v>
      </x:c>
      <x:c r="M104" s="14" t="str">
        <x:v>ANSP/doanh nghiệp hàng không</x:v>
      </x:c>
      <x:c r="N104" s="14" t="str">
        <x:v>Theo dõi điều kiện, giấy phép, tạm dừng, bảo đảm kinh doanh dịch vụ tại cảng không ảnh hưởng dây chuyền bảo đảm hoạt động bay; đề xuất phối hợp/NOTAM nếu thay đổi tác động khai thác.</x:v>
      </x:c>
      <x:c r="O104" s="14" t="str">
        <x:v>Cập nhật quy chế phối hợp; lập kênh cảnh báo thay đổi dịch vụ; yêu cầu đánh giá ảnh hưởng nếu có tác động đến sân đỗ, phương tiện, thiết bị, dữ liệu bay.</x:v>
      </x:c>
      <x:c r="P104" s="14" t="str">
        <x:v>Dịch vụ tại cảng không làm giảm an toàn, an ninh, chất lượng ANS</x:v>
      </x:c>
      <x:c r="Q104" s="14" t="str">
        <x:v>Văn bản phối hợp; biên bản họp; báo cáo ảnh hưởng khai thác; NOTAM nếu có</x:v>
      </x:c>
      <x:c r="R104" s="14" t="str">
        <x:v>Quy trình phối hợp dịch vụ tại cảng; Phiếu rà soát ảnh hưởng dịch vụ tại cảng đến ANS</x:v>
      </x:c>
      <x:c r="S104" s="14" t="str">
        <x:v>Ban Tài chính; Văn phòng - Pháp chế; Ban Không lưu; Các Công ty Quản lý bay khu vực Bắc/Trung/Nam</x:v>
      </x:c>
      <x:c r="T104" s="14" t="str">
        <x:v>Ban Tài chính; Ban Kế hoạch - Đầu tư</x:v>
      </x:c>
      <x:c r="U104" s="14" t="str">
        <x:v>CHK Việt Nam, Cảng vụ, ACV, doanh nghiệp dịch vụ, hãng bay</x:v>
      </x:c>
      <x:c r="V104" s="14" t="str">
        <x:v>Khi cấp phép/thay đổi/tạm dừng/dừng dịch vụ</x:v>
      </x:c>
      <x:c r="W104" s="14" t="str">
        <x:v>P1</x:v>
      </x:c>
      <x:c r="X104" s="14" t="str">
        <x:v>Trung bình/Cao</x:v>
      </x:c>
      <x:c r="Y104" s="14" t="str">
        <x:v>Chưa bắt đầu</x:v>
      </x:c>
      <x:c r="Z104" s="14" t="str">
        <x:v>Có thể là nhiệm vụ gián tiếp nhưng cần kiểm soát.</x:v>
      </x:c>
      <x:c r="AA104" s="14" t="str"/>
      <x:c r="AB104" s="14" t="str">
        <x:v>tai chinh; cang; giay phep; phap che</x:v>
      </x:c>
    </x:row>
    <x:row r="105">
      <x:c r="A105" s="14" t="str">
        <x:v>VATM-0104</x:v>
      </x:c>
      <x:c r="B105" s="14" t="str">
        <x:v>104</x:v>
      </x:c>
      <x:c r="C105" s="14" t="str">
        <x:v>Nghị định 205/2026/NĐ-CP</x:v>
      </x:c>
      <x:c r="D105" s="14" t="str">
        <x:v>Ra_soat_sau_ND205_VATM_ANSP_day_du.xlsx</x:v>
      </x:c>
      <x:c r="E105" s="14" t="str">
        <x:v>01_Nhiem_vu_chi_tiet</x:v>
      </x:c>
      <x:c r="F105" s="56" t="n">
        <x:v>105</x:v>
      </x:c>
      <x:c r="G105" s="14" t="str">
        <x:v>Điều 49</x:v>
      </x:c>
      <x:c r="H105" s="14" t="str">
        <x:v>Tài chính - Kế hoạch đầu tư</x:v>
      </x:c>
      <x:c r="I105" s="14" t="str">
        <x:v>Phí, thanh toán, hợp đồng và billing</x:v>
      </x:c>
      <x:c r="J105" s="14" t="str">
        <x:v>Bao phủ chi tiết từng điều kinh doanh tại cảng</x:v>
      </x:c>
      <x:c r="K105" s="14" t="str">
        <x:v>Phối hợp/Gián tiếp</x:v>
      </x:c>
      <x:c r="L105" s="14" t="str">
        <x:v>Báo cáo/điều tra/khắc phục</x:v>
      </x:c>
      <x:c r="M105" s="14" t="str">
        <x:v>ANSP/doanh nghiệp hàng không</x:v>
      </x:c>
      <x:c r="N105" s="14" t="str">
        <x:v>Theo dõi điều kiện, giấy phép, tạm dừng, bảo đảm kinh doanh dịch vụ tại cảng không ảnh hưởng dây chuyền bảo đảm hoạt động bay; đề xuất phối hợp/NOTAM nếu thay đổi tác động khai thác.</x:v>
      </x:c>
      <x:c r="O105" s="14" t="str">
        <x:v>Cập nhật quy chế phối hợp; lập kênh cảnh báo thay đổi dịch vụ; yêu cầu đánh giá ảnh hưởng nếu có tác động đến sân đỗ, phương tiện, thiết bị, dữ liệu bay.</x:v>
      </x:c>
      <x:c r="P105" s="14" t="str">
        <x:v>Dịch vụ tại cảng không làm giảm an toàn, an ninh, chất lượng ANS</x:v>
      </x:c>
      <x:c r="Q105" s="14" t="str">
        <x:v>Văn bản phối hợp; biên bản họp; báo cáo ảnh hưởng khai thác; NOTAM nếu có</x:v>
      </x:c>
      <x:c r="R105" s="14" t="str">
        <x:v>Quy trình phối hợp dịch vụ tại cảng; Phiếu rà soát ảnh hưởng dịch vụ tại cảng đến ANS</x:v>
      </x:c>
      <x:c r="S105" s="14" t="str">
        <x:v>Ban Tài chính; Văn phòng - Pháp chế; Ban Không lưu; Các Công ty Quản lý bay khu vực Bắc/Trung/Nam</x:v>
      </x:c>
      <x:c r="T105" s="14" t="str">
        <x:v>Ban Tài chính; Ban Kế hoạch - Đầu tư</x:v>
      </x:c>
      <x:c r="U105" s="14" t="str">
        <x:v>CHK Việt Nam, Cảng vụ, ACV, doanh nghiệp dịch vụ, hãng bay</x:v>
      </x:c>
      <x:c r="V105" s="14" t="str">
        <x:v>Khi cấp phép/thay đổi/tạm dừng/dừng dịch vụ</x:v>
      </x:c>
      <x:c r="W105" s="14" t="str">
        <x:v>P1</x:v>
      </x:c>
      <x:c r="X105" s="14" t="str">
        <x:v>Trung bình/Cao</x:v>
      </x:c>
      <x:c r="Y105" s="14" t="str">
        <x:v>Chưa bắt đầu</x:v>
      </x:c>
      <x:c r="Z105" s="14" t="str">
        <x:v>Có thể là nhiệm vụ gián tiếp nhưng cần kiểm soát.</x:v>
      </x:c>
      <x:c r="AA105" s="14" t="str"/>
      <x:c r="AB105" s="14" t="str">
        <x:v>tai chinh; cang; giay phep; phap che</x:v>
      </x:c>
    </x:row>
    <x:row r="106">
      <x:c r="A106" s="14" t="str">
        <x:v>VATM-0105</x:v>
      </x:c>
      <x:c r="B106" s="14" t="str">
        <x:v>105</x:v>
      </x:c>
      <x:c r="C106" s="14" t="str">
        <x:v>Nghị định 205/2026/NĐ-CP</x:v>
      </x:c>
      <x:c r="D106" s="14" t="str">
        <x:v>Ra_soat_sau_ND205_VATM_ANSP_day_du.xlsx</x:v>
      </x:c>
      <x:c r="E106" s="14" t="str">
        <x:v>01_Nhiem_vu_chi_tiet</x:v>
      </x:c>
      <x:c r="F106" s="56" t="n">
        <x:v>106</x:v>
      </x:c>
      <x:c r="G106" s="14" t="str">
        <x:v>Điều 50</x:v>
      </x:c>
      <x:c r="H106" s="14" t="str">
        <x:v>Tài chính - Kế hoạch đầu tư</x:v>
      </x:c>
      <x:c r="I106" s="14" t="str">
        <x:v>Phí, thanh toán, hợp đồng và billing</x:v>
      </x:c>
      <x:c r="J106" s="14" t="str">
        <x:v>Bao phủ chi tiết từng điều kinh doanh tại cảng</x:v>
      </x:c>
      <x:c r="K106" s="14" t="str">
        <x:v>Phối hợp/Gián tiếp</x:v>
      </x:c>
      <x:c r="L106" s="14" t="str">
        <x:v>Báo cáo/điều tra/khắc phục</x:v>
      </x:c>
      <x:c r="M106" s="14" t="str">
        <x:v>ANSP/doanh nghiệp hàng không</x:v>
      </x:c>
      <x:c r="N106" s="14" t="str">
        <x:v>Theo dõi điều kiện, giấy phép, tạm dừng, bảo đảm kinh doanh dịch vụ tại cảng không ảnh hưởng dây chuyền bảo đảm hoạt động bay; đề xuất phối hợp/NOTAM nếu thay đổi tác động khai thác.</x:v>
      </x:c>
      <x:c r="O106" s="14" t="str">
        <x:v>Cập nhật quy chế phối hợp; lập kênh cảnh báo thay đổi dịch vụ; yêu cầu đánh giá ảnh hưởng nếu có tác động đến sân đỗ, phương tiện, thiết bị, dữ liệu bay.</x:v>
      </x:c>
      <x:c r="P106" s="14" t="str">
        <x:v>Dịch vụ tại cảng không làm giảm an toàn, an ninh, chất lượng ANS</x:v>
      </x:c>
      <x:c r="Q106" s="14" t="str">
        <x:v>Văn bản phối hợp; biên bản họp; báo cáo ảnh hưởng khai thác; NOTAM nếu có</x:v>
      </x:c>
      <x:c r="R106" s="14" t="str">
        <x:v>Quy trình phối hợp dịch vụ tại cảng; Phiếu rà soát ảnh hưởng dịch vụ tại cảng đến ANS</x:v>
      </x:c>
      <x:c r="S106" s="14" t="str">
        <x:v>Ban Tài chính; Văn phòng - Pháp chế; Ban Không lưu; Các Công ty Quản lý bay khu vực Bắc/Trung/Nam</x:v>
      </x:c>
      <x:c r="T106" s="14" t="str">
        <x:v>Ban Tài chính; Ban Kế hoạch - Đầu tư</x:v>
      </x:c>
      <x:c r="U106" s="14" t="str">
        <x:v>CHK Việt Nam, Cảng vụ, ACV, doanh nghiệp dịch vụ, hãng bay</x:v>
      </x:c>
      <x:c r="V106" s="14" t="str">
        <x:v>Khi cấp phép/thay đổi/tạm dừng/dừng dịch vụ</x:v>
      </x:c>
      <x:c r="W106" s="14" t="str">
        <x:v>P1</x:v>
      </x:c>
      <x:c r="X106" s="14" t="str">
        <x:v>Trung bình/Cao</x:v>
      </x:c>
      <x:c r="Y106" s="14" t="str">
        <x:v>Chưa bắt đầu</x:v>
      </x:c>
      <x:c r="Z106" s="14" t="str">
        <x:v>Có thể là nhiệm vụ gián tiếp nhưng cần kiểm soát.</x:v>
      </x:c>
      <x:c r="AA106" s="14" t="str"/>
      <x:c r="AB106" s="14" t="str">
        <x:v>tai chinh; cang; giay phep; phap che</x:v>
      </x:c>
    </x:row>
    <x:row r="107">
      <x:c r="A107" s="14" t="str">
        <x:v>VATM-0106</x:v>
      </x:c>
      <x:c r="B107" s="14" t="str">
        <x:v>106</x:v>
      </x:c>
      <x:c r="C107" s="14" t="str">
        <x:v>Nghị định 205/2026/NĐ-CP</x:v>
      </x:c>
      <x:c r="D107" s="14" t="str">
        <x:v>Ra_soat_sau_ND205_VATM_ANSP_day_du.xlsx</x:v>
      </x:c>
      <x:c r="E107" s="14" t="str">
        <x:v>01_Nhiem_vu_chi_tiet</x:v>
      </x:c>
      <x:c r="F107" s="56" t="n">
        <x:v>107</x:v>
      </x:c>
      <x:c r="G107" s="14" t="str">
        <x:v>Điều 51</x:v>
      </x:c>
      <x:c r="H107" s="14" t="str">
        <x:v>Tài chính - Kế hoạch đầu tư</x:v>
      </x:c>
      <x:c r="I107" s="14" t="str">
        <x:v>Phí, thanh toán, hợp đồng và billing</x:v>
      </x:c>
      <x:c r="J107" s="14" t="str">
        <x:v>Bao phủ chi tiết từng điều kinh doanh tại cảng</x:v>
      </x:c>
      <x:c r="K107" s="14" t="str">
        <x:v>Phối hợp/Gián tiếp</x:v>
      </x:c>
      <x:c r="L107" s="14" t="str">
        <x:v>Báo cáo/điều tra/khắc phục</x:v>
      </x:c>
      <x:c r="M107" s="14" t="str">
        <x:v>ANSP/doanh nghiệp hàng không</x:v>
      </x:c>
      <x:c r="N107" s="14" t="str">
        <x:v>Theo dõi điều kiện, giấy phép, tạm dừng, bảo đảm kinh doanh dịch vụ tại cảng không ảnh hưởng dây chuyền bảo đảm hoạt động bay; đề xuất phối hợp/NOTAM nếu thay đổi tác động khai thác.</x:v>
      </x:c>
      <x:c r="O107" s="14" t="str">
        <x:v>Cập nhật quy chế phối hợp; lập kênh cảnh báo thay đổi dịch vụ; yêu cầu đánh giá ảnh hưởng nếu có tác động đến sân đỗ, phương tiện, thiết bị, dữ liệu bay.</x:v>
      </x:c>
      <x:c r="P107" s="14" t="str">
        <x:v>Dịch vụ tại cảng không làm giảm an toàn, an ninh, chất lượng ANS</x:v>
      </x:c>
      <x:c r="Q107" s="14" t="str">
        <x:v>Văn bản phối hợp; biên bản họp; báo cáo ảnh hưởng khai thác; NOTAM nếu có</x:v>
      </x:c>
      <x:c r="R107" s="14" t="str">
        <x:v>Quy trình phối hợp dịch vụ tại cảng; Phiếu rà soát ảnh hưởng dịch vụ tại cảng đến ANS</x:v>
      </x:c>
      <x:c r="S107" s="14" t="str">
        <x:v>Ban Tài chính; Văn phòng - Pháp chế; Ban Không lưu; Các Công ty Quản lý bay khu vực Bắc/Trung/Nam</x:v>
      </x:c>
      <x:c r="T107" s="14" t="str">
        <x:v>Ban Tài chính; Ban Kế hoạch - Đầu tư</x:v>
      </x:c>
      <x:c r="U107" s="14" t="str">
        <x:v>CHK Việt Nam, Cảng vụ, ACV, doanh nghiệp dịch vụ, hãng bay</x:v>
      </x:c>
      <x:c r="V107" s="14" t="str">
        <x:v>Khi cấp phép/thay đổi/tạm dừng/dừng dịch vụ</x:v>
      </x:c>
      <x:c r="W107" s="14" t="str">
        <x:v>P1</x:v>
      </x:c>
      <x:c r="X107" s="14" t="str">
        <x:v>Trung bình/Cao</x:v>
      </x:c>
      <x:c r="Y107" s="14" t="str">
        <x:v>Chưa bắt đầu</x:v>
      </x:c>
      <x:c r="Z107" s="14" t="str">
        <x:v>Có thể là nhiệm vụ gián tiếp nhưng cần kiểm soát.</x:v>
      </x:c>
      <x:c r="AA107" s="14" t="str"/>
      <x:c r="AB107" s="14" t="str">
        <x:v>tai chinh; cang; giay phep; phap che</x:v>
      </x:c>
    </x:row>
    <x:row r="108">
      <x:c r="A108" s="14" t="str">
        <x:v>VATM-0107</x:v>
      </x:c>
      <x:c r="B108" s="14" t="str">
        <x:v>107</x:v>
      </x:c>
      <x:c r="C108" s="14" t="str">
        <x:v>Nghị định 205/2026/NĐ-CP</x:v>
      </x:c>
      <x:c r="D108" s="14" t="str">
        <x:v>Ra_soat_sau_ND205_VATM_ANSP_day_du.xlsx</x:v>
      </x:c>
      <x:c r="E108" s="14" t="str">
        <x:v>01_Nhiem_vu_chi_tiet</x:v>
      </x:c>
      <x:c r="F108" s="56" t="n">
        <x:v>108</x:v>
      </x:c>
      <x:c r="G108" s="14" t="str">
        <x:v>Điều 52</x:v>
      </x:c>
      <x:c r="H108" s="14" t="str">
        <x:v>Tài chính - Kế hoạch đầu tư</x:v>
      </x:c>
      <x:c r="I108" s="14" t="str">
        <x:v>Phí, thanh toán, hợp đồng và billing</x:v>
      </x:c>
      <x:c r="J108" s="14" t="str">
        <x:v>Bao phủ chi tiết từng điều kinh doanh tại cảng</x:v>
      </x:c>
      <x:c r="K108" s="14" t="str">
        <x:v>Phối hợp/Gián tiếp</x:v>
      </x:c>
      <x:c r="L108" s="14" t="str">
        <x:v>Báo cáo/điều tra/khắc phục</x:v>
      </x:c>
      <x:c r="M108" s="14" t="str">
        <x:v>ANSP/doanh nghiệp hàng không</x:v>
      </x:c>
      <x:c r="N108" s="14" t="str">
        <x:v>Theo dõi điều kiện, giấy phép, tạm dừng, bảo đảm kinh doanh dịch vụ tại cảng không ảnh hưởng dây chuyền bảo đảm hoạt động bay; đề xuất phối hợp/NOTAM nếu thay đổi tác động khai thác.</x:v>
      </x:c>
      <x:c r="O108" s="14" t="str">
        <x:v>Cập nhật quy chế phối hợp; lập kênh cảnh báo thay đổi dịch vụ; yêu cầu đánh giá ảnh hưởng nếu có tác động đến sân đỗ, phương tiện, thiết bị, dữ liệu bay.</x:v>
      </x:c>
      <x:c r="P108" s="14" t="str">
        <x:v>Dịch vụ tại cảng không làm giảm an toàn, an ninh, chất lượng ANS</x:v>
      </x:c>
      <x:c r="Q108" s="14" t="str">
        <x:v>Văn bản phối hợp; biên bản họp; báo cáo ảnh hưởng khai thác; NOTAM nếu có</x:v>
      </x:c>
      <x:c r="R108" s="14" t="str">
        <x:v>Quy trình phối hợp dịch vụ tại cảng; Phiếu rà soát ảnh hưởng dịch vụ tại cảng đến ANS</x:v>
      </x:c>
      <x:c r="S108" s="14" t="str">
        <x:v>Ban Tài chính; Văn phòng - Pháp chế; Ban Không lưu; Các Công ty Quản lý bay khu vực Bắc/Trung/Nam</x:v>
      </x:c>
      <x:c r="T108" s="14" t="str">
        <x:v>Ban Tài chính; Ban Kế hoạch - Đầu tư</x:v>
      </x:c>
      <x:c r="U108" s="14" t="str">
        <x:v>CHK Việt Nam, Cảng vụ, ACV, doanh nghiệp dịch vụ, hãng bay</x:v>
      </x:c>
      <x:c r="V108" s="14" t="str">
        <x:v>Khi cấp phép/thay đổi/tạm dừng/dừng dịch vụ</x:v>
      </x:c>
      <x:c r="W108" s="14" t="str">
        <x:v>P1</x:v>
      </x:c>
      <x:c r="X108" s="14" t="str">
        <x:v>Trung bình/Cao</x:v>
      </x:c>
      <x:c r="Y108" s="14" t="str">
        <x:v>Chưa bắt đầu</x:v>
      </x:c>
      <x:c r="Z108" s="14" t="str">
        <x:v>Có thể là nhiệm vụ gián tiếp nhưng cần kiểm soát.</x:v>
      </x:c>
      <x:c r="AA108" s="14" t="str"/>
      <x:c r="AB108" s="14" t="str">
        <x:v>tai chinh; cang; giay phep; phap che</x:v>
      </x:c>
    </x:row>
    <x:row r="109">
      <x:c r="A109" s="14" t="str">
        <x:v>VATM-0108</x:v>
      </x:c>
      <x:c r="B109" s="14" t="str">
        <x:v>108</x:v>
      </x:c>
      <x:c r="C109" s="14" t="str">
        <x:v>Nghị định 205/2026/NĐ-CP</x:v>
      </x:c>
      <x:c r="D109" s="14" t="str">
        <x:v>Ra_soat_sau_ND205_VATM_ANSP_day_du.xlsx</x:v>
      </x:c>
      <x:c r="E109" s="14" t="str">
        <x:v>01_Nhiem_vu_chi_tiet</x:v>
      </x:c>
      <x:c r="F109" s="56" t="n">
        <x:v>109</x:v>
      </x:c>
      <x:c r="G109" s="14" t="str">
        <x:v>Điều 53</x:v>
      </x:c>
      <x:c r="H109" s="14" t="str">
        <x:v>Tài chính - Kế hoạch đầu tư</x:v>
      </x:c>
      <x:c r="I109" s="14" t="str">
        <x:v>Phí, thanh toán, hợp đồng và billing</x:v>
      </x:c>
      <x:c r="J109" s="14" t="str">
        <x:v>Bao phủ chi tiết từng điều kinh doanh tại cảng</x:v>
      </x:c>
      <x:c r="K109" s="14" t="str">
        <x:v>Phối hợp/Gián tiếp</x:v>
      </x:c>
      <x:c r="L109" s="14" t="str">
        <x:v>Báo cáo/điều tra/khắc phục</x:v>
      </x:c>
      <x:c r="M109" s="14" t="str">
        <x:v>ANSP/doanh nghiệp hàng không</x:v>
      </x:c>
      <x:c r="N109" s="14" t="str">
        <x:v>Theo dõi điều kiện, giấy phép, tạm dừng, bảo đảm kinh doanh dịch vụ tại cảng không ảnh hưởng dây chuyền bảo đảm hoạt động bay; đề xuất phối hợp/NOTAM nếu thay đổi tác động khai thác.</x:v>
      </x:c>
      <x:c r="O109" s="14" t="str">
        <x:v>Cập nhật quy chế phối hợp; lập kênh cảnh báo thay đổi dịch vụ; yêu cầu đánh giá ảnh hưởng nếu có tác động đến sân đỗ, phương tiện, thiết bị, dữ liệu bay.</x:v>
      </x:c>
      <x:c r="P109" s="14" t="str">
        <x:v>Dịch vụ tại cảng không làm giảm an toàn, an ninh, chất lượng ANS</x:v>
      </x:c>
      <x:c r="Q109" s="14" t="str">
        <x:v>Văn bản phối hợp; biên bản họp; báo cáo ảnh hưởng khai thác; NOTAM nếu có</x:v>
      </x:c>
      <x:c r="R109" s="14" t="str">
        <x:v>Quy trình phối hợp dịch vụ tại cảng; Phiếu rà soát ảnh hưởng dịch vụ tại cảng đến ANS</x:v>
      </x:c>
      <x:c r="S109" s="14" t="str">
        <x:v>Ban Tài chính; Văn phòng - Pháp chế; Ban Không lưu; Các Công ty Quản lý bay khu vực Bắc/Trung/Nam</x:v>
      </x:c>
      <x:c r="T109" s="14" t="str">
        <x:v>Ban Tài chính; Ban Kế hoạch - Đầu tư</x:v>
      </x:c>
      <x:c r="U109" s="14" t="str">
        <x:v>CHK Việt Nam, Cảng vụ, ACV, doanh nghiệp dịch vụ, hãng bay</x:v>
      </x:c>
      <x:c r="V109" s="14" t="str">
        <x:v>Khi cấp phép/thay đổi/tạm dừng/dừng dịch vụ</x:v>
      </x:c>
      <x:c r="W109" s="14" t="str">
        <x:v>P1</x:v>
      </x:c>
      <x:c r="X109" s="14" t="str">
        <x:v>Trung bình/Cao</x:v>
      </x:c>
      <x:c r="Y109" s="14" t="str">
        <x:v>Chưa bắt đầu</x:v>
      </x:c>
      <x:c r="Z109" s="14" t="str">
        <x:v>Có thể là nhiệm vụ gián tiếp nhưng cần kiểm soát.</x:v>
      </x:c>
      <x:c r="AA109" s="14" t="str"/>
      <x:c r="AB109" s="14" t="str">
        <x:v>tai chinh; cang; giay phep; phap che</x:v>
      </x:c>
    </x:row>
    <x:row r="110">
      <x:c r="A110" s="14" t="str">
        <x:v>VATM-0109</x:v>
      </x:c>
      <x:c r="B110" s="14" t="str">
        <x:v>109</x:v>
      </x:c>
      <x:c r="C110" s="14" t="str">
        <x:v>Nghị định 205/2026/NĐ-CP</x:v>
      </x:c>
      <x:c r="D110" s="14" t="str">
        <x:v>Ra_soat_sau_ND205_VATM_ANSP_day_du.xlsx</x:v>
      </x:c>
      <x:c r="E110" s="14" t="str">
        <x:v>01_Nhiem_vu_chi_tiet</x:v>
      </x:c>
      <x:c r="F110" s="56" t="n">
        <x:v>110</x:v>
      </x:c>
      <x:c r="G110" s="14" t="str">
        <x:v>Điều 54</x:v>
      </x:c>
      <x:c r="H110" s="14" t="str">
        <x:v>Tài chính - Kế hoạch đầu tư</x:v>
      </x:c>
      <x:c r="I110" s="14" t="str">
        <x:v>Phí, thanh toán, hợp đồng và billing</x:v>
      </x:c>
      <x:c r="J110" s="14" t="str">
        <x:v>Bao phủ chi tiết từng điều kinh doanh tại cảng</x:v>
      </x:c>
      <x:c r="K110" s="14" t="str">
        <x:v>Phối hợp/Gián tiếp</x:v>
      </x:c>
      <x:c r="L110" s="14" t="str">
        <x:v>Báo cáo/điều tra/khắc phục</x:v>
      </x:c>
      <x:c r="M110" s="14" t="str">
        <x:v>ANSP/doanh nghiệp hàng không</x:v>
      </x:c>
      <x:c r="N110" s="14" t="str">
        <x:v>Theo dõi điều kiện, giấy phép, tạm dừng, bảo đảm kinh doanh dịch vụ tại cảng không ảnh hưởng dây chuyền bảo đảm hoạt động bay; đề xuất phối hợp/NOTAM nếu thay đổi tác động khai thác.</x:v>
      </x:c>
      <x:c r="O110" s="14" t="str">
        <x:v>Cập nhật quy chế phối hợp; lập kênh cảnh báo thay đổi dịch vụ; yêu cầu đánh giá ảnh hưởng nếu có tác động đến sân đỗ, phương tiện, thiết bị, dữ liệu bay.</x:v>
      </x:c>
      <x:c r="P110" s="14" t="str">
        <x:v>Dịch vụ tại cảng không làm giảm an toàn, an ninh, chất lượng ANS</x:v>
      </x:c>
      <x:c r="Q110" s="14" t="str">
        <x:v>Văn bản phối hợp; biên bản họp; báo cáo ảnh hưởng khai thác; NOTAM nếu có</x:v>
      </x:c>
      <x:c r="R110" s="14" t="str">
        <x:v>Quy trình phối hợp dịch vụ tại cảng; Phiếu rà soát ảnh hưởng dịch vụ tại cảng đến ANS</x:v>
      </x:c>
      <x:c r="S110" s="14" t="str">
        <x:v>Ban Tài chính; Văn phòng - Pháp chế; Ban Không lưu; Các Công ty Quản lý bay khu vực Bắc/Trung/Nam</x:v>
      </x:c>
      <x:c r="T110" s="14" t="str">
        <x:v>Ban Tài chính; Ban Kế hoạch - Đầu tư</x:v>
      </x:c>
      <x:c r="U110" s="14" t="str">
        <x:v>CHK Việt Nam, Cảng vụ, ACV, doanh nghiệp dịch vụ, hãng bay</x:v>
      </x:c>
      <x:c r="V110" s="14" t="str">
        <x:v>Khi cấp phép/thay đổi/tạm dừng/dừng dịch vụ</x:v>
      </x:c>
      <x:c r="W110" s="14" t="str">
        <x:v>P1</x:v>
      </x:c>
      <x:c r="X110" s="14" t="str">
        <x:v>Trung bình/Cao</x:v>
      </x:c>
      <x:c r="Y110" s="14" t="str">
        <x:v>Chưa bắt đầu</x:v>
      </x:c>
      <x:c r="Z110" s="14" t="str">
        <x:v>Có thể là nhiệm vụ gián tiếp nhưng cần kiểm soát.</x:v>
      </x:c>
      <x:c r="AA110" s="14" t="str"/>
      <x:c r="AB110" s="14" t="str">
        <x:v>tai chinh; cang; giay phep; phap che</x:v>
      </x:c>
    </x:row>
    <x:row r="111">
      <x:c r="A111" s="14" t="str">
        <x:v>VATM-0110</x:v>
      </x:c>
      <x:c r="B111" s="14" t="str">
        <x:v>110</x:v>
      </x:c>
      <x:c r="C111" s="14" t="str">
        <x:v>Nghị định 205/2026/NĐ-CP</x:v>
      </x:c>
      <x:c r="D111" s="14" t="str">
        <x:v>Ra_soat_sau_ND205_VATM_ANSP_day_du.xlsx</x:v>
      </x:c>
      <x:c r="E111" s="14" t="str">
        <x:v>01_Nhiem_vu_chi_tiet</x:v>
      </x:c>
      <x:c r="F111" s="56" t="n">
        <x:v>111</x:v>
      </x:c>
      <x:c r="G111" s="14" t="str">
        <x:v>Điều 55</x:v>
      </x:c>
      <x:c r="H111" s="14" t="str">
        <x:v>Tài chính - Kế hoạch đầu tư</x:v>
      </x:c>
      <x:c r="I111" s="14" t="str">
        <x:v>Phí, thanh toán, hợp đồng và billing</x:v>
      </x:c>
      <x:c r="J111" s="14" t="str">
        <x:v>Bao phủ chi tiết từng điều kinh doanh tại cảng</x:v>
      </x:c>
      <x:c r="K111" s="14" t="str">
        <x:v>Phối hợp/Gián tiếp</x:v>
      </x:c>
      <x:c r="L111" s="14" t="str">
        <x:v>Báo cáo/điều tra/khắc phục</x:v>
      </x:c>
      <x:c r="M111" s="14" t="str">
        <x:v>ANSP/doanh nghiệp hàng không</x:v>
      </x:c>
      <x:c r="N111" s="14" t="str">
        <x:v>Theo dõi điều kiện, giấy phép, tạm dừng, bảo đảm kinh doanh dịch vụ tại cảng không ảnh hưởng dây chuyền bảo đảm hoạt động bay; đề xuất phối hợp/NOTAM nếu thay đổi tác động khai thác.</x:v>
      </x:c>
      <x:c r="O111" s="14" t="str">
        <x:v>Cập nhật quy chế phối hợp; lập kênh cảnh báo thay đổi dịch vụ; yêu cầu đánh giá ảnh hưởng nếu có tác động đến sân đỗ, phương tiện, thiết bị, dữ liệu bay.</x:v>
      </x:c>
      <x:c r="P111" s="14" t="str">
        <x:v>Dịch vụ tại cảng không làm giảm an toàn, an ninh, chất lượng ANS</x:v>
      </x:c>
      <x:c r="Q111" s="14" t="str">
        <x:v>Văn bản phối hợp; biên bản họp; báo cáo ảnh hưởng khai thác; NOTAM nếu có</x:v>
      </x:c>
      <x:c r="R111" s="14" t="str">
        <x:v>Quy trình phối hợp dịch vụ tại cảng; Phiếu rà soát ảnh hưởng dịch vụ tại cảng đến ANS</x:v>
      </x:c>
      <x:c r="S111" s="14" t="str">
        <x:v>Ban Tài chính; Văn phòng - Pháp chế; Ban Không lưu; Các Công ty Quản lý bay khu vực Bắc/Trung/Nam</x:v>
      </x:c>
      <x:c r="T111" s="14" t="str">
        <x:v>Ban Tài chính; Ban Kế hoạch - Đầu tư</x:v>
      </x:c>
      <x:c r="U111" s="14" t="str">
        <x:v>CHK Việt Nam, Cảng vụ, ACV, doanh nghiệp dịch vụ, hãng bay</x:v>
      </x:c>
      <x:c r="V111" s="14" t="str">
        <x:v>Khi cấp phép/thay đổi/tạm dừng/dừng dịch vụ</x:v>
      </x:c>
      <x:c r="W111" s="14" t="str">
        <x:v>P1</x:v>
      </x:c>
      <x:c r="X111" s="14" t="str">
        <x:v>Trung bình/Cao</x:v>
      </x:c>
      <x:c r="Y111" s="14" t="str">
        <x:v>Chưa bắt đầu</x:v>
      </x:c>
      <x:c r="Z111" s="14" t="str">
        <x:v>Có thể là nhiệm vụ gián tiếp nhưng cần kiểm soát.</x:v>
      </x:c>
      <x:c r="AA111" s="14" t="str"/>
      <x:c r="AB111" s="14" t="str">
        <x:v>tai chinh; cang; giay phep; phap che</x:v>
      </x:c>
    </x:row>
    <x:row r="112">
      <x:c r="A112" s="14" t="str">
        <x:v>VATM-0111</x:v>
      </x:c>
      <x:c r="B112" s="14" t="str">
        <x:v>111</x:v>
      </x:c>
      <x:c r="C112" s="14" t="str">
        <x:v>Nghị định 205/2026/NĐ-CP</x:v>
      </x:c>
      <x:c r="D112" s="14" t="str">
        <x:v>Ra_soat_sau_ND205_VATM_ANSP_day_du.xlsx</x:v>
      </x:c>
      <x:c r="E112" s="14" t="str">
        <x:v>01_Nhiem_vu_chi_tiet</x:v>
      </x:c>
      <x:c r="F112" s="56" t="n">
        <x:v>112</x:v>
      </x:c>
      <x:c r="G112" s="14" t="str">
        <x:v>Điều 56</x:v>
      </x:c>
      <x:c r="H112" s="14" t="str">
        <x:v>Tài chính - Kế hoạch đầu tư</x:v>
      </x:c>
      <x:c r="I112" s="14" t="str">
        <x:v>Phí, thanh toán, hợp đồng và billing</x:v>
      </x:c>
      <x:c r="J112" s="14" t="str">
        <x:v>Bao phủ chi tiết từng điều kinh doanh tại cảng</x:v>
      </x:c>
      <x:c r="K112" s="14" t="str">
        <x:v>Phối hợp/Gián tiếp</x:v>
      </x:c>
      <x:c r="L112" s="14" t="str">
        <x:v>Báo cáo/điều tra/khắc phục</x:v>
      </x:c>
      <x:c r="M112" s="14" t="str">
        <x:v>ANSP/doanh nghiệp hàng không</x:v>
      </x:c>
      <x:c r="N112" s="14" t="str">
        <x:v>Theo dõi điều kiện, giấy phép, tạm dừng, bảo đảm kinh doanh dịch vụ tại cảng không ảnh hưởng dây chuyền bảo đảm hoạt động bay; đề xuất phối hợp/NOTAM nếu thay đổi tác động khai thác.</x:v>
      </x:c>
      <x:c r="O112" s="14" t="str">
        <x:v>Cập nhật quy chế phối hợp; lập kênh cảnh báo thay đổi dịch vụ; yêu cầu đánh giá ảnh hưởng nếu có tác động đến sân đỗ, phương tiện, thiết bị, dữ liệu bay.</x:v>
      </x:c>
      <x:c r="P112" s="14" t="str">
        <x:v>Dịch vụ tại cảng không làm giảm an toàn, an ninh, chất lượng ANS</x:v>
      </x:c>
      <x:c r="Q112" s="14" t="str">
        <x:v>Văn bản phối hợp; biên bản họp; báo cáo ảnh hưởng khai thác; NOTAM nếu có</x:v>
      </x:c>
      <x:c r="R112" s="14" t="str">
        <x:v>Quy trình phối hợp dịch vụ tại cảng; Phiếu rà soát ảnh hưởng dịch vụ tại cảng đến ANS</x:v>
      </x:c>
      <x:c r="S112" s="14" t="str">
        <x:v>Ban Tài chính; Văn phòng - Pháp chế; Ban Không lưu; Các Công ty Quản lý bay khu vực Bắc/Trung/Nam</x:v>
      </x:c>
      <x:c r="T112" s="14" t="str">
        <x:v>Ban Tài chính; Ban Kế hoạch - Đầu tư</x:v>
      </x:c>
      <x:c r="U112" s="14" t="str">
        <x:v>CHK Việt Nam, Cảng vụ, ACV, doanh nghiệp dịch vụ, hãng bay</x:v>
      </x:c>
      <x:c r="V112" s="14" t="str">
        <x:v>Khi cấp phép/thay đổi/tạm dừng/dừng dịch vụ</x:v>
      </x:c>
      <x:c r="W112" s="14" t="str">
        <x:v>P1</x:v>
      </x:c>
      <x:c r="X112" s="14" t="str">
        <x:v>Trung bình/Cao</x:v>
      </x:c>
      <x:c r="Y112" s="14" t="str">
        <x:v>Chưa bắt đầu</x:v>
      </x:c>
      <x:c r="Z112" s="14" t="str">
        <x:v>Có thể là nhiệm vụ gián tiếp nhưng cần kiểm soát.</x:v>
      </x:c>
      <x:c r="AA112" s="14" t="str"/>
      <x:c r="AB112" s="14" t="str">
        <x:v>tai chinh; cang; giay phep; phap che</x:v>
      </x:c>
    </x:row>
    <x:row r="113">
      <x:c r="A113" s="14" t="str">
        <x:v>VATM-0112</x:v>
      </x:c>
      <x:c r="B113" s="14" t="str">
        <x:v>112</x:v>
      </x:c>
      <x:c r="C113" s="14" t="str">
        <x:v>Nghị định 205/2026/NĐ-CP</x:v>
      </x:c>
      <x:c r="D113" s="14" t="str">
        <x:v>Ra_soat_sau_ND205_VATM_ANSP_day_du.xlsx</x:v>
      </x:c>
      <x:c r="E113" s="14" t="str">
        <x:v>01_Nhiem_vu_chi_tiet</x:v>
      </x:c>
      <x:c r="F113" s="56" t="n">
        <x:v>113</x:v>
      </x:c>
      <x:c r="G113" s="14" t="str">
        <x:v>Điều 57</x:v>
      </x:c>
      <x:c r="H113" s="14" t="str">
        <x:v>Tài chính - Kế hoạch đầu tư</x:v>
      </x:c>
      <x:c r="I113" s="14" t="str">
        <x:v>Phí, thanh toán, hợp đồng và billing</x:v>
      </x:c>
      <x:c r="J113" s="14" t="str">
        <x:v>Bao phủ chi tiết từng điều kinh doanh tại cảng</x:v>
      </x:c>
      <x:c r="K113" s="14" t="str">
        <x:v>Phối hợp/Gián tiếp</x:v>
      </x:c>
      <x:c r="L113" s="14" t="str">
        <x:v>Báo cáo/điều tra/khắc phục</x:v>
      </x:c>
      <x:c r="M113" s="14" t="str">
        <x:v>ANSP/doanh nghiệp hàng không</x:v>
      </x:c>
      <x:c r="N113" s="14" t="str">
        <x:v>Theo dõi điều kiện, giấy phép, tạm dừng, bảo đảm kinh doanh dịch vụ tại cảng không ảnh hưởng dây chuyền bảo đảm hoạt động bay; đề xuất phối hợp/NOTAM nếu thay đổi tác động khai thác.</x:v>
      </x:c>
      <x:c r="O113" s="14" t="str">
        <x:v>Cập nhật quy chế phối hợp; lập kênh cảnh báo thay đổi dịch vụ; yêu cầu đánh giá ảnh hưởng nếu có tác động đến sân đỗ, phương tiện, thiết bị, dữ liệu bay.</x:v>
      </x:c>
      <x:c r="P113" s="14" t="str">
        <x:v>Dịch vụ tại cảng không làm giảm an toàn, an ninh, chất lượng ANS</x:v>
      </x:c>
      <x:c r="Q113" s="14" t="str">
        <x:v>Văn bản phối hợp; biên bản họp; báo cáo ảnh hưởng khai thác; NOTAM nếu có</x:v>
      </x:c>
      <x:c r="R113" s="14" t="str">
        <x:v>Quy trình phối hợp dịch vụ tại cảng; Phiếu rà soát ảnh hưởng dịch vụ tại cảng đến ANS</x:v>
      </x:c>
      <x:c r="S113" s="14" t="str">
        <x:v>Ban Tài chính; Văn phòng - Pháp chế; Ban Không lưu; Các Công ty Quản lý bay khu vực Bắc/Trung/Nam</x:v>
      </x:c>
      <x:c r="T113" s="14" t="str">
        <x:v>Ban Tài chính; Ban Kế hoạch - Đầu tư</x:v>
      </x:c>
      <x:c r="U113" s="14" t="str">
        <x:v>CHK Việt Nam, Cảng vụ, ACV, doanh nghiệp dịch vụ, hãng bay</x:v>
      </x:c>
      <x:c r="V113" s="14" t="str">
        <x:v>Khi cấp phép/thay đổi/tạm dừng/dừng dịch vụ</x:v>
      </x:c>
      <x:c r="W113" s="14" t="str">
        <x:v>P1</x:v>
      </x:c>
      <x:c r="X113" s="14" t="str">
        <x:v>Trung bình/Cao</x:v>
      </x:c>
      <x:c r="Y113" s="14" t="str">
        <x:v>Chưa bắt đầu</x:v>
      </x:c>
      <x:c r="Z113" s="14" t="str">
        <x:v>Có thể là nhiệm vụ gián tiếp nhưng cần kiểm soát.</x:v>
      </x:c>
      <x:c r="AA113" s="14" t="str"/>
      <x:c r="AB113" s="14" t="str">
        <x:v>tai chinh; cang; giay phep; phap che</x:v>
      </x:c>
    </x:row>
    <x:row r="114">
      <x:c r="A114" s="14" t="str">
        <x:v>VATM-0113</x:v>
      </x:c>
      <x:c r="B114" s="14" t="str">
        <x:v>113</x:v>
      </x:c>
      <x:c r="C114" s="14" t="str">
        <x:v>Nghị định 205/2026/NĐ-CP</x:v>
      </x:c>
      <x:c r="D114" s="14" t="str">
        <x:v>Ra_soat_sau_ND205_VATM_ANSP_day_du.xlsx</x:v>
      </x:c>
      <x:c r="E114" s="14" t="str">
        <x:v>01_Nhiem_vu_chi_tiet</x:v>
      </x:c>
      <x:c r="F114" s="56" t="n">
        <x:v>114</x:v>
      </x:c>
      <x:c r="G114" s="14" t="str">
        <x:v>Điều 58</x:v>
      </x:c>
      <x:c r="H114" s="14" t="str">
        <x:v>Tài chính - Kế hoạch đầu tư</x:v>
      </x:c>
      <x:c r="I114" s="14" t="str">
        <x:v>Phí, thanh toán, hợp đồng và billing</x:v>
      </x:c>
      <x:c r="J114" s="14" t="str">
        <x:v>Bao phủ chi tiết từng điều kinh doanh tại cảng</x:v>
      </x:c>
      <x:c r="K114" s="14" t="str">
        <x:v>Phối hợp/Gián tiếp</x:v>
      </x:c>
      <x:c r="L114" s="14" t="str">
        <x:v>Báo cáo/điều tra/khắc phục</x:v>
      </x:c>
      <x:c r="M114" s="14" t="str">
        <x:v>ANSP/doanh nghiệp hàng không</x:v>
      </x:c>
      <x:c r="N114" s="14" t="str">
        <x:v>Theo dõi điều kiện, giấy phép, tạm dừng, bảo đảm kinh doanh dịch vụ tại cảng không ảnh hưởng dây chuyền bảo đảm hoạt động bay; đề xuất phối hợp/NOTAM nếu thay đổi tác động khai thác.</x:v>
      </x:c>
      <x:c r="O114" s="14" t="str">
        <x:v>Cập nhật quy chế phối hợp; lập kênh cảnh báo thay đổi dịch vụ; yêu cầu đánh giá ảnh hưởng nếu có tác động đến sân đỗ, phương tiện, thiết bị, dữ liệu bay.</x:v>
      </x:c>
      <x:c r="P114" s="14" t="str">
        <x:v>Dịch vụ tại cảng không làm giảm an toàn, an ninh, chất lượng ANS</x:v>
      </x:c>
      <x:c r="Q114" s="14" t="str">
        <x:v>Văn bản phối hợp; biên bản họp; báo cáo ảnh hưởng khai thác; NOTAM nếu có</x:v>
      </x:c>
      <x:c r="R114" s="14" t="str">
        <x:v>Quy trình phối hợp dịch vụ tại cảng; Phiếu rà soát ảnh hưởng dịch vụ tại cảng đến ANS</x:v>
      </x:c>
      <x:c r="S114" s="14" t="str">
        <x:v>Ban Tài chính; Văn phòng - Pháp chế; Ban Không lưu; Các Công ty Quản lý bay khu vực Bắc/Trung/Nam</x:v>
      </x:c>
      <x:c r="T114" s="14" t="str">
        <x:v>Ban Tài chính; Ban Kế hoạch - Đầu tư</x:v>
      </x:c>
      <x:c r="U114" s="14" t="str">
        <x:v>CHK Việt Nam, Cảng vụ, ACV, doanh nghiệp dịch vụ, hãng bay</x:v>
      </x:c>
      <x:c r="V114" s="14" t="str">
        <x:v>Khi cấp phép/thay đổi/tạm dừng/dừng dịch vụ</x:v>
      </x:c>
      <x:c r="W114" s="14" t="str">
        <x:v>P1</x:v>
      </x:c>
      <x:c r="X114" s="14" t="str">
        <x:v>Trung bình/Cao</x:v>
      </x:c>
      <x:c r="Y114" s="14" t="str">
        <x:v>Chưa bắt đầu</x:v>
      </x:c>
      <x:c r="Z114" s="14" t="str">
        <x:v>Có thể là nhiệm vụ gián tiếp nhưng cần kiểm soát.</x:v>
      </x:c>
      <x:c r="AA114" s="14" t="str"/>
      <x:c r="AB114" s="14" t="str">
        <x:v>tai chinh; cang; giay phep; phap che</x:v>
      </x:c>
    </x:row>
    <x:row r="115">
      <x:c r="A115" s="14" t="str">
        <x:v>VATM-0114</x:v>
      </x:c>
      <x:c r="B115" s="14" t="str">
        <x:v>114</x:v>
      </x:c>
      <x:c r="C115" s="14" t="str">
        <x:v>Nghị định 205/2026/NĐ-CP</x:v>
      </x:c>
      <x:c r="D115" s="14" t="str">
        <x:v>Ra_soat_sau_ND205_VATM_ANSP_day_du.xlsx</x:v>
      </x:c>
      <x:c r="E115" s="14" t="str">
        <x:v>01_Nhiem_vu_chi_tiet</x:v>
      </x:c>
      <x:c r="F115" s="56" t="n">
        <x:v>115</x:v>
      </x:c>
      <x:c r="G115" s="14" t="str">
        <x:v>Điều 59</x:v>
      </x:c>
      <x:c r="H115" s="14" t="str">
        <x:v>Tài chính - Kế hoạch đầu tư</x:v>
      </x:c>
      <x:c r="I115" s="14" t="str">
        <x:v>Phí, thanh toán, hợp đồng và billing</x:v>
      </x:c>
      <x:c r="J115" s="14" t="str">
        <x:v>Bao phủ chi tiết từng điều kinh doanh tại cảng</x:v>
      </x:c>
      <x:c r="K115" s="14" t="str">
        <x:v>Phối hợp/Gián tiếp</x:v>
      </x:c>
      <x:c r="L115" s="14" t="str">
        <x:v>Báo cáo/điều tra/khắc phục</x:v>
      </x:c>
      <x:c r="M115" s="14" t="str">
        <x:v>ANSP/doanh nghiệp hàng không</x:v>
      </x:c>
      <x:c r="N115" s="14" t="str">
        <x:v>Theo dõi điều kiện, giấy phép, tạm dừng, bảo đảm kinh doanh dịch vụ tại cảng không ảnh hưởng dây chuyền bảo đảm hoạt động bay; đề xuất phối hợp/NOTAM nếu thay đổi tác động khai thác.</x:v>
      </x:c>
      <x:c r="O115" s="14" t="str">
        <x:v>Cập nhật quy chế phối hợp; lập kênh cảnh báo thay đổi dịch vụ; yêu cầu đánh giá ảnh hưởng nếu có tác động đến sân đỗ, phương tiện, thiết bị, dữ liệu bay.</x:v>
      </x:c>
      <x:c r="P115" s="14" t="str">
        <x:v>Dịch vụ tại cảng không làm giảm an toàn, an ninh, chất lượng ANS</x:v>
      </x:c>
      <x:c r="Q115" s="14" t="str">
        <x:v>Văn bản phối hợp; biên bản họp; báo cáo ảnh hưởng khai thác; NOTAM nếu có</x:v>
      </x:c>
      <x:c r="R115" s="14" t="str">
        <x:v>Quy trình phối hợp dịch vụ tại cảng; Phiếu rà soát ảnh hưởng dịch vụ tại cảng đến ANS</x:v>
      </x:c>
      <x:c r="S115" s="14" t="str">
        <x:v>Ban Tài chính; Văn phòng - Pháp chế; Ban Không lưu; Các Công ty Quản lý bay khu vực Bắc/Trung/Nam</x:v>
      </x:c>
      <x:c r="T115" s="14" t="str">
        <x:v>Ban Tài chính; Ban Kế hoạch - Đầu tư</x:v>
      </x:c>
      <x:c r="U115" s="14" t="str">
        <x:v>CHK Việt Nam, Cảng vụ, ACV, doanh nghiệp dịch vụ, hãng bay</x:v>
      </x:c>
      <x:c r="V115" s="14" t="str">
        <x:v>Khi cấp phép/thay đổi/tạm dừng/dừng dịch vụ</x:v>
      </x:c>
      <x:c r="W115" s="14" t="str">
        <x:v>P1</x:v>
      </x:c>
      <x:c r="X115" s="14" t="str">
        <x:v>Trung bình/Cao</x:v>
      </x:c>
      <x:c r="Y115" s="14" t="str">
        <x:v>Chưa bắt đầu</x:v>
      </x:c>
      <x:c r="Z115" s="14" t="str">
        <x:v>Có thể là nhiệm vụ gián tiếp nhưng cần kiểm soát.</x:v>
      </x:c>
      <x:c r="AA115" s="14" t="str"/>
      <x:c r="AB115" s="14" t="str">
        <x:v>tai chinh; cang; giay phep; phap che</x:v>
      </x:c>
    </x:row>
    <x:row r="116">
      <x:c r="A116" s="14" t="str">
        <x:v>VATM-0115</x:v>
      </x:c>
      <x:c r="B116" s="14" t="str">
        <x:v>115</x:v>
      </x:c>
      <x:c r="C116" s="14" t="str">
        <x:v>Nghị định 205/2026/NĐ-CP</x:v>
      </x:c>
      <x:c r="D116" s="14" t="str">
        <x:v>Ra_soat_sau_ND205_VATM_ANSP_day_du.xlsx</x:v>
      </x:c>
      <x:c r="E116" s="14" t="str">
        <x:v>01_Nhiem_vu_chi_tiet</x:v>
      </x:c>
      <x:c r="F116" s="56" t="n">
        <x:v>116</x:v>
      </x:c>
      <x:c r="G116" s="14" t="str">
        <x:v>Điều 60</x:v>
      </x:c>
      <x:c r="H116" s="14" t="str">
        <x:v>Quản lý khai thác cảng/sân bay</x:v>
      </x:c>
      <x:c r="I116" s="14" t="str">
        <x:v>Công trình, chướng ngại và thi công</x:v>
      </x:c>
      <x:c r="J116" s="14" t="str">
        <x:v>Bao phủ chi tiết từng điều khai thác/thi công</x:v>
      </x:c>
      <x:c r="K116" s="14" t="str">
        <x:v>Trực tiếp</x:v>
      </x:c>
      <x:c r="L116" s="14" t="str">
        <x:v>Quy trình/SOP/biểu mẫu</x:v>
      </x:c>
      <x:c r="M116" s="14" t="str">
        <x:v>ANSP</x:v>
      </x:c>
      <x:c r="N116" s="14" t="str">
        <x:v>Rà soát chi tiết yêu cầu của điều này trong kế hoạch khai thác, tài liệu khai thác, thi công, đưa/dừng khai thác; xác định việc VATM phải góp ý, phối hợp, giám sát hoặc cập nhật tin tức hàng không.</x:v>
      </x:c>
      <x:c r="O116" s="14" t="str">
        <x:v>Bắt buộc thực hiện MOC/HIRA khi ảnh hưởng hoạt động bay; lưu hồ sơ chứng minh; briefing cơ sở ANS trước hiệu lực thay đổi.</x:v>
      </x:c>
      <x:c r="P116" s="14" t="str">
        <x:v>Mọi thay đổi có kiểm soát, có thông tin chính xác, không gián đoạn ANS</x:v>
      </x:c>
      <x:c r="Q116" s="14" t="str">
        <x:v>Safety assessment; biên bản hiệp đồng; checklist; NOTAM/AIP; tài liệu khai thác cập nhật</x:v>
      </x:c>
      <x:c r="R116" s="14" t="str">
        <x:v>Quy trình MOC/HIRA; quy trình NOTAM/AIP; SOP cơ sở; Checklist chi tiết điều khoản khai thác/thi công</x:v>
      </x:c>
      <x:c r="S116" s="14" t="str">
        <x:v>Ban Kế hoạch - Đầu tư; Ban Không lưu; Ban Kỹ thuật - CNS/IT/Môi trường; Ban An toàn - Chất lượng; Trung tâm Thông báo tin tức hàng không; Các Công ty Quản lý bay khu vực Bắc/Trung/Nam</x:v>
      </x:c>
      <x:c r="T116" s="14" t="str">
        <x:v>Các Công ty Quản lý bay khu vực Bắc/Trung/Nam; Ban Kế hoạch - Đầu tư; Ban Không lưu; Ban Kỹ thuật - CNS/IT/Môi trường</x:v>
      </x:c>
      <x:c r="U116" s="14" t="str">
        <x:v>CHK Việt Nam, Cảng vụ, ACV, chủ đầu tư, đơn vị thi công, hãng bay</x:v>
      </x:c>
      <x:c r="V116" s="14" t="str">
        <x:v>Trước thời điểm thay đổi/thi công; theo từng hồ sơ</x:v>
      </x:c>
      <x:c r="W116" s="14" t="str">
        <x:v>P1</x:v>
      </x:c>
      <x:c r="X116" s="14" t="str">
        <x:v>Rất cao</x:v>
      </x:c>
      <x:c r="Y116" s="14" t="str">
        <x:v>Chưa bắt đầu</x:v>
      </x:c>
      <x:c r="Z116" s="14" t="str">
        <x:v>Nhóm trọng tâm có mức rủi ro cao nhất.</x:v>
      </x:c>
      <x:c r="AA116" s="14" t="str"/>
      <x:c r="AB116" s="14" t="str">
        <x:v>cang; san bay; atm; cns; an toan</x:v>
      </x:c>
    </x:row>
    <x:row r="117">
      <x:c r="A117" s="14" t="str">
        <x:v>VATM-0116</x:v>
      </x:c>
      <x:c r="B117" s="14" t="str">
        <x:v>116</x:v>
      </x:c>
      <x:c r="C117" s="14" t="str">
        <x:v>Nghị định 205/2026/NĐ-CP</x:v>
      </x:c>
      <x:c r="D117" s="14" t="str">
        <x:v>Ra_soat_sau_ND205_VATM_ANSP_day_du.xlsx</x:v>
      </x:c>
      <x:c r="E117" s="14" t="str">
        <x:v>01_Nhiem_vu_chi_tiet</x:v>
      </x:c>
      <x:c r="F117" s="56" t="n">
        <x:v>117</x:v>
      </x:c>
      <x:c r="G117" s="14" t="str">
        <x:v>Điều 61</x:v>
      </x:c>
      <x:c r="H117" s="14" t="str">
        <x:v>Quản lý khai thác cảng/sân bay</x:v>
      </x:c>
      <x:c r="I117" s="14" t="str">
        <x:v>Công trình, chướng ngại và thi công</x:v>
      </x:c>
      <x:c r="J117" s="14" t="str">
        <x:v>Bao phủ chi tiết từng điều khai thác/thi công</x:v>
      </x:c>
      <x:c r="K117" s="14" t="str">
        <x:v>Trực tiếp</x:v>
      </x:c>
      <x:c r="L117" s="14" t="str">
        <x:v>Quy trình/SOP/biểu mẫu</x:v>
      </x:c>
      <x:c r="M117" s="14" t="str">
        <x:v>ANSP</x:v>
      </x:c>
      <x:c r="N117" s="14" t="str">
        <x:v>Rà soát chi tiết yêu cầu của điều này trong kế hoạch khai thác, tài liệu khai thác, thi công, đưa/dừng khai thác; xác định việc VATM phải góp ý, phối hợp, giám sát hoặc cập nhật tin tức hàng không.</x:v>
      </x:c>
      <x:c r="O117" s="14" t="str">
        <x:v>Bắt buộc thực hiện MOC/HIRA khi ảnh hưởng hoạt động bay; lưu hồ sơ chứng minh; briefing cơ sở ANS trước hiệu lực thay đổi.</x:v>
      </x:c>
      <x:c r="P117" s="14" t="str">
        <x:v>Mọi thay đổi có kiểm soát, có thông tin chính xác, không gián đoạn ANS</x:v>
      </x:c>
      <x:c r="Q117" s="14" t="str">
        <x:v>Safety assessment; biên bản hiệp đồng; checklist; NOTAM/AIP; tài liệu khai thác cập nhật</x:v>
      </x:c>
      <x:c r="R117" s="14" t="str">
        <x:v>Quy trình MOC/HIRA; quy trình NOTAM/AIP; SOP cơ sở; Checklist chi tiết điều khoản khai thác/thi công</x:v>
      </x:c>
      <x:c r="S117" s="14" t="str">
        <x:v>Ban Kế hoạch - Đầu tư; Ban Không lưu; Ban Kỹ thuật - CNS/IT/Môi trường; Ban An toàn - Chất lượng; Trung tâm Thông báo tin tức hàng không; Các Công ty Quản lý bay khu vực Bắc/Trung/Nam</x:v>
      </x:c>
      <x:c r="T117" s="14" t="str">
        <x:v>Các Công ty Quản lý bay khu vực Bắc/Trung/Nam; Ban Kế hoạch - Đầu tư; Ban Không lưu; Ban Kỹ thuật - CNS/IT/Môi trường</x:v>
      </x:c>
      <x:c r="U117" s="14" t="str">
        <x:v>CHK Việt Nam, Cảng vụ, ACV, chủ đầu tư, đơn vị thi công, hãng bay</x:v>
      </x:c>
      <x:c r="V117" s="14" t="str">
        <x:v>Trước thời điểm thay đổi/thi công; theo từng hồ sơ</x:v>
      </x:c>
      <x:c r="W117" s="14" t="str">
        <x:v>P1</x:v>
      </x:c>
      <x:c r="X117" s="14" t="str">
        <x:v>Rất cao</x:v>
      </x:c>
      <x:c r="Y117" s="14" t="str">
        <x:v>Chưa bắt đầu</x:v>
      </x:c>
      <x:c r="Z117" s="14" t="str">
        <x:v>Nhóm trọng tâm có mức rủi ro cao nhất.</x:v>
      </x:c>
      <x:c r="AA117" s="14" t="str"/>
      <x:c r="AB117" s="14" t="str">
        <x:v>cang; san bay; atm; cns; an toan</x:v>
      </x:c>
    </x:row>
    <x:row r="118">
      <x:c r="A118" s="14" t="str">
        <x:v>VATM-0117</x:v>
      </x:c>
      <x:c r="B118" s="14" t="str">
        <x:v>117</x:v>
      </x:c>
      <x:c r="C118" s="14" t="str">
        <x:v>Nghị định 205/2026/NĐ-CP</x:v>
      </x:c>
      <x:c r="D118" s="14" t="str">
        <x:v>Ra_soat_sau_ND205_VATM_ANSP_day_du.xlsx</x:v>
      </x:c>
      <x:c r="E118" s="14" t="str">
        <x:v>01_Nhiem_vu_chi_tiet</x:v>
      </x:c>
      <x:c r="F118" s="56" t="n">
        <x:v>118</x:v>
      </x:c>
      <x:c r="G118" s="14" t="str">
        <x:v>Điều 62</x:v>
      </x:c>
      <x:c r="H118" s="14" t="str">
        <x:v>Quản lý khai thác cảng/sân bay</x:v>
      </x:c>
      <x:c r="I118" s="14" t="str">
        <x:v>Công trình, chướng ngại và thi công</x:v>
      </x:c>
      <x:c r="J118" s="14" t="str">
        <x:v>Bao phủ chi tiết từng điều khai thác/thi công</x:v>
      </x:c>
      <x:c r="K118" s="14" t="str">
        <x:v>Trực tiếp</x:v>
      </x:c>
      <x:c r="L118" s="14" t="str">
        <x:v>Quy trình/SOP/biểu mẫu</x:v>
      </x:c>
      <x:c r="M118" s="14" t="str">
        <x:v>ANSP</x:v>
      </x:c>
      <x:c r="N118" s="14" t="str">
        <x:v>Rà soát chi tiết yêu cầu của điều này trong kế hoạch khai thác, tài liệu khai thác, thi công, đưa/dừng khai thác; xác định việc VATM phải góp ý, phối hợp, giám sát hoặc cập nhật tin tức hàng không.</x:v>
      </x:c>
      <x:c r="O118" s="14" t="str">
        <x:v>Bắt buộc thực hiện MOC/HIRA khi ảnh hưởng hoạt động bay; lưu hồ sơ chứng minh; briefing cơ sở ANS trước hiệu lực thay đổi.</x:v>
      </x:c>
      <x:c r="P118" s="14" t="str">
        <x:v>Mọi thay đổi có kiểm soát, có thông tin chính xác, không gián đoạn ANS</x:v>
      </x:c>
      <x:c r="Q118" s="14" t="str">
        <x:v>Safety assessment; biên bản hiệp đồng; checklist; NOTAM/AIP; tài liệu khai thác cập nhật</x:v>
      </x:c>
      <x:c r="R118" s="14" t="str">
        <x:v>Quy trình MOC/HIRA; quy trình NOTAM/AIP; SOP cơ sở; Checklist chi tiết điều khoản khai thác/thi công</x:v>
      </x:c>
      <x:c r="S118" s="14" t="str">
        <x:v>Ban Kế hoạch - Đầu tư; Ban Không lưu; Ban Kỹ thuật - CNS/IT/Môi trường; Ban An toàn - Chất lượng; Trung tâm Thông báo tin tức hàng không; Các Công ty Quản lý bay khu vực Bắc/Trung/Nam</x:v>
      </x:c>
      <x:c r="T118" s="14" t="str">
        <x:v>Các Công ty Quản lý bay khu vực Bắc/Trung/Nam; Ban Kế hoạch - Đầu tư; Ban Không lưu; Ban Kỹ thuật - CNS/IT/Môi trường</x:v>
      </x:c>
      <x:c r="U118" s="14" t="str">
        <x:v>CHK Việt Nam, Cảng vụ, ACV, chủ đầu tư, đơn vị thi công, hãng bay</x:v>
      </x:c>
      <x:c r="V118" s="14" t="str">
        <x:v>Trước thời điểm thay đổi/thi công; theo từng hồ sơ</x:v>
      </x:c>
      <x:c r="W118" s="14" t="str">
        <x:v>P1</x:v>
      </x:c>
      <x:c r="X118" s="14" t="str">
        <x:v>Rất cao</x:v>
      </x:c>
      <x:c r="Y118" s="14" t="str">
        <x:v>Chưa bắt đầu</x:v>
      </x:c>
      <x:c r="Z118" s="14" t="str">
        <x:v>Nhóm trọng tâm có mức rủi ro cao nhất.</x:v>
      </x:c>
      <x:c r="AA118" s="14" t="str"/>
      <x:c r="AB118" s="14" t="str">
        <x:v>cang; san bay; atm; cns; an toan</x:v>
      </x:c>
    </x:row>
    <x:row r="119">
      <x:c r="A119" s="14" t="str">
        <x:v>VATM-0118</x:v>
      </x:c>
      <x:c r="B119" s="14" t="str">
        <x:v>118</x:v>
      </x:c>
      <x:c r="C119" s="14" t="str">
        <x:v>Nghị định 205/2026/NĐ-CP</x:v>
      </x:c>
      <x:c r="D119" s="14" t="str">
        <x:v>Ra_soat_sau_ND205_VATM_ANSP_day_du.xlsx</x:v>
      </x:c>
      <x:c r="E119" s="14" t="str">
        <x:v>01_Nhiem_vu_chi_tiet</x:v>
      </x:c>
      <x:c r="F119" s="56" t="n">
        <x:v>119</x:v>
      </x:c>
      <x:c r="G119" s="14" t="str">
        <x:v>Điều 63</x:v>
      </x:c>
      <x:c r="H119" s="14" t="str">
        <x:v>Quản lý khai thác cảng/sân bay</x:v>
      </x:c>
      <x:c r="I119" s="14" t="str">
        <x:v>Công trình, chướng ngại và thi công</x:v>
      </x:c>
      <x:c r="J119" s="14" t="str">
        <x:v>Bao phủ chi tiết từng điều khai thác/thi công</x:v>
      </x:c>
      <x:c r="K119" s="14" t="str">
        <x:v>Trực tiếp</x:v>
      </x:c>
      <x:c r="L119" s="14" t="str">
        <x:v>Quy trình/SOP/biểu mẫu</x:v>
      </x:c>
      <x:c r="M119" s="14" t="str">
        <x:v>ANSP</x:v>
      </x:c>
      <x:c r="N119" s="14" t="str">
        <x:v>Rà soát chi tiết yêu cầu của điều này trong kế hoạch khai thác, tài liệu khai thác, thi công, đưa/dừng khai thác; xác định việc VATM phải góp ý, phối hợp, giám sát hoặc cập nhật tin tức hàng không.</x:v>
      </x:c>
      <x:c r="O119" s="14" t="str">
        <x:v>Bắt buộc thực hiện MOC/HIRA khi ảnh hưởng hoạt động bay; lưu hồ sơ chứng minh; briefing cơ sở ANS trước hiệu lực thay đổi.</x:v>
      </x:c>
      <x:c r="P119" s="14" t="str">
        <x:v>Mọi thay đổi có kiểm soát, có thông tin chính xác, không gián đoạn ANS</x:v>
      </x:c>
      <x:c r="Q119" s="14" t="str">
        <x:v>Safety assessment; biên bản hiệp đồng; checklist; NOTAM/AIP; tài liệu khai thác cập nhật</x:v>
      </x:c>
      <x:c r="R119" s="14" t="str">
        <x:v>Quy trình MOC/HIRA; quy trình NOTAM/AIP; SOP cơ sở; Checklist chi tiết điều khoản khai thác/thi công</x:v>
      </x:c>
      <x:c r="S119" s="14" t="str">
        <x:v>Ban Kế hoạch - Đầu tư; Ban Không lưu; Ban Kỹ thuật - CNS/IT/Môi trường; Ban An toàn - Chất lượng; Trung tâm Thông báo tin tức hàng không; Các Công ty Quản lý bay khu vực Bắc/Trung/Nam</x:v>
      </x:c>
      <x:c r="T119" s="14" t="str">
        <x:v>Các Công ty Quản lý bay khu vực Bắc/Trung/Nam; Ban Kế hoạch - Đầu tư; Ban Không lưu; Ban Kỹ thuật - CNS/IT/Môi trường</x:v>
      </x:c>
      <x:c r="U119" s="14" t="str">
        <x:v>CHK Việt Nam, Cảng vụ, ACV, chủ đầu tư, đơn vị thi công, hãng bay</x:v>
      </x:c>
      <x:c r="V119" s="14" t="str">
        <x:v>Trước thời điểm thay đổi/thi công; theo từng hồ sơ</x:v>
      </x:c>
      <x:c r="W119" s="14" t="str">
        <x:v>P1</x:v>
      </x:c>
      <x:c r="X119" s="14" t="str">
        <x:v>Rất cao</x:v>
      </x:c>
      <x:c r="Y119" s="14" t="str">
        <x:v>Chưa bắt đầu</x:v>
      </x:c>
      <x:c r="Z119" s="14" t="str">
        <x:v>Nhóm trọng tâm có mức rủi ro cao nhất.</x:v>
      </x:c>
      <x:c r="AA119" s="14" t="str"/>
      <x:c r="AB119" s="14" t="str">
        <x:v>cang; san bay; atm; cns; an toan</x:v>
      </x:c>
    </x:row>
    <x:row r="120">
      <x:c r="A120" s="14" t="str">
        <x:v>VATM-0119</x:v>
      </x:c>
      <x:c r="B120" s="14" t="str">
        <x:v>119</x:v>
      </x:c>
      <x:c r="C120" s="14" t="str">
        <x:v>Nghị định 205/2026/NĐ-CP</x:v>
      </x:c>
      <x:c r="D120" s="14" t="str">
        <x:v>Ra_soat_sau_ND205_VATM_ANSP_day_du.xlsx</x:v>
      </x:c>
      <x:c r="E120" s="14" t="str">
        <x:v>01_Nhiem_vu_chi_tiet</x:v>
      </x:c>
      <x:c r="F120" s="56" t="n">
        <x:v>120</x:v>
      </x:c>
      <x:c r="G120" s="14" t="str">
        <x:v>Điều 64</x:v>
      </x:c>
      <x:c r="H120" s="14" t="str">
        <x:v>Quản lý khai thác cảng/sân bay</x:v>
      </x:c>
      <x:c r="I120" s="14" t="str">
        <x:v>Công trình, chướng ngại và thi công</x:v>
      </x:c>
      <x:c r="J120" s="14" t="str">
        <x:v>Bao phủ chi tiết từng điều khai thác/thi công</x:v>
      </x:c>
      <x:c r="K120" s="14" t="str">
        <x:v>Trực tiếp</x:v>
      </x:c>
      <x:c r="L120" s="14" t="str">
        <x:v>Quy trình/SOP/biểu mẫu</x:v>
      </x:c>
      <x:c r="M120" s="14" t="str">
        <x:v>ANSP</x:v>
      </x:c>
      <x:c r="N120" s="14" t="str">
        <x:v>Rà soát chi tiết yêu cầu của điều này trong kế hoạch khai thác, tài liệu khai thác, thi công, đưa/dừng khai thác; xác định việc VATM phải góp ý, phối hợp, giám sát hoặc cập nhật tin tức hàng không.</x:v>
      </x:c>
      <x:c r="O120" s="14" t="str">
        <x:v>Bắt buộc thực hiện MOC/HIRA khi ảnh hưởng hoạt động bay; lưu hồ sơ chứng minh; briefing cơ sở ANS trước hiệu lực thay đổi.</x:v>
      </x:c>
      <x:c r="P120" s="14" t="str">
        <x:v>Mọi thay đổi có kiểm soát, có thông tin chính xác, không gián đoạn ANS</x:v>
      </x:c>
      <x:c r="Q120" s="14" t="str">
        <x:v>Safety assessment; biên bản hiệp đồng; checklist; NOTAM/AIP; tài liệu khai thác cập nhật</x:v>
      </x:c>
      <x:c r="R120" s="14" t="str">
        <x:v>Quy trình MOC/HIRA; quy trình NOTAM/AIP; SOP cơ sở; Checklist chi tiết điều khoản khai thác/thi công</x:v>
      </x:c>
      <x:c r="S120" s="14" t="str">
        <x:v>Ban Kế hoạch - Đầu tư; Ban Không lưu; Ban Kỹ thuật - CNS/IT/Môi trường; Ban An toàn - Chất lượng; Trung tâm Thông báo tin tức hàng không; Các Công ty Quản lý bay khu vực Bắc/Trung/Nam</x:v>
      </x:c>
      <x:c r="T120" s="14" t="str">
        <x:v>Các Công ty Quản lý bay khu vực Bắc/Trung/Nam; Ban Kế hoạch - Đầu tư; Ban Không lưu; Ban Kỹ thuật - CNS/IT/Môi trường</x:v>
      </x:c>
      <x:c r="U120" s="14" t="str">
        <x:v>CHK Việt Nam, Cảng vụ, ACV, chủ đầu tư, đơn vị thi công, hãng bay</x:v>
      </x:c>
      <x:c r="V120" s="14" t="str">
        <x:v>Trước thời điểm thay đổi/thi công; theo từng hồ sơ</x:v>
      </x:c>
      <x:c r="W120" s="14" t="str">
        <x:v>P1</x:v>
      </x:c>
      <x:c r="X120" s="14" t="str">
        <x:v>Rất cao</x:v>
      </x:c>
      <x:c r="Y120" s="14" t="str">
        <x:v>Chưa bắt đầu</x:v>
      </x:c>
      <x:c r="Z120" s="14" t="str">
        <x:v>Nhóm trọng tâm có mức rủi ro cao nhất.</x:v>
      </x:c>
      <x:c r="AA120" s="14" t="str"/>
      <x:c r="AB120" s="14" t="str">
        <x:v>cang; san bay; atm; cns; an toan</x:v>
      </x:c>
    </x:row>
    <x:row r="121">
      <x:c r="A121" s="14" t="str">
        <x:v>VATM-0120</x:v>
      </x:c>
      <x:c r="B121" s="14" t="str">
        <x:v>120</x:v>
      </x:c>
      <x:c r="C121" s="14" t="str">
        <x:v>Nghị định 205/2026/NĐ-CP</x:v>
      </x:c>
      <x:c r="D121" s="14" t="str">
        <x:v>Ra_soat_sau_ND205_VATM_ANSP_day_du.xlsx</x:v>
      </x:c>
      <x:c r="E121" s="14" t="str">
        <x:v>01_Nhiem_vu_chi_tiet</x:v>
      </x:c>
      <x:c r="F121" s="56" t="n">
        <x:v>121</x:v>
      </x:c>
      <x:c r="G121" s="14" t="str">
        <x:v>Điều 65</x:v>
      </x:c>
      <x:c r="H121" s="14" t="str">
        <x:v>Quản lý khai thác cảng/sân bay</x:v>
      </x:c>
      <x:c r="I121" s="14" t="str">
        <x:v>Công trình, chướng ngại và thi công</x:v>
      </x:c>
      <x:c r="J121" s="14" t="str">
        <x:v>Bao phủ chi tiết từng điều khai thác/thi công</x:v>
      </x:c>
      <x:c r="K121" s="14" t="str">
        <x:v>Trực tiếp</x:v>
      </x:c>
      <x:c r="L121" s="14" t="str">
        <x:v>Quy trình/SOP/biểu mẫu</x:v>
      </x:c>
      <x:c r="M121" s="14" t="str">
        <x:v>ANSP</x:v>
      </x:c>
      <x:c r="N121" s="14" t="str">
        <x:v>Rà soát chi tiết yêu cầu của điều này trong kế hoạch khai thác, tài liệu khai thác, thi công, đưa/dừng khai thác; xác định việc VATM phải góp ý, phối hợp, giám sát hoặc cập nhật tin tức hàng không.</x:v>
      </x:c>
      <x:c r="O121" s="14" t="str">
        <x:v>Bắt buộc thực hiện MOC/HIRA khi ảnh hưởng hoạt động bay; lưu hồ sơ chứng minh; briefing cơ sở ANS trước hiệu lực thay đổi.</x:v>
      </x:c>
      <x:c r="P121" s="14" t="str">
        <x:v>Mọi thay đổi có kiểm soát, có thông tin chính xác, không gián đoạn ANS</x:v>
      </x:c>
      <x:c r="Q121" s="14" t="str">
        <x:v>Safety assessment; biên bản hiệp đồng; checklist; NOTAM/AIP; tài liệu khai thác cập nhật</x:v>
      </x:c>
      <x:c r="R121" s="14" t="str">
        <x:v>Quy trình MOC/HIRA; quy trình NOTAM/AIP; SOP cơ sở; Checklist chi tiết điều khoản khai thác/thi công</x:v>
      </x:c>
      <x:c r="S121" s="14" t="str">
        <x:v>Ban Kế hoạch - Đầu tư; Ban Không lưu; Ban Kỹ thuật - CNS/IT/Môi trường; Ban An toàn - Chất lượng; Trung tâm Thông báo tin tức hàng không; Các Công ty Quản lý bay khu vực Bắc/Trung/Nam</x:v>
      </x:c>
      <x:c r="T121" s="14" t="str">
        <x:v>Các Công ty Quản lý bay khu vực Bắc/Trung/Nam; Ban Kế hoạch - Đầu tư; Ban Không lưu; Ban Kỹ thuật - CNS/IT/Môi trường</x:v>
      </x:c>
      <x:c r="U121" s="14" t="str">
        <x:v>CHK Việt Nam, Cảng vụ, ACV, chủ đầu tư, đơn vị thi công, hãng bay</x:v>
      </x:c>
      <x:c r="V121" s="14" t="str">
        <x:v>Trước thời điểm thay đổi/thi công; theo từng hồ sơ</x:v>
      </x:c>
      <x:c r="W121" s="14" t="str">
        <x:v>P1</x:v>
      </x:c>
      <x:c r="X121" s="14" t="str">
        <x:v>Rất cao</x:v>
      </x:c>
      <x:c r="Y121" s="14" t="str">
        <x:v>Chưa bắt đầu</x:v>
      </x:c>
      <x:c r="Z121" s="14" t="str">
        <x:v>Nhóm trọng tâm có mức rủi ro cao nhất.</x:v>
      </x:c>
      <x:c r="AA121" s="14" t="str"/>
      <x:c r="AB121" s="14" t="str">
        <x:v>cang; san bay; atm; cns; an toan</x:v>
      </x:c>
    </x:row>
    <x:row r="122">
      <x:c r="A122" s="14" t="str">
        <x:v>VATM-0121</x:v>
      </x:c>
      <x:c r="B122" s="14" t="str">
        <x:v>121</x:v>
      </x:c>
      <x:c r="C122" s="14" t="str">
        <x:v>Nghị định 205/2026/NĐ-CP</x:v>
      </x:c>
      <x:c r="D122" s="14" t="str">
        <x:v>Ra_soat_sau_ND205_VATM_ANSP_day_du.xlsx</x:v>
      </x:c>
      <x:c r="E122" s="14" t="str">
        <x:v>01_Nhiem_vu_chi_tiet</x:v>
      </x:c>
      <x:c r="F122" s="56" t="n">
        <x:v>122</x:v>
      </x:c>
      <x:c r="G122" s="14" t="str">
        <x:v>Điều 66</x:v>
      </x:c>
      <x:c r="H122" s="14" t="str">
        <x:v>Quản lý khai thác cảng/sân bay</x:v>
      </x:c>
      <x:c r="I122" s="14" t="str">
        <x:v>Công trình, chướng ngại và thi công</x:v>
      </x:c>
      <x:c r="J122" s="14" t="str">
        <x:v>Bao phủ chi tiết từng điều khai thác/thi công</x:v>
      </x:c>
      <x:c r="K122" s="14" t="str">
        <x:v>Trực tiếp</x:v>
      </x:c>
      <x:c r="L122" s="14" t="str">
        <x:v>Quy trình/SOP/biểu mẫu</x:v>
      </x:c>
      <x:c r="M122" s="14" t="str">
        <x:v>ANSP</x:v>
      </x:c>
      <x:c r="N122" s="14" t="str">
        <x:v>Rà soát chi tiết yêu cầu của điều này trong kế hoạch khai thác, tài liệu khai thác, thi công, đưa/dừng khai thác; xác định việc VATM phải góp ý, phối hợp, giám sát hoặc cập nhật tin tức hàng không.</x:v>
      </x:c>
      <x:c r="O122" s="14" t="str">
        <x:v>Bắt buộc thực hiện MOC/HIRA khi ảnh hưởng hoạt động bay; lưu hồ sơ chứng minh; briefing cơ sở ANS trước hiệu lực thay đổi.</x:v>
      </x:c>
      <x:c r="P122" s="14" t="str">
        <x:v>Mọi thay đổi có kiểm soát, có thông tin chính xác, không gián đoạn ANS</x:v>
      </x:c>
      <x:c r="Q122" s="14" t="str">
        <x:v>Safety assessment; biên bản hiệp đồng; checklist; NOTAM/AIP; tài liệu khai thác cập nhật</x:v>
      </x:c>
      <x:c r="R122" s="14" t="str">
        <x:v>Quy trình MOC/HIRA; quy trình NOTAM/AIP; SOP cơ sở; Checklist chi tiết điều khoản khai thác/thi công</x:v>
      </x:c>
      <x:c r="S122" s="14" t="str">
        <x:v>Ban Kế hoạch - Đầu tư; Ban Không lưu; Ban Kỹ thuật - CNS/IT/Môi trường; Ban An toàn - Chất lượng; Trung tâm Thông báo tin tức hàng không; Các Công ty Quản lý bay khu vực Bắc/Trung/Nam</x:v>
      </x:c>
      <x:c r="T122" s="14" t="str">
        <x:v>Các Công ty Quản lý bay khu vực Bắc/Trung/Nam; Ban Kế hoạch - Đầu tư; Ban Không lưu; Ban Kỹ thuật - CNS/IT/Môi trường</x:v>
      </x:c>
      <x:c r="U122" s="14" t="str">
        <x:v>CHK Việt Nam, Cảng vụ, ACV, chủ đầu tư, đơn vị thi công, hãng bay</x:v>
      </x:c>
      <x:c r="V122" s="14" t="str">
        <x:v>Trước thời điểm thay đổi/thi công; theo từng hồ sơ</x:v>
      </x:c>
      <x:c r="W122" s="14" t="str">
        <x:v>P1</x:v>
      </x:c>
      <x:c r="X122" s="14" t="str">
        <x:v>Rất cao</x:v>
      </x:c>
      <x:c r="Y122" s="14" t="str">
        <x:v>Chưa bắt đầu</x:v>
      </x:c>
      <x:c r="Z122" s="14" t="str">
        <x:v>Nhóm trọng tâm có mức rủi ro cao nhất.</x:v>
      </x:c>
      <x:c r="AA122" s="14" t="str"/>
      <x:c r="AB122" s="14" t="str">
        <x:v>cang; san bay; atm; cns; an toan</x:v>
      </x:c>
    </x:row>
    <x:row r="123">
      <x:c r="A123" s="14" t="str">
        <x:v>VATM-0122</x:v>
      </x:c>
      <x:c r="B123" s="14" t="str">
        <x:v>122</x:v>
      </x:c>
      <x:c r="C123" s="14" t="str">
        <x:v>Nghị định 205/2026/NĐ-CP</x:v>
      </x:c>
      <x:c r="D123" s="14" t="str">
        <x:v>Ra_soat_sau_ND205_VATM_ANSP_day_du.xlsx</x:v>
      </x:c>
      <x:c r="E123" s="14" t="str">
        <x:v>01_Nhiem_vu_chi_tiet</x:v>
      </x:c>
      <x:c r="F123" s="56" t="n">
        <x:v>123</x:v>
      </x:c>
      <x:c r="G123" s="14" t="str">
        <x:v>Điều 67</x:v>
      </x:c>
      <x:c r="H123" s="14" t="str">
        <x:v>Quản lý khai thác cảng/sân bay</x:v>
      </x:c>
      <x:c r="I123" s="14" t="str">
        <x:v>Công trình, chướng ngại và thi công</x:v>
      </x:c>
      <x:c r="J123" s="14" t="str">
        <x:v>Bao phủ chi tiết từng điều khai thác/thi công</x:v>
      </x:c>
      <x:c r="K123" s="14" t="str">
        <x:v>Trực tiếp</x:v>
      </x:c>
      <x:c r="L123" s="14" t="str">
        <x:v>Quy trình/SOP/biểu mẫu</x:v>
      </x:c>
      <x:c r="M123" s="14" t="str">
        <x:v>ANSP</x:v>
      </x:c>
      <x:c r="N123" s="14" t="str">
        <x:v>Rà soát chi tiết yêu cầu của điều này trong kế hoạch khai thác, tài liệu khai thác, thi công, đưa/dừng khai thác; xác định việc VATM phải góp ý, phối hợp, giám sát hoặc cập nhật tin tức hàng không.</x:v>
      </x:c>
      <x:c r="O123" s="14" t="str">
        <x:v>Bắt buộc thực hiện MOC/HIRA khi ảnh hưởng hoạt động bay; lưu hồ sơ chứng minh; briefing cơ sở ANS trước hiệu lực thay đổi.</x:v>
      </x:c>
      <x:c r="P123" s="14" t="str">
        <x:v>Mọi thay đổi có kiểm soát, có thông tin chính xác, không gián đoạn ANS</x:v>
      </x:c>
      <x:c r="Q123" s="14" t="str">
        <x:v>Safety assessment; biên bản hiệp đồng; checklist; NOTAM/AIP; tài liệu khai thác cập nhật</x:v>
      </x:c>
      <x:c r="R123" s="14" t="str">
        <x:v>Quy trình MOC/HIRA; quy trình NOTAM/AIP; SOP cơ sở; Checklist chi tiết điều khoản khai thác/thi công</x:v>
      </x:c>
      <x:c r="S123" s="14" t="str">
        <x:v>Ban Kế hoạch - Đầu tư; Ban Không lưu; Ban Kỹ thuật - CNS/IT/Môi trường; Ban An toàn - Chất lượng; Trung tâm Thông báo tin tức hàng không; Các Công ty Quản lý bay khu vực Bắc/Trung/Nam</x:v>
      </x:c>
      <x:c r="T123" s="14" t="str">
        <x:v>Các Công ty Quản lý bay khu vực Bắc/Trung/Nam; Ban Kế hoạch - Đầu tư; Ban Không lưu; Ban Kỹ thuật - CNS/IT/Môi trường</x:v>
      </x:c>
      <x:c r="U123" s="14" t="str">
        <x:v>CHK Việt Nam, Cảng vụ, ACV, chủ đầu tư, đơn vị thi công, hãng bay</x:v>
      </x:c>
      <x:c r="V123" s="14" t="str">
        <x:v>Trước thời điểm thay đổi/thi công; theo từng hồ sơ</x:v>
      </x:c>
      <x:c r="W123" s="14" t="str">
        <x:v>P1</x:v>
      </x:c>
      <x:c r="X123" s="14" t="str">
        <x:v>Rất cao</x:v>
      </x:c>
      <x:c r="Y123" s="14" t="str">
        <x:v>Chưa bắt đầu</x:v>
      </x:c>
      <x:c r="Z123" s="14" t="str">
        <x:v>Nhóm trọng tâm có mức rủi ro cao nhất.</x:v>
      </x:c>
      <x:c r="AA123" s="14" t="str"/>
      <x:c r="AB123" s="14" t="str">
        <x:v>cang; san bay; atm; cns; an toan</x:v>
      </x:c>
    </x:row>
    <x:row r="124">
      <x:c r="A124" s="14" t="str">
        <x:v>VATM-0123</x:v>
      </x:c>
      <x:c r="B124" s="14" t="str">
        <x:v>123</x:v>
      </x:c>
      <x:c r="C124" s="14" t="str">
        <x:v>Nghị định 205/2026/NĐ-CP</x:v>
      </x:c>
      <x:c r="D124" s="14" t="str">
        <x:v>Ra_soat_sau_ND205_VATM_ANSP_day_du.xlsx</x:v>
      </x:c>
      <x:c r="E124" s="14" t="str">
        <x:v>01_Nhiem_vu_chi_tiet</x:v>
      </x:c>
      <x:c r="F124" s="56" t="n">
        <x:v>124</x:v>
      </x:c>
      <x:c r="G124" s="14" t="str">
        <x:v>Điều 68</x:v>
      </x:c>
      <x:c r="H124" s="14" t="str">
        <x:v>Quản lý khai thác cảng/sân bay</x:v>
      </x:c>
      <x:c r="I124" s="14" t="str">
        <x:v>Công trình, chướng ngại và thi công</x:v>
      </x:c>
      <x:c r="J124" s="14" t="str">
        <x:v>Bao phủ chi tiết từng điều khai thác/thi công</x:v>
      </x:c>
      <x:c r="K124" s="14" t="str">
        <x:v>Trực tiếp</x:v>
      </x:c>
      <x:c r="L124" s="14" t="str">
        <x:v>Quy trình/SOP/biểu mẫu</x:v>
      </x:c>
      <x:c r="M124" s="14" t="str">
        <x:v>ANSP</x:v>
      </x:c>
      <x:c r="N124" s="14" t="str">
        <x:v>Rà soát chi tiết yêu cầu của điều này trong kế hoạch khai thác, tài liệu khai thác, thi công, đưa/dừng khai thác; xác định việc VATM phải góp ý, phối hợp, giám sát hoặc cập nhật tin tức hàng không.</x:v>
      </x:c>
      <x:c r="O124" s="14" t="str">
        <x:v>Bắt buộc thực hiện MOC/HIRA khi ảnh hưởng hoạt động bay; lưu hồ sơ chứng minh; briefing cơ sở ANS trước hiệu lực thay đổi.</x:v>
      </x:c>
      <x:c r="P124" s="14" t="str">
        <x:v>Mọi thay đổi có kiểm soát, có thông tin chính xác, không gián đoạn ANS</x:v>
      </x:c>
      <x:c r="Q124" s="14" t="str">
        <x:v>Safety assessment; biên bản hiệp đồng; checklist; NOTAM/AIP; tài liệu khai thác cập nhật</x:v>
      </x:c>
      <x:c r="R124" s="14" t="str">
        <x:v>Quy trình MOC/HIRA; quy trình NOTAM/AIP; SOP cơ sở; Checklist chi tiết điều khoản khai thác/thi công</x:v>
      </x:c>
      <x:c r="S124" s="14" t="str">
        <x:v>Ban Kế hoạch - Đầu tư; Ban Không lưu; Ban Kỹ thuật - CNS/IT/Môi trường; Ban An toàn - Chất lượng; Trung tâm Thông báo tin tức hàng không; Các Công ty Quản lý bay khu vực Bắc/Trung/Nam</x:v>
      </x:c>
      <x:c r="T124" s="14" t="str">
        <x:v>Các Công ty Quản lý bay khu vực Bắc/Trung/Nam; Ban Kế hoạch - Đầu tư; Ban Không lưu; Ban Kỹ thuật - CNS/IT/Môi trường</x:v>
      </x:c>
      <x:c r="U124" s="14" t="str">
        <x:v>CHK Việt Nam, Cảng vụ, ACV, chủ đầu tư, đơn vị thi công, hãng bay</x:v>
      </x:c>
      <x:c r="V124" s="14" t="str">
        <x:v>Trước thời điểm thay đổi/thi công; theo từng hồ sơ</x:v>
      </x:c>
      <x:c r="W124" s="14" t="str">
        <x:v>P1</x:v>
      </x:c>
      <x:c r="X124" s="14" t="str">
        <x:v>Rất cao</x:v>
      </x:c>
      <x:c r="Y124" s="14" t="str">
        <x:v>Chưa bắt đầu</x:v>
      </x:c>
      <x:c r="Z124" s="14" t="str">
        <x:v>Nhóm trọng tâm có mức rủi ro cao nhất.</x:v>
      </x:c>
      <x:c r="AA124" s="14" t="str"/>
      <x:c r="AB124" s="14" t="str">
        <x:v>cang; san bay; atm; cns; an toan</x:v>
      </x:c>
    </x:row>
    <x:row r="125">
      <x:c r="A125" s="14" t="str">
        <x:v>VATM-0124</x:v>
      </x:c>
      <x:c r="B125" s="14" t="str">
        <x:v>124</x:v>
      </x:c>
      <x:c r="C125" s="14" t="str">
        <x:v>Nghị định 205/2026/NĐ-CP</x:v>
      </x:c>
      <x:c r="D125" s="14" t="str">
        <x:v>Ra_soat_sau_ND205_VATM_ANSP_day_du.xlsx</x:v>
      </x:c>
      <x:c r="E125" s="14" t="str">
        <x:v>01_Nhiem_vu_chi_tiet</x:v>
      </x:c>
      <x:c r="F125" s="56" t="n">
        <x:v>125</x:v>
      </x:c>
      <x:c r="G125" s="14" t="str">
        <x:v>Điều 69</x:v>
      </x:c>
      <x:c r="H125" s="14" t="str">
        <x:v>Quản lý khai thác cảng/sân bay</x:v>
      </x:c>
      <x:c r="I125" s="14" t="str">
        <x:v>Công trình, chướng ngại và thi công</x:v>
      </x:c>
      <x:c r="J125" s="14" t="str">
        <x:v>Bao phủ chi tiết từng điều khai thác/thi công</x:v>
      </x:c>
      <x:c r="K125" s="14" t="str">
        <x:v>Trực tiếp</x:v>
      </x:c>
      <x:c r="L125" s="14" t="str">
        <x:v>Quy trình/SOP/biểu mẫu</x:v>
      </x:c>
      <x:c r="M125" s="14" t="str">
        <x:v>ANSP</x:v>
      </x:c>
      <x:c r="N125" s="14" t="str">
        <x:v>Rà soát chi tiết yêu cầu của điều này trong kế hoạch khai thác, tài liệu khai thác, thi công, đưa/dừng khai thác; xác định việc VATM phải góp ý, phối hợp, giám sát hoặc cập nhật tin tức hàng không.</x:v>
      </x:c>
      <x:c r="O125" s="14" t="str">
        <x:v>Bắt buộc thực hiện MOC/HIRA khi ảnh hưởng hoạt động bay; lưu hồ sơ chứng minh; briefing cơ sở ANS trước hiệu lực thay đổi.</x:v>
      </x:c>
      <x:c r="P125" s="14" t="str">
        <x:v>Mọi thay đổi có kiểm soát, có thông tin chính xác, không gián đoạn ANS</x:v>
      </x:c>
      <x:c r="Q125" s="14" t="str">
        <x:v>Safety assessment; biên bản hiệp đồng; checklist; NOTAM/AIP; tài liệu khai thác cập nhật</x:v>
      </x:c>
      <x:c r="R125" s="14" t="str">
        <x:v>Quy trình MOC/HIRA; quy trình NOTAM/AIP; SOP cơ sở; Checklist chi tiết điều khoản khai thác/thi công</x:v>
      </x:c>
      <x:c r="S125" s="14" t="str">
        <x:v>Ban Kế hoạch - Đầu tư; Ban Không lưu; Ban Kỹ thuật - CNS/IT/Môi trường; Ban An toàn - Chất lượng; Trung tâm Thông báo tin tức hàng không; Các Công ty Quản lý bay khu vực Bắc/Trung/Nam</x:v>
      </x:c>
      <x:c r="T125" s="14" t="str">
        <x:v>Các Công ty Quản lý bay khu vực Bắc/Trung/Nam; Ban Kế hoạch - Đầu tư; Ban Không lưu; Ban Kỹ thuật - CNS/IT/Môi trường</x:v>
      </x:c>
      <x:c r="U125" s="14" t="str">
        <x:v>CHK Việt Nam, Cảng vụ, ACV, chủ đầu tư, đơn vị thi công, hãng bay</x:v>
      </x:c>
      <x:c r="V125" s="14" t="str">
        <x:v>Trước thời điểm thay đổi/thi công; theo từng hồ sơ</x:v>
      </x:c>
      <x:c r="W125" s="14" t="str">
        <x:v>P1</x:v>
      </x:c>
      <x:c r="X125" s="14" t="str">
        <x:v>Rất cao</x:v>
      </x:c>
      <x:c r="Y125" s="14" t="str">
        <x:v>Chưa bắt đầu</x:v>
      </x:c>
      <x:c r="Z125" s="14" t="str">
        <x:v>Nhóm trọng tâm có mức rủi ro cao nhất.</x:v>
      </x:c>
      <x:c r="AA125" s="14" t="str"/>
      <x:c r="AB125" s="14" t="str">
        <x:v>cang; san bay; atm; cns; an toan</x:v>
      </x:c>
    </x:row>
    <x:row r="126">
      <x:c r="A126" s="14" t="str">
        <x:v>VATM-0125</x:v>
      </x:c>
      <x:c r="B126" s="14" t="str">
        <x:v>125</x:v>
      </x:c>
      <x:c r="C126" s="14" t="str">
        <x:v>Nghị định 205/2026/NĐ-CP</x:v>
      </x:c>
      <x:c r="D126" s="14" t="str">
        <x:v>Ra_soat_sau_ND205_VATM_ANSP_day_du.xlsx</x:v>
      </x:c>
      <x:c r="E126" s="14" t="str">
        <x:v>01_Nhiem_vu_chi_tiet</x:v>
      </x:c>
      <x:c r="F126" s="56" t="n">
        <x:v>126</x:v>
      </x:c>
      <x:c r="G126" s="14" t="str">
        <x:v>Điều 70</x:v>
      </x:c>
      <x:c r="H126" s="14" t="str">
        <x:v>Quản lý khai thác cảng/sân bay</x:v>
      </x:c>
      <x:c r="I126" s="14" t="str">
        <x:v>Công trình, chướng ngại và thi công</x:v>
      </x:c>
      <x:c r="J126" s="14" t="str">
        <x:v>Bao phủ chi tiết từng điều khai thác/thi công</x:v>
      </x:c>
      <x:c r="K126" s="14" t="str">
        <x:v>Trực tiếp</x:v>
      </x:c>
      <x:c r="L126" s="14" t="str">
        <x:v>Quy trình/SOP/biểu mẫu</x:v>
      </x:c>
      <x:c r="M126" s="14" t="str">
        <x:v>ANSP</x:v>
      </x:c>
      <x:c r="N126" s="14" t="str">
        <x:v>Rà soát chi tiết yêu cầu của điều này trong kế hoạch khai thác, tài liệu khai thác, thi công, đưa/dừng khai thác; xác định việc VATM phải góp ý, phối hợp, giám sát hoặc cập nhật tin tức hàng không.</x:v>
      </x:c>
      <x:c r="O126" s="14" t="str">
        <x:v>Bắt buộc thực hiện MOC/HIRA khi ảnh hưởng hoạt động bay; lưu hồ sơ chứng minh; briefing cơ sở ANS trước hiệu lực thay đổi.</x:v>
      </x:c>
      <x:c r="P126" s="14" t="str">
        <x:v>Mọi thay đổi có kiểm soát, có thông tin chính xác, không gián đoạn ANS</x:v>
      </x:c>
      <x:c r="Q126" s="14" t="str">
        <x:v>Safety assessment; biên bản hiệp đồng; checklist; NOTAM/AIP; tài liệu khai thác cập nhật</x:v>
      </x:c>
      <x:c r="R126" s="14" t="str">
        <x:v>Quy trình MOC/HIRA; quy trình NOTAM/AIP; SOP cơ sở; Checklist chi tiết điều khoản khai thác/thi công</x:v>
      </x:c>
      <x:c r="S126" s="14" t="str">
        <x:v>Ban Kế hoạch - Đầu tư; Ban Không lưu; Ban Kỹ thuật - CNS/IT/Môi trường; Ban An toàn - Chất lượng; Trung tâm Thông báo tin tức hàng không; Các Công ty Quản lý bay khu vực Bắc/Trung/Nam</x:v>
      </x:c>
      <x:c r="T126" s="14" t="str">
        <x:v>Các Công ty Quản lý bay khu vực Bắc/Trung/Nam; Ban Kế hoạch - Đầu tư; Ban Không lưu; Ban Kỹ thuật - CNS/IT/Môi trường</x:v>
      </x:c>
      <x:c r="U126" s="14" t="str">
        <x:v>CHK Việt Nam, Cảng vụ, ACV, chủ đầu tư, đơn vị thi công, hãng bay</x:v>
      </x:c>
      <x:c r="V126" s="14" t="str">
        <x:v>Trước thời điểm thay đổi/thi công; theo từng hồ sơ</x:v>
      </x:c>
      <x:c r="W126" s="14" t="str">
        <x:v>P1</x:v>
      </x:c>
      <x:c r="X126" s="14" t="str">
        <x:v>Rất cao</x:v>
      </x:c>
      <x:c r="Y126" s="14" t="str">
        <x:v>Chưa bắt đầu</x:v>
      </x:c>
      <x:c r="Z126" s="14" t="str">
        <x:v>Nhóm trọng tâm có mức rủi ro cao nhất.</x:v>
      </x:c>
      <x:c r="AA126" s="14" t="str"/>
      <x:c r="AB126" s="14" t="str">
        <x:v>cang; san bay; atm; cns; an toan</x:v>
      </x:c>
    </x:row>
    <x:row r="127">
      <x:c r="A127" s="14" t="str">
        <x:v>VATM-0126</x:v>
      </x:c>
      <x:c r="B127" s="14" t="str">
        <x:v>126</x:v>
      </x:c>
      <x:c r="C127" s="14" t="str">
        <x:v>Nghị định 205/2026/NĐ-CP</x:v>
      </x:c>
      <x:c r="D127" s="14" t="str">
        <x:v>Ra_soat_sau_ND205_VATM_ANSP_day_du.xlsx</x:v>
      </x:c>
      <x:c r="E127" s="14" t="str">
        <x:v>01_Nhiem_vu_chi_tiet</x:v>
      </x:c>
      <x:c r="F127" s="56" t="n">
        <x:v>127</x:v>
      </x:c>
      <x:c r="G127" s="14" t="str">
        <x:v>Điều 71</x:v>
      </x:c>
      <x:c r="H127" s="14" t="str">
        <x:v>Quản lý khai thác cảng/sân bay</x:v>
      </x:c>
      <x:c r="I127" s="14" t="str">
        <x:v>Công trình, chướng ngại và thi công</x:v>
      </x:c>
      <x:c r="J127" s="14" t="str">
        <x:v>Bao phủ chi tiết từng điều khai thác/thi công</x:v>
      </x:c>
      <x:c r="K127" s="14" t="str">
        <x:v>Trực tiếp</x:v>
      </x:c>
      <x:c r="L127" s="14" t="str">
        <x:v>Quy trình/SOP/biểu mẫu</x:v>
      </x:c>
      <x:c r="M127" s="14" t="str">
        <x:v>ANSP</x:v>
      </x:c>
      <x:c r="N127" s="14" t="str">
        <x:v>Rà soát chi tiết yêu cầu của điều này trong kế hoạch khai thác, tài liệu khai thác, thi công, đưa/dừng khai thác; xác định việc VATM phải góp ý, phối hợp, giám sát hoặc cập nhật tin tức hàng không.</x:v>
      </x:c>
      <x:c r="O127" s="14" t="str">
        <x:v>Bắt buộc thực hiện MOC/HIRA khi ảnh hưởng hoạt động bay; lưu hồ sơ chứng minh; briefing cơ sở ANS trước hiệu lực thay đổi.</x:v>
      </x:c>
      <x:c r="P127" s="14" t="str">
        <x:v>Mọi thay đổi có kiểm soát, có thông tin chính xác, không gián đoạn ANS</x:v>
      </x:c>
      <x:c r="Q127" s="14" t="str">
        <x:v>Safety assessment; biên bản hiệp đồng; checklist; NOTAM/AIP; tài liệu khai thác cập nhật</x:v>
      </x:c>
      <x:c r="R127" s="14" t="str">
        <x:v>Quy trình MOC/HIRA; quy trình NOTAM/AIP; SOP cơ sở; Checklist chi tiết điều khoản khai thác/thi công</x:v>
      </x:c>
      <x:c r="S127" s="14" t="str">
        <x:v>Ban Kế hoạch - Đầu tư; Ban Không lưu; Ban Kỹ thuật - CNS/IT/Môi trường; Ban An toàn - Chất lượng; Trung tâm Thông báo tin tức hàng không; Các Công ty Quản lý bay khu vực Bắc/Trung/Nam</x:v>
      </x:c>
      <x:c r="T127" s="14" t="str">
        <x:v>Các Công ty Quản lý bay khu vực Bắc/Trung/Nam; Ban Kế hoạch - Đầu tư; Ban Không lưu; Ban Kỹ thuật - CNS/IT/Môi trường</x:v>
      </x:c>
      <x:c r="U127" s="14" t="str">
        <x:v>CHK Việt Nam, Cảng vụ, ACV, chủ đầu tư, đơn vị thi công, hãng bay</x:v>
      </x:c>
      <x:c r="V127" s="14" t="str">
        <x:v>Trước thời điểm thay đổi/thi công; theo từng hồ sơ</x:v>
      </x:c>
      <x:c r="W127" s="14" t="str">
        <x:v>P1</x:v>
      </x:c>
      <x:c r="X127" s="14" t="str">
        <x:v>Rất cao</x:v>
      </x:c>
      <x:c r="Y127" s="14" t="str">
        <x:v>Chưa bắt đầu</x:v>
      </x:c>
      <x:c r="Z127" s="14" t="str">
        <x:v>Nhóm trọng tâm có mức rủi ro cao nhất.</x:v>
      </x:c>
      <x:c r="AA127" s="14" t="str"/>
      <x:c r="AB127" s="14" t="str">
        <x:v>cang; san bay; atm; cns; an toan</x:v>
      </x:c>
    </x:row>
    <x:row r="128">
      <x:c r="A128" s="14" t="str">
        <x:v>VATM-0127</x:v>
      </x:c>
      <x:c r="B128" s="14" t="str">
        <x:v>127</x:v>
      </x:c>
      <x:c r="C128" s="14" t="str">
        <x:v>Nghị định 205/2026/NĐ-CP</x:v>
      </x:c>
      <x:c r="D128" s="14" t="str">
        <x:v>Ra_soat_sau_ND205_VATM_ANSP_day_du.xlsx</x:v>
      </x:c>
      <x:c r="E128" s="14" t="str">
        <x:v>01_Nhiem_vu_chi_tiet</x:v>
      </x:c>
      <x:c r="F128" s="56" t="n">
        <x:v>128</x:v>
      </x:c>
      <x:c r="G128" s="14" t="str">
        <x:v>Điều 72</x:v>
      </x:c>
      <x:c r="H128" s="14" t="str">
        <x:v>Quản lý khai thác cảng/sân bay</x:v>
      </x:c>
      <x:c r="I128" s="14" t="str">
        <x:v>Công trình, chướng ngại và thi công</x:v>
      </x:c>
      <x:c r="J128" s="14" t="str">
        <x:v>Bao phủ chi tiết từng điều khai thác/thi công</x:v>
      </x:c>
      <x:c r="K128" s="14" t="str">
        <x:v>Trực tiếp</x:v>
      </x:c>
      <x:c r="L128" s="14" t="str">
        <x:v>Quy trình/SOP/biểu mẫu</x:v>
      </x:c>
      <x:c r="M128" s="14" t="str">
        <x:v>ANSP</x:v>
      </x:c>
      <x:c r="N128" s="14" t="str">
        <x:v>Rà soát chi tiết yêu cầu của điều này trong kế hoạch khai thác, tài liệu khai thác, thi công, đưa/dừng khai thác; xác định việc VATM phải góp ý, phối hợp, giám sát hoặc cập nhật tin tức hàng không.</x:v>
      </x:c>
      <x:c r="O128" s="14" t="str">
        <x:v>Bắt buộc thực hiện MOC/HIRA khi ảnh hưởng hoạt động bay; lưu hồ sơ chứng minh; briefing cơ sở ANS trước hiệu lực thay đổi.</x:v>
      </x:c>
      <x:c r="P128" s="14" t="str">
        <x:v>Mọi thay đổi có kiểm soát, có thông tin chính xác, không gián đoạn ANS</x:v>
      </x:c>
      <x:c r="Q128" s="14" t="str">
        <x:v>Safety assessment; biên bản hiệp đồng; checklist; NOTAM/AIP; tài liệu khai thác cập nhật</x:v>
      </x:c>
      <x:c r="R128" s="14" t="str">
        <x:v>Quy trình MOC/HIRA; quy trình NOTAM/AIP; SOP cơ sở; Checklist chi tiết điều khoản khai thác/thi công</x:v>
      </x:c>
      <x:c r="S128" s="14" t="str">
        <x:v>Ban Kế hoạch - Đầu tư; Ban Không lưu; Ban Kỹ thuật - CNS/IT/Môi trường; Ban An toàn - Chất lượng; Trung tâm Thông báo tin tức hàng không; Các Công ty Quản lý bay khu vực Bắc/Trung/Nam</x:v>
      </x:c>
      <x:c r="T128" s="14" t="str">
        <x:v>Các Công ty Quản lý bay khu vực Bắc/Trung/Nam; Ban Kế hoạch - Đầu tư; Ban Không lưu; Ban Kỹ thuật - CNS/IT/Môi trường</x:v>
      </x:c>
      <x:c r="U128" s="14" t="str">
        <x:v>CHK Việt Nam, Cảng vụ, ACV, chủ đầu tư, đơn vị thi công, hãng bay</x:v>
      </x:c>
      <x:c r="V128" s="14" t="str">
        <x:v>Trước thời điểm thay đổi/thi công; theo từng hồ sơ</x:v>
      </x:c>
      <x:c r="W128" s="14" t="str">
        <x:v>P1</x:v>
      </x:c>
      <x:c r="X128" s="14" t="str">
        <x:v>Rất cao</x:v>
      </x:c>
      <x:c r="Y128" s="14" t="str">
        <x:v>Chưa bắt đầu</x:v>
      </x:c>
      <x:c r="Z128" s="14" t="str">
        <x:v>Nhóm trọng tâm có mức rủi ro cao nhất.</x:v>
      </x:c>
      <x:c r="AA128" s="14" t="str"/>
      <x:c r="AB128" s="14" t="str">
        <x:v>cang; san bay; atm; cns; an toan</x:v>
      </x:c>
    </x:row>
    <x:row r="129">
      <x:c r="A129" s="14" t="str">
        <x:v>VATM-0128</x:v>
      </x:c>
      <x:c r="B129" s="14" t="str">
        <x:v>128</x:v>
      </x:c>
      <x:c r="C129" s="14" t="str">
        <x:v>Nghị định 205/2026/NĐ-CP</x:v>
      </x:c>
      <x:c r="D129" s="14" t="str">
        <x:v>Ra_soat_sau_ND205_VATM_ANSP_day_du.xlsx</x:v>
      </x:c>
      <x:c r="E129" s="14" t="str">
        <x:v>01_Nhiem_vu_chi_tiet</x:v>
      </x:c>
      <x:c r="F129" s="56" t="n">
        <x:v>129</x:v>
      </x:c>
      <x:c r="G129" s="14" t="str">
        <x:v>Điều 73</x:v>
      </x:c>
      <x:c r="H129" s="14" t="str">
        <x:v>Quản lý khai thác cảng/sân bay</x:v>
      </x:c>
      <x:c r="I129" s="14" t="str">
        <x:v>Công trình, chướng ngại và thi công</x:v>
      </x:c>
      <x:c r="J129" s="14" t="str">
        <x:v>Bao phủ chi tiết từng điều khai thác/thi công</x:v>
      </x:c>
      <x:c r="K129" s="14" t="str">
        <x:v>Trực tiếp</x:v>
      </x:c>
      <x:c r="L129" s="14" t="str">
        <x:v>Quy trình/SOP/biểu mẫu</x:v>
      </x:c>
      <x:c r="M129" s="14" t="str">
        <x:v>ANSP</x:v>
      </x:c>
      <x:c r="N129" s="14" t="str">
        <x:v>Rà soát chi tiết yêu cầu của điều này trong kế hoạch khai thác, tài liệu khai thác, thi công, đưa/dừng khai thác; xác định việc VATM phải góp ý, phối hợp, giám sát hoặc cập nhật tin tức hàng không.</x:v>
      </x:c>
      <x:c r="O129" s="14" t="str">
        <x:v>Bắt buộc thực hiện MOC/HIRA khi ảnh hưởng hoạt động bay; lưu hồ sơ chứng minh; briefing cơ sở ANS trước hiệu lực thay đổi.</x:v>
      </x:c>
      <x:c r="P129" s="14" t="str">
        <x:v>Mọi thay đổi có kiểm soát, có thông tin chính xác, không gián đoạn ANS</x:v>
      </x:c>
      <x:c r="Q129" s="14" t="str">
        <x:v>Safety assessment; biên bản hiệp đồng; checklist; NOTAM/AIP; tài liệu khai thác cập nhật</x:v>
      </x:c>
      <x:c r="R129" s="14" t="str">
        <x:v>Quy trình MOC/HIRA; quy trình NOTAM/AIP; SOP cơ sở; Checklist chi tiết điều khoản khai thác/thi công</x:v>
      </x:c>
      <x:c r="S129" s="14" t="str">
        <x:v>Ban Kế hoạch - Đầu tư; Ban Không lưu; Ban Kỹ thuật - CNS/IT/Môi trường; Ban An toàn - Chất lượng; Trung tâm Thông báo tin tức hàng không; Các Công ty Quản lý bay khu vực Bắc/Trung/Nam</x:v>
      </x:c>
      <x:c r="T129" s="14" t="str">
        <x:v>Các Công ty Quản lý bay khu vực Bắc/Trung/Nam; Ban Kế hoạch - Đầu tư; Ban Không lưu; Ban Kỹ thuật - CNS/IT/Môi trường</x:v>
      </x:c>
      <x:c r="U129" s="14" t="str">
        <x:v>CHK Việt Nam, Cảng vụ, ACV, chủ đầu tư, đơn vị thi công, hãng bay</x:v>
      </x:c>
      <x:c r="V129" s="14" t="str">
        <x:v>Trước thời điểm thay đổi/thi công; theo từng hồ sơ</x:v>
      </x:c>
      <x:c r="W129" s="14" t="str">
        <x:v>P1</x:v>
      </x:c>
      <x:c r="X129" s="14" t="str">
        <x:v>Rất cao</x:v>
      </x:c>
      <x:c r="Y129" s="14" t="str">
        <x:v>Chưa bắt đầu</x:v>
      </x:c>
      <x:c r="Z129" s="14" t="str">
        <x:v>Nhóm trọng tâm có mức rủi ro cao nhất.</x:v>
      </x:c>
      <x:c r="AA129" s="14" t="str"/>
      <x:c r="AB129" s="14" t="str">
        <x:v>cang; san bay; atm; cns; an toan</x:v>
      </x:c>
    </x:row>
    <x:row r="130">
      <x:c r="A130" s="14" t="str">
        <x:v>VATM-0129</x:v>
      </x:c>
      <x:c r="B130" s="14" t="str">
        <x:v>129</x:v>
      </x:c>
      <x:c r="C130" s="14" t="str">
        <x:v>Nghị định 205/2026/NĐ-CP</x:v>
      </x:c>
      <x:c r="D130" s="14" t="str">
        <x:v>Ra_soat_sau_ND205_VATM_ANSP_day_du.xlsx</x:v>
      </x:c>
      <x:c r="E130" s="14" t="str">
        <x:v>01_Nhiem_vu_chi_tiet</x:v>
      </x:c>
      <x:c r="F130" s="56" t="n">
        <x:v>130</x:v>
      </x:c>
      <x:c r="G130" s="14" t="str">
        <x:v>Điều 74</x:v>
      </x:c>
      <x:c r="H130" s="14" t="str">
        <x:v>Quản lý khai thác cảng/sân bay</x:v>
      </x:c>
      <x:c r="I130" s="14" t="str">
        <x:v>Công trình, chướng ngại và thi công</x:v>
      </x:c>
      <x:c r="J130" s="14" t="str">
        <x:v>Bao phủ chi tiết từng điều khai thác/thi công</x:v>
      </x:c>
      <x:c r="K130" s="14" t="str">
        <x:v>Trực tiếp</x:v>
      </x:c>
      <x:c r="L130" s="14" t="str">
        <x:v>Quy trình/SOP/biểu mẫu</x:v>
      </x:c>
      <x:c r="M130" s="14" t="str">
        <x:v>ANSP</x:v>
      </x:c>
      <x:c r="N130" s="14" t="str">
        <x:v>Rà soát chi tiết yêu cầu của điều này trong kế hoạch khai thác, tài liệu khai thác, thi công, đưa/dừng khai thác; xác định việc VATM phải góp ý, phối hợp, giám sát hoặc cập nhật tin tức hàng không.</x:v>
      </x:c>
      <x:c r="O130" s="14" t="str">
        <x:v>Bắt buộc thực hiện MOC/HIRA khi ảnh hưởng hoạt động bay; lưu hồ sơ chứng minh; briefing cơ sở ANS trước hiệu lực thay đổi.</x:v>
      </x:c>
      <x:c r="P130" s="14" t="str">
        <x:v>Mọi thay đổi có kiểm soát, có thông tin chính xác, không gián đoạn ANS</x:v>
      </x:c>
      <x:c r="Q130" s="14" t="str">
        <x:v>Safety assessment; biên bản hiệp đồng; checklist; NOTAM/AIP; tài liệu khai thác cập nhật</x:v>
      </x:c>
      <x:c r="R130" s="14" t="str">
        <x:v>Quy trình MOC/HIRA; quy trình NOTAM/AIP; SOP cơ sở; Checklist chi tiết điều khoản khai thác/thi công</x:v>
      </x:c>
      <x:c r="S130" s="14" t="str">
        <x:v>Ban Kế hoạch - Đầu tư; Ban Không lưu; Ban Kỹ thuật - CNS/IT/Môi trường; Ban An toàn - Chất lượng; Trung tâm Thông báo tin tức hàng không; Các Công ty Quản lý bay khu vực Bắc/Trung/Nam</x:v>
      </x:c>
      <x:c r="T130" s="14" t="str">
        <x:v>Các Công ty Quản lý bay khu vực Bắc/Trung/Nam; Ban Kế hoạch - Đầu tư; Ban Không lưu; Ban Kỹ thuật - CNS/IT/Môi trường</x:v>
      </x:c>
      <x:c r="U130" s="14" t="str">
        <x:v>CHK Việt Nam, Cảng vụ, ACV, chủ đầu tư, đơn vị thi công, hãng bay</x:v>
      </x:c>
      <x:c r="V130" s="14" t="str">
        <x:v>Trước thời điểm thay đổi/thi công; theo từng hồ sơ</x:v>
      </x:c>
      <x:c r="W130" s="14" t="str">
        <x:v>P1</x:v>
      </x:c>
      <x:c r="X130" s="14" t="str">
        <x:v>Rất cao</x:v>
      </x:c>
      <x:c r="Y130" s="14" t="str">
        <x:v>Chưa bắt đầu</x:v>
      </x:c>
      <x:c r="Z130" s="14" t="str">
        <x:v>Nhóm trọng tâm có mức rủi ro cao nhất.</x:v>
      </x:c>
      <x:c r="AA130" s="14" t="str"/>
      <x:c r="AB130" s="14" t="str">
        <x:v>cang; san bay; atm; cns; an toan</x:v>
      </x:c>
    </x:row>
    <x:row r="131">
      <x:c r="A131" s="14" t="str">
        <x:v>VATM-0130</x:v>
      </x:c>
      <x:c r="B131" s="14" t="str">
        <x:v>130</x:v>
      </x:c>
      <x:c r="C131" s="14" t="str">
        <x:v>Nghị định 205/2026/NĐ-CP</x:v>
      </x:c>
      <x:c r="D131" s="14" t="str">
        <x:v>Ra_soat_sau_ND205_VATM_ANSP_day_du.xlsx</x:v>
      </x:c>
      <x:c r="E131" s="14" t="str">
        <x:v>01_Nhiem_vu_chi_tiet</x:v>
      </x:c>
      <x:c r="F131" s="56" t="n">
        <x:v>131</x:v>
      </x:c>
      <x:c r="G131" s="14" t="str">
        <x:v>Điều 75</x:v>
      </x:c>
      <x:c r="H131" s="14" t="str">
        <x:v>Quản lý khai thác cảng/sân bay</x:v>
      </x:c>
      <x:c r="I131" s="14" t="str">
        <x:v>Công trình, chướng ngại và thi công</x:v>
      </x:c>
      <x:c r="J131" s="14" t="str">
        <x:v>Bao phủ chi tiết từng điều khai thác/thi công</x:v>
      </x:c>
      <x:c r="K131" s="14" t="str">
        <x:v>Trực tiếp</x:v>
      </x:c>
      <x:c r="L131" s="14" t="str">
        <x:v>Quy trình/SOP/biểu mẫu</x:v>
      </x:c>
      <x:c r="M131" s="14" t="str">
        <x:v>ANSP</x:v>
      </x:c>
      <x:c r="N131" s="14" t="str">
        <x:v>Rà soát chi tiết yêu cầu của điều này trong kế hoạch khai thác, tài liệu khai thác, thi công, đưa/dừng khai thác; xác định việc VATM phải góp ý, phối hợp, giám sát hoặc cập nhật tin tức hàng không.</x:v>
      </x:c>
      <x:c r="O131" s="14" t="str">
        <x:v>Bắt buộc thực hiện MOC/HIRA khi ảnh hưởng hoạt động bay; lưu hồ sơ chứng minh; briefing cơ sở ANS trước hiệu lực thay đổi.</x:v>
      </x:c>
      <x:c r="P131" s="14" t="str">
        <x:v>Mọi thay đổi có kiểm soát, có thông tin chính xác, không gián đoạn ANS</x:v>
      </x:c>
      <x:c r="Q131" s="14" t="str">
        <x:v>Safety assessment; biên bản hiệp đồng; checklist; NOTAM/AIP; tài liệu khai thác cập nhật</x:v>
      </x:c>
      <x:c r="R131" s="14" t="str">
        <x:v>Quy trình MOC/HIRA; quy trình NOTAM/AIP; SOP cơ sở; Checklist chi tiết điều khoản khai thác/thi công</x:v>
      </x:c>
      <x:c r="S131" s="14" t="str">
        <x:v>Ban Kế hoạch - Đầu tư; Ban Không lưu; Ban Kỹ thuật - CNS/IT/Môi trường; Ban An toàn - Chất lượng; Trung tâm Thông báo tin tức hàng không; Các Công ty Quản lý bay khu vực Bắc/Trung/Nam</x:v>
      </x:c>
      <x:c r="T131" s="14" t="str">
        <x:v>Các Công ty Quản lý bay khu vực Bắc/Trung/Nam; Ban Kế hoạch - Đầu tư; Ban Không lưu; Ban Kỹ thuật - CNS/IT/Môi trường</x:v>
      </x:c>
      <x:c r="U131" s="14" t="str">
        <x:v>CHK Việt Nam, Cảng vụ, ACV, chủ đầu tư, đơn vị thi công, hãng bay</x:v>
      </x:c>
      <x:c r="V131" s="14" t="str">
        <x:v>Trước thời điểm thay đổi/thi công; theo từng hồ sơ</x:v>
      </x:c>
      <x:c r="W131" s="14" t="str">
        <x:v>P1</x:v>
      </x:c>
      <x:c r="X131" s="14" t="str">
        <x:v>Rất cao</x:v>
      </x:c>
      <x:c r="Y131" s="14" t="str">
        <x:v>Chưa bắt đầu</x:v>
      </x:c>
      <x:c r="Z131" s="14" t="str">
        <x:v>Nhóm trọng tâm có mức rủi ro cao nhất.</x:v>
      </x:c>
      <x:c r="AA131" s="14" t="str"/>
      <x:c r="AB131" s="14" t="str">
        <x:v>cang; san bay; atm; cns; an toan</x:v>
      </x:c>
    </x:row>
    <x:row r="132">
      <x:c r="A132" s="14" t="str">
        <x:v>VATM-0131</x:v>
      </x:c>
      <x:c r="B132" s="14" t="str">
        <x:v>131</x:v>
      </x:c>
      <x:c r="C132" s="14" t="str">
        <x:v>Nghị định 205/2026/NĐ-CP</x:v>
      </x:c>
      <x:c r="D132" s="14" t="str">
        <x:v>Ra_soat_sau_ND205_VATM_ANSP_day_du.xlsx</x:v>
      </x:c>
      <x:c r="E132" s="14" t="str">
        <x:v>01_Nhiem_vu_chi_tiet</x:v>
      </x:c>
      <x:c r="F132" s="56" t="n">
        <x:v>132</x:v>
      </x:c>
      <x:c r="G132" s="14" t="str">
        <x:v>Điều 76</x:v>
      </x:c>
      <x:c r="H132" s="14" t="str">
        <x:v>Quản lý khai thác cảng/sân bay</x:v>
      </x:c>
      <x:c r="I132" s="14" t="str">
        <x:v>Công trình, chướng ngại và thi công</x:v>
      </x:c>
      <x:c r="J132" s="14" t="str">
        <x:v>Bao phủ chi tiết từng điều khai thác/thi công</x:v>
      </x:c>
      <x:c r="K132" s="14" t="str">
        <x:v>Trực tiếp</x:v>
      </x:c>
      <x:c r="L132" s="14" t="str">
        <x:v>Quy trình/SOP/biểu mẫu</x:v>
      </x:c>
      <x:c r="M132" s="14" t="str">
        <x:v>ANSP</x:v>
      </x:c>
      <x:c r="N132" s="14" t="str">
        <x:v>Rà soát chi tiết yêu cầu của điều này trong kế hoạch khai thác, tài liệu khai thác, thi công, đưa/dừng khai thác; xác định việc VATM phải góp ý, phối hợp, giám sát hoặc cập nhật tin tức hàng không.</x:v>
      </x:c>
      <x:c r="O132" s="14" t="str">
        <x:v>Bắt buộc thực hiện MOC/HIRA khi ảnh hưởng hoạt động bay; lưu hồ sơ chứng minh; briefing cơ sở ANS trước hiệu lực thay đổi.</x:v>
      </x:c>
      <x:c r="P132" s="14" t="str">
        <x:v>Mọi thay đổi có kiểm soát, có thông tin chính xác, không gián đoạn ANS</x:v>
      </x:c>
      <x:c r="Q132" s="14" t="str">
        <x:v>Safety assessment; biên bản hiệp đồng; checklist; NOTAM/AIP; tài liệu khai thác cập nhật</x:v>
      </x:c>
      <x:c r="R132" s="14" t="str">
        <x:v>Quy trình MOC/HIRA; quy trình NOTAM/AIP; SOP cơ sở; Checklist chi tiết điều khoản khai thác/thi công</x:v>
      </x:c>
      <x:c r="S132" s="14" t="str">
        <x:v>Ban Kế hoạch - Đầu tư; Ban Không lưu; Ban Kỹ thuật - CNS/IT/Môi trường; Ban An toàn - Chất lượng; Trung tâm Thông báo tin tức hàng không; Các Công ty Quản lý bay khu vực Bắc/Trung/Nam</x:v>
      </x:c>
      <x:c r="T132" s="14" t="str">
        <x:v>Các Công ty Quản lý bay khu vực Bắc/Trung/Nam; Ban Kế hoạch - Đầu tư; Ban Không lưu; Ban Kỹ thuật - CNS/IT/Môi trường</x:v>
      </x:c>
      <x:c r="U132" s="14" t="str">
        <x:v>CHK Việt Nam, Cảng vụ, ACV, chủ đầu tư, đơn vị thi công, hãng bay</x:v>
      </x:c>
      <x:c r="V132" s="14" t="str">
        <x:v>Trước thời điểm thay đổi/thi công; theo từng hồ sơ</x:v>
      </x:c>
      <x:c r="W132" s="14" t="str">
        <x:v>P1</x:v>
      </x:c>
      <x:c r="X132" s="14" t="str">
        <x:v>Rất cao</x:v>
      </x:c>
      <x:c r="Y132" s="14" t="str">
        <x:v>Chưa bắt đầu</x:v>
      </x:c>
      <x:c r="Z132" s="14" t="str">
        <x:v>Nhóm trọng tâm có mức rủi ro cao nhất.</x:v>
      </x:c>
      <x:c r="AA132" s="14" t="str"/>
      <x:c r="AB132" s="14" t="str">
        <x:v>cang; san bay; atm; cns; an toan</x:v>
      </x:c>
    </x:row>
    <x:row r="133">
      <x:c r="A133" s="14" t="str">
        <x:v>VATM-0132</x:v>
      </x:c>
      <x:c r="B133" s="14" t="str">
        <x:v>132</x:v>
      </x:c>
      <x:c r="C133" s="14" t="str">
        <x:v>Nghị định 205/2026/NĐ-CP</x:v>
      </x:c>
      <x:c r="D133" s="14" t="str">
        <x:v>Ra_soat_sau_ND205_VATM_ANSP_day_du.xlsx</x:v>
      </x:c>
      <x:c r="E133" s="14" t="str">
        <x:v>01_Nhiem_vu_chi_tiet</x:v>
      </x:c>
      <x:c r="F133" s="56" t="n">
        <x:v>133</x:v>
      </x:c>
      <x:c r="G133" s="14" t="str">
        <x:v>Điều 77</x:v>
      </x:c>
      <x:c r="H133" s="14" t="str">
        <x:v>Quản lý khai thác cảng/sân bay</x:v>
      </x:c>
      <x:c r="I133" s="14" t="str">
        <x:v>Công trình, chướng ngại và thi công</x:v>
      </x:c>
      <x:c r="J133" s="14" t="str">
        <x:v>Bao phủ chi tiết từng điều khai thác/thi công</x:v>
      </x:c>
      <x:c r="K133" s="14" t="str">
        <x:v>Trực tiếp</x:v>
      </x:c>
      <x:c r="L133" s="14" t="str">
        <x:v>Quy trình/SOP/biểu mẫu</x:v>
      </x:c>
      <x:c r="M133" s="14" t="str">
        <x:v>ANSP</x:v>
      </x:c>
      <x:c r="N133" s="14" t="str">
        <x:v>Rà soát chi tiết yêu cầu của điều này trong kế hoạch khai thác, tài liệu khai thác, thi công, đưa/dừng khai thác; xác định việc VATM phải góp ý, phối hợp, giám sát hoặc cập nhật tin tức hàng không.</x:v>
      </x:c>
      <x:c r="O133" s="14" t="str">
        <x:v>Bắt buộc thực hiện MOC/HIRA khi ảnh hưởng hoạt động bay; lưu hồ sơ chứng minh; briefing cơ sở ANS trước hiệu lực thay đổi.</x:v>
      </x:c>
      <x:c r="P133" s="14" t="str">
        <x:v>Mọi thay đổi có kiểm soát, có thông tin chính xác, không gián đoạn ANS</x:v>
      </x:c>
      <x:c r="Q133" s="14" t="str">
        <x:v>Safety assessment; biên bản hiệp đồng; checklist; NOTAM/AIP; tài liệu khai thác cập nhật</x:v>
      </x:c>
      <x:c r="R133" s="14" t="str">
        <x:v>Quy trình MOC/HIRA; quy trình NOTAM/AIP; SOP cơ sở; Checklist chi tiết điều khoản khai thác/thi công</x:v>
      </x:c>
      <x:c r="S133" s="14" t="str">
        <x:v>Ban Kế hoạch - Đầu tư; Ban Không lưu; Ban Kỹ thuật - CNS/IT/Môi trường; Ban An toàn - Chất lượng; Trung tâm Thông báo tin tức hàng không; Các Công ty Quản lý bay khu vực Bắc/Trung/Nam</x:v>
      </x:c>
      <x:c r="T133" s="14" t="str">
        <x:v>Các Công ty Quản lý bay khu vực Bắc/Trung/Nam; Ban Kế hoạch - Đầu tư; Ban Không lưu; Ban Kỹ thuật - CNS/IT/Môi trường</x:v>
      </x:c>
      <x:c r="U133" s="14" t="str">
        <x:v>CHK Việt Nam, Cảng vụ, ACV, chủ đầu tư, đơn vị thi công, hãng bay</x:v>
      </x:c>
      <x:c r="V133" s="14" t="str">
        <x:v>Trước thời điểm thay đổi/thi công; theo từng hồ sơ</x:v>
      </x:c>
      <x:c r="W133" s="14" t="str">
        <x:v>P1</x:v>
      </x:c>
      <x:c r="X133" s="14" t="str">
        <x:v>Rất cao</x:v>
      </x:c>
      <x:c r="Y133" s="14" t="str">
        <x:v>Chưa bắt đầu</x:v>
      </x:c>
      <x:c r="Z133" s="14" t="str">
        <x:v>Nhóm trọng tâm có mức rủi ro cao nhất.</x:v>
      </x:c>
      <x:c r="AA133" s="14" t="str"/>
      <x:c r="AB133" s="14" t="str">
        <x:v>cang; san bay; atm; cns; an toan</x:v>
      </x:c>
    </x:row>
    <x:row r="134">
      <x:c r="A134" s="14" t="str">
        <x:v>VATM-0133</x:v>
      </x:c>
      <x:c r="B134" s="14" t="str">
        <x:v>133</x:v>
      </x:c>
      <x:c r="C134" s="14" t="str">
        <x:v>Nghị định 205/2026/NĐ-CP</x:v>
      </x:c>
      <x:c r="D134" s="14" t="str">
        <x:v>Ra_soat_sau_ND205_VATM_ANSP_day_du.xlsx</x:v>
      </x:c>
      <x:c r="E134" s="14" t="str">
        <x:v>01_Nhiem_vu_chi_tiet</x:v>
      </x:c>
      <x:c r="F134" s="56" t="n">
        <x:v>134</x:v>
      </x:c>
      <x:c r="G134" s="14" t="str">
        <x:v>Điều 78</x:v>
      </x:c>
      <x:c r="H134" s="14" t="str">
        <x:v>Quản lý khai thác cảng/sân bay</x:v>
      </x:c>
      <x:c r="I134" s="14" t="str">
        <x:v>Công trình, chướng ngại và thi công</x:v>
      </x:c>
      <x:c r="J134" s="14" t="str">
        <x:v>Bao phủ chi tiết từng điều khai thác/thi công</x:v>
      </x:c>
      <x:c r="K134" s="14" t="str">
        <x:v>Trực tiếp</x:v>
      </x:c>
      <x:c r="L134" s="14" t="str">
        <x:v>Quy trình/SOP/biểu mẫu</x:v>
      </x:c>
      <x:c r="M134" s="14" t="str">
        <x:v>ANSP</x:v>
      </x:c>
      <x:c r="N134" s="14" t="str">
        <x:v>Rà soát chi tiết yêu cầu của điều này trong kế hoạch khai thác, tài liệu khai thác, thi công, đưa/dừng khai thác; xác định việc VATM phải góp ý, phối hợp, giám sát hoặc cập nhật tin tức hàng không.</x:v>
      </x:c>
      <x:c r="O134" s="14" t="str">
        <x:v>Bắt buộc thực hiện MOC/HIRA khi ảnh hưởng hoạt động bay; lưu hồ sơ chứng minh; briefing cơ sở ANS trước hiệu lực thay đổi.</x:v>
      </x:c>
      <x:c r="P134" s="14" t="str">
        <x:v>Mọi thay đổi có kiểm soát, có thông tin chính xác, không gián đoạn ANS</x:v>
      </x:c>
      <x:c r="Q134" s="14" t="str">
        <x:v>Safety assessment; biên bản hiệp đồng; checklist; NOTAM/AIP; tài liệu khai thác cập nhật</x:v>
      </x:c>
      <x:c r="R134" s="14" t="str">
        <x:v>Quy trình MOC/HIRA; quy trình NOTAM/AIP; SOP cơ sở; Checklist chi tiết điều khoản khai thác/thi công</x:v>
      </x:c>
      <x:c r="S134" s="14" t="str">
        <x:v>Ban Kế hoạch - Đầu tư; Ban Không lưu; Ban Kỹ thuật - CNS/IT/Môi trường; Ban An toàn - Chất lượng; Trung tâm Thông báo tin tức hàng không; Các Công ty Quản lý bay khu vực Bắc/Trung/Nam</x:v>
      </x:c>
      <x:c r="T134" s="14" t="str">
        <x:v>Các Công ty Quản lý bay khu vực Bắc/Trung/Nam; Ban Kế hoạch - Đầu tư; Ban Không lưu; Ban Kỹ thuật - CNS/IT/Môi trường</x:v>
      </x:c>
      <x:c r="U134" s="14" t="str">
        <x:v>CHK Việt Nam, Cảng vụ, ACV, chủ đầu tư, đơn vị thi công, hãng bay</x:v>
      </x:c>
      <x:c r="V134" s="14" t="str">
        <x:v>Trước thời điểm thay đổi/thi công; theo từng hồ sơ</x:v>
      </x:c>
      <x:c r="W134" s="14" t="str">
        <x:v>P1</x:v>
      </x:c>
      <x:c r="X134" s="14" t="str">
        <x:v>Rất cao</x:v>
      </x:c>
      <x:c r="Y134" s="14" t="str">
        <x:v>Chưa bắt đầu</x:v>
      </x:c>
      <x:c r="Z134" s="14" t="str">
        <x:v>Nhóm trọng tâm có mức rủi ro cao nhất.</x:v>
      </x:c>
      <x:c r="AA134" s="14" t="str"/>
      <x:c r="AB134" s="14" t="str">
        <x:v>cang; san bay; atm; cns; an toan</x:v>
      </x:c>
    </x:row>
    <x:row r="135">
      <x:c r="A135" s="14" t="str">
        <x:v>VATM-0134</x:v>
      </x:c>
      <x:c r="B135" s="14" t="str">
        <x:v>134</x:v>
      </x:c>
      <x:c r="C135" s="14" t="str">
        <x:v>Nghị định 205/2026/NĐ-CP</x:v>
      </x:c>
      <x:c r="D135" s="14" t="str">
        <x:v>Ra_soat_sau_ND205_VATM_ANSP_day_du.xlsx</x:v>
      </x:c>
      <x:c r="E135" s="14" t="str">
        <x:v>01_Nhiem_vu_chi_tiet</x:v>
      </x:c>
      <x:c r="F135" s="56" t="n">
        <x:v>135</x:v>
      </x:c>
      <x:c r="G135" s="14" t="str">
        <x:v>Điều 79</x:v>
      </x:c>
      <x:c r="H135" s="14" t="str">
        <x:v>Quản lý khai thác cảng/sân bay</x:v>
      </x:c>
      <x:c r="I135" s="14" t="str">
        <x:v>Công trình, chướng ngại và thi công</x:v>
      </x:c>
      <x:c r="J135" s="14" t="str">
        <x:v>Bao phủ chi tiết từng điều cuối nghị định</x:v>
      </x:c>
      <x:c r="K135" s="14" t="str">
        <x:v>Trực tiếp</x:v>
      </x:c>
      <x:c r="L135" s="14" t="str">
        <x:v>Quy trình/SOP/biểu mẫu</x:v>
      </x:c>
      <x:c r="M135" s="14" t="str">
        <x:v>ANSP/doanh nghiệp hàng không</x:v>
      </x:c>
      <x:c r="N135" s="14" t="str">
        <x:v>Kiểm soát nghĩa vụ phối hợp liên quan đóng/mở bãi cất hạ cánh, dây chuyền hoạt động, phương tiện chuyên ngành, sân bay lưỡng dụng, trách nhiệm địa phương và chuyển tiếp pháp lý.</x:v>
      </x:c>
      <x:c r="O135" s="14" t="str">
        <x:v>Lập kế hoạch tuân thủ; rà soát hồ sơ, phương tiện, hiệp đồng; cập nhật căn cứ pháp lý và phổ biến cho đơn vị.</x:v>
      </x:c>
      <x:c r="P135" s="14" t="str">
        <x:v>Không bỏ sót nghĩa vụ chuyển tiếp và phối hợp quản lý khai thác</x:v>
      </x:c>
      <x:c r="Q135" s="14" t="str">
        <x:v>Kế hoạch tuân thủ; danh mục hồ sơ chuyển tiếp; hiệp đồng; danh mục phương tiện; NOTAM/AIP nếu có</x:v>
      </x:c>
      <x:c r="R135" s="14" t="str">
        <x:v>Quy trình kiểm soát tuân thủ NĐ205; quy trình phối hợp sân bay lưỡng dụng; Mẫu kế hoạch tuân thủ; checklist chuyển tiếp; mẫu danh mục phương tiện</x:v>
      </x:c>
      <x:c r="S135" s="14" t="str">
        <x:v>Ban Kế hoạch - Đầu tư; Ban Không lưu; Ban Kỹ thuật - CNS/IT/Môi trường; Văn phòng - Pháp chế; Trung tâm Thông báo tin tức hàng không; Các Công ty Quản lý bay khu vực Bắc/Trung/Nam</x:v>
      </x:c>
      <x:c r="T135" s="14" t="str">
        <x:v>Các Công ty Quản lý bay khu vực Bắc/Trung/Nam; Ban Kế hoạch - Đầu tư; Ban Không lưu; Ban Kỹ thuật - CNS/IT/Môi trường</x:v>
      </x:c>
      <x:c r="U135" s="14" t="str">
        <x:v>Bộ Xây dựng, CHK Việt Nam, Cảng vụ, UBND địa phương, Bộ Quốc phòng, ACV</x:v>
      </x:c>
      <x:c r="V135" s="14" t="str">
        <x:v>Trước/sau 01/7/2026 và khi phát sinh sự kiện</x:v>
      </x:c>
      <x:c r="W135" s="14" t="str">
        <x:v>P1</x:v>
      </x:c>
      <x:c r="X135" s="14" t="str">
        <x:v>Cao</x:v>
      </x:c>
      <x:c r="Y135" s="14" t="str">
        <x:v>Chưa bắt đầu</x:v>
      </x:c>
      <x:c r="Z135" s="14" t="str">
        <x:v>Đảm bảo bao phủ 100% điều khoản liên quan VATM.</x:v>
      </x:c>
      <x:c r="AA135" s="14" t="str"/>
      <x:c r="AB135" s="14" t="str">
        <x:v>cang; san bay; cns; phap che</x:v>
      </x:c>
    </x:row>
    <x:row r="136">
      <x:c r="A136" s="14" t="str">
        <x:v>VATM-0135</x:v>
      </x:c>
      <x:c r="B136" s="14" t="str">
        <x:v>135</x:v>
      </x:c>
      <x:c r="C136" s="14" t="str">
        <x:v>Nghị định 205/2026/NĐ-CP</x:v>
      </x:c>
      <x:c r="D136" s="14" t="str">
        <x:v>Ra_soat_sau_ND205_VATM_ANSP_day_du.xlsx</x:v>
      </x:c>
      <x:c r="E136" s="14" t="str">
        <x:v>01_Nhiem_vu_chi_tiet</x:v>
      </x:c>
      <x:c r="F136" s="56" t="n">
        <x:v>136</x:v>
      </x:c>
      <x:c r="G136" s="14" t="str">
        <x:v>Điều 80</x:v>
      </x:c>
      <x:c r="H136" s="14" t="str">
        <x:v>Quản lý khai thác cảng/sân bay</x:v>
      </x:c>
      <x:c r="I136" s="14" t="str">
        <x:v>Công trình, chướng ngại và thi công</x:v>
      </x:c>
      <x:c r="J136" s="14" t="str">
        <x:v>Bao phủ chi tiết từng điều cuối nghị định</x:v>
      </x:c>
      <x:c r="K136" s="14" t="str">
        <x:v>Trực tiếp</x:v>
      </x:c>
      <x:c r="L136" s="14" t="str">
        <x:v>Quy trình/SOP/biểu mẫu</x:v>
      </x:c>
      <x:c r="M136" s="14" t="str">
        <x:v>ANSP/doanh nghiệp hàng không</x:v>
      </x:c>
      <x:c r="N136" s="14" t="str">
        <x:v>Kiểm soát nghĩa vụ phối hợp liên quan đóng/mở bãi cất hạ cánh, dây chuyền hoạt động, phương tiện chuyên ngành, sân bay lưỡng dụng, trách nhiệm địa phương và chuyển tiếp pháp lý.</x:v>
      </x:c>
      <x:c r="O136" s="14" t="str">
        <x:v>Lập kế hoạch tuân thủ; rà soát hồ sơ, phương tiện, hiệp đồng; cập nhật căn cứ pháp lý và phổ biến cho đơn vị.</x:v>
      </x:c>
      <x:c r="P136" s="14" t="str">
        <x:v>Không bỏ sót nghĩa vụ chuyển tiếp và phối hợp quản lý khai thác</x:v>
      </x:c>
      <x:c r="Q136" s="14" t="str">
        <x:v>Kế hoạch tuân thủ; danh mục hồ sơ chuyển tiếp; hiệp đồng; danh mục phương tiện; NOTAM/AIP nếu có</x:v>
      </x:c>
      <x:c r="R136" s="14" t="str">
        <x:v>Quy trình kiểm soát tuân thủ NĐ205; quy trình phối hợp sân bay lưỡng dụng; Mẫu kế hoạch tuân thủ; checklist chuyển tiếp; mẫu danh mục phương tiện</x:v>
      </x:c>
      <x:c r="S136" s="14" t="str">
        <x:v>Ban Kế hoạch - Đầu tư; Ban Không lưu; Ban Kỹ thuật - CNS/IT/Môi trường; Văn phòng - Pháp chế; Trung tâm Thông báo tin tức hàng không; Các Công ty Quản lý bay khu vực Bắc/Trung/Nam</x:v>
      </x:c>
      <x:c r="T136" s="14" t="str">
        <x:v>Các Công ty Quản lý bay khu vực Bắc/Trung/Nam; Ban Kế hoạch - Đầu tư; Ban Không lưu; Ban Kỹ thuật - CNS/IT/Môi trường</x:v>
      </x:c>
      <x:c r="U136" s="14" t="str">
        <x:v>Bộ Xây dựng, CHK Việt Nam, Cảng vụ, UBND địa phương, Bộ Quốc phòng, ACV</x:v>
      </x:c>
      <x:c r="V136" s="14" t="str">
        <x:v>Trước/sau 01/7/2026 và khi phát sinh sự kiện</x:v>
      </x:c>
      <x:c r="W136" s="14" t="str">
        <x:v>P1</x:v>
      </x:c>
      <x:c r="X136" s="14" t="str">
        <x:v>Cao</x:v>
      </x:c>
      <x:c r="Y136" s="14" t="str">
        <x:v>Chưa bắt đầu</x:v>
      </x:c>
      <x:c r="Z136" s="14" t="str">
        <x:v>Đảm bảo bao phủ 100% điều khoản liên quan VATM.</x:v>
      </x:c>
      <x:c r="AA136" s="14" t="str"/>
      <x:c r="AB136" s="14" t="str">
        <x:v>cang; san bay; cns; phap che</x:v>
      </x:c>
    </x:row>
    <x:row r="137">
      <x:c r="A137" s="14" t="str">
        <x:v>VATM-0136</x:v>
      </x:c>
      <x:c r="B137" s="14" t="str">
        <x:v>136</x:v>
      </x:c>
      <x:c r="C137" s="14" t="str">
        <x:v>Nghị định 205/2026/NĐ-CP</x:v>
      </x:c>
      <x:c r="D137" s="14" t="str">
        <x:v>Ra_soat_sau_ND205_VATM_ANSP_day_du.xlsx</x:v>
      </x:c>
      <x:c r="E137" s="14" t="str">
        <x:v>01_Nhiem_vu_chi_tiet</x:v>
      </x:c>
      <x:c r="F137" s="56" t="n">
        <x:v>137</x:v>
      </x:c>
      <x:c r="G137" s="14" t="str">
        <x:v>Điều 81</x:v>
      </x:c>
      <x:c r="H137" s="14" t="str">
        <x:v>Quản lý khai thác cảng/sân bay</x:v>
      </x:c>
      <x:c r="I137" s="14" t="str">
        <x:v>Công trình, chướng ngại và thi công</x:v>
      </x:c>
      <x:c r="J137" s="14" t="str">
        <x:v>Bao phủ chi tiết từng điều cuối nghị định</x:v>
      </x:c>
      <x:c r="K137" s="14" t="str">
        <x:v>Trực tiếp</x:v>
      </x:c>
      <x:c r="L137" s="14" t="str">
        <x:v>Quy trình/SOP/biểu mẫu</x:v>
      </x:c>
      <x:c r="M137" s="14" t="str">
        <x:v>ANSP/doanh nghiệp hàng không</x:v>
      </x:c>
      <x:c r="N137" s="14" t="str">
        <x:v>Kiểm soát nghĩa vụ phối hợp liên quan đóng/mở bãi cất hạ cánh, dây chuyền hoạt động, phương tiện chuyên ngành, sân bay lưỡng dụng, trách nhiệm địa phương và chuyển tiếp pháp lý.</x:v>
      </x:c>
      <x:c r="O137" s="14" t="str">
        <x:v>Lập kế hoạch tuân thủ; rà soát hồ sơ, phương tiện, hiệp đồng; cập nhật căn cứ pháp lý và phổ biến cho đơn vị.</x:v>
      </x:c>
      <x:c r="P137" s="14" t="str">
        <x:v>Không bỏ sót nghĩa vụ chuyển tiếp và phối hợp quản lý khai thác</x:v>
      </x:c>
      <x:c r="Q137" s="14" t="str">
        <x:v>Kế hoạch tuân thủ; danh mục hồ sơ chuyển tiếp; hiệp đồng; danh mục phương tiện; NOTAM/AIP nếu có</x:v>
      </x:c>
      <x:c r="R137" s="14" t="str">
        <x:v>Quy trình kiểm soát tuân thủ NĐ205; quy trình phối hợp sân bay lưỡng dụng; Mẫu kế hoạch tuân thủ; checklist chuyển tiếp; mẫu danh mục phương tiện</x:v>
      </x:c>
      <x:c r="S137" s="14" t="str">
        <x:v>Ban Kế hoạch - Đầu tư; Ban Không lưu; Ban Kỹ thuật - CNS/IT/Môi trường; Văn phòng - Pháp chế; Trung tâm Thông báo tin tức hàng không; Các Công ty Quản lý bay khu vực Bắc/Trung/Nam</x:v>
      </x:c>
      <x:c r="T137" s="14" t="str">
        <x:v>Các Công ty Quản lý bay khu vực Bắc/Trung/Nam; Ban Kế hoạch - Đầu tư; Ban Không lưu; Ban Kỹ thuật - CNS/IT/Môi trường</x:v>
      </x:c>
      <x:c r="U137" s="14" t="str">
        <x:v>Bộ Xây dựng, CHK Việt Nam, Cảng vụ, UBND địa phương, Bộ Quốc phòng, ACV</x:v>
      </x:c>
      <x:c r="V137" s="14" t="str">
        <x:v>Trước/sau 01/7/2026 và khi phát sinh sự kiện</x:v>
      </x:c>
      <x:c r="W137" s="14" t="str">
        <x:v>P1</x:v>
      </x:c>
      <x:c r="X137" s="14" t="str">
        <x:v>Cao</x:v>
      </x:c>
      <x:c r="Y137" s="14" t="str">
        <x:v>Chưa bắt đầu</x:v>
      </x:c>
      <x:c r="Z137" s="14" t="str">
        <x:v>Đảm bảo bao phủ 100% điều khoản liên quan VATM.</x:v>
      </x:c>
      <x:c r="AA137" s="14" t="str"/>
      <x:c r="AB137" s="14" t="str">
        <x:v>cang; san bay; cns; phap che</x:v>
      </x:c>
    </x:row>
    <x:row r="138">
      <x:c r="A138" s="14" t="str">
        <x:v>VATM-0137</x:v>
      </x:c>
      <x:c r="B138" s="14" t="str">
        <x:v>137</x:v>
      </x:c>
      <x:c r="C138" s="14" t="str">
        <x:v>Nghị định 205/2026/NĐ-CP</x:v>
      </x:c>
      <x:c r="D138" s="14" t="str">
        <x:v>Ra_soat_sau_ND205_VATM_ANSP_day_du.xlsx</x:v>
      </x:c>
      <x:c r="E138" s="14" t="str">
        <x:v>01_Nhiem_vu_chi_tiet</x:v>
      </x:c>
      <x:c r="F138" s="56" t="n">
        <x:v>138</x:v>
      </x:c>
      <x:c r="G138" s="14" t="str">
        <x:v>Điều 82</x:v>
      </x:c>
      <x:c r="H138" s="14" t="str">
        <x:v>Quản lý khai thác cảng/sân bay</x:v>
      </x:c>
      <x:c r="I138" s="14" t="str">
        <x:v>Công trình, chướng ngại và thi công</x:v>
      </x:c>
      <x:c r="J138" s="14" t="str">
        <x:v>Bao phủ chi tiết từng điều cuối nghị định</x:v>
      </x:c>
      <x:c r="K138" s="14" t="str">
        <x:v>Trực tiếp</x:v>
      </x:c>
      <x:c r="L138" s="14" t="str">
        <x:v>Quy trình/SOP/biểu mẫu</x:v>
      </x:c>
      <x:c r="M138" s="14" t="str">
        <x:v>ANSP/doanh nghiệp hàng không</x:v>
      </x:c>
      <x:c r="N138" s="14" t="str">
        <x:v>Kiểm soát nghĩa vụ phối hợp liên quan đóng/mở bãi cất hạ cánh, dây chuyền hoạt động, phương tiện chuyên ngành, sân bay lưỡng dụng, trách nhiệm địa phương và chuyển tiếp pháp lý.</x:v>
      </x:c>
      <x:c r="O138" s="14" t="str">
        <x:v>Lập kế hoạch tuân thủ; rà soát hồ sơ, phương tiện, hiệp đồng; cập nhật căn cứ pháp lý và phổ biến cho đơn vị.</x:v>
      </x:c>
      <x:c r="P138" s="14" t="str">
        <x:v>Không bỏ sót nghĩa vụ chuyển tiếp và phối hợp quản lý khai thác</x:v>
      </x:c>
      <x:c r="Q138" s="14" t="str">
        <x:v>Kế hoạch tuân thủ; danh mục hồ sơ chuyển tiếp; hiệp đồng; danh mục phương tiện; NOTAM/AIP nếu có</x:v>
      </x:c>
      <x:c r="R138" s="14" t="str">
        <x:v>Quy trình kiểm soát tuân thủ NĐ205; quy trình phối hợp sân bay lưỡng dụng; Mẫu kế hoạch tuân thủ; checklist chuyển tiếp; mẫu danh mục phương tiện</x:v>
      </x:c>
      <x:c r="S138" s="14" t="str">
        <x:v>Ban Kế hoạch - Đầu tư; Ban Không lưu; Ban Kỹ thuật - CNS/IT/Môi trường; Văn phòng - Pháp chế; Trung tâm Thông báo tin tức hàng không; Các Công ty Quản lý bay khu vực Bắc/Trung/Nam</x:v>
      </x:c>
      <x:c r="T138" s="14" t="str">
        <x:v>Các Công ty Quản lý bay khu vực Bắc/Trung/Nam; Ban Kế hoạch - Đầu tư; Ban Không lưu; Ban Kỹ thuật - CNS/IT/Môi trường</x:v>
      </x:c>
      <x:c r="U138" s="14" t="str">
        <x:v>Bộ Xây dựng, CHK Việt Nam, Cảng vụ, UBND địa phương, Bộ Quốc phòng, ACV</x:v>
      </x:c>
      <x:c r="V138" s="14" t="str">
        <x:v>Trước/sau 01/7/2026 và khi phát sinh sự kiện</x:v>
      </x:c>
      <x:c r="W138" s="14" t="str">
        <x:v>P1</x:v>
      </x:c>
      <x:c r="X138" s="14" t="str">
        <x:v>Cao</x:v>
      </x:c>
      <x:c r="Y138" s="14" t="str">
        <x:v>Chưa bắt đầu</x:v>
      </x:c>
      <x:c r="Z138" s="14" t="str">
        <x:v>Đảm bảo bao phủ 100% điều khoản liên quan VATM.</x:v>
      </x:c>
      <x:c r="AA138" s="14" t="str"/>
      <x:c r="AB138" s="14" t="str">
        <x:v>cang; san bay; cns; phap che</x:v>
      </x:c>
    </x:row>
    <x:row r="139">
      <x:c r="A139" s="14" t="str">
        <x:v>VATM-0138</x:v>
      </x:c>
      <x:c r="B139" s="14" t="str">
        <x:v>138</x:v>
      </x:c>
      <x:c r="C139" s="14" t="str">
        <x:v>Nghị định 205/2026/NĐ-CP</x:v>
      </x:c>
      <x:c r="D139" s="14" t="str">
        <x:v>Ra_soat_sau_ND205_VATM_ANSP_day_du.xlsx</x:v>
      </x:c>
      <x:c r="E139" s="14" t="str">
        <x:v>01_Nhiem_vu_chi_tiet</x:v>
      </x:c>
      <x:c r="F139" s="56" t="n">
        <x:v>139</x:v>
      </x:c>
      <x:c r="G139" s="14" t="str">
        <x:v>Điều 83</x:v>
      </x:c>
      <x:c r="H139" s="14" t="str">
        <x:v>Quản lý khai thác cảng/sân bay</x:v>
      </x:c>
      <x:c r="I139" s="14" t="str">
        <x:v>Công trình, chướng ngại và thi công</x:v>
      </x:c>
      <x:c r="J139" s="14" t="str">
        <x:v>Bao phủ chi tiết từng điều cuối nghị định</x:v>
      </x:c>
      <x:c r="K139" s="14" t="str">
        <x:v>Trực tiếp</x:v>
      </x:c>
      <x:c r="L139" s="14" t="str">
        <x:v>Quy trình/SOP/biểu mẫu</x:v>
      </x:c>
      <x:c r="M139" s="14" t="str">
        <x:v>ANSP/doanh nghiệp hàng không</x:v>
      </x:c>
      <x:c r="N139" s="14" t="str">
        <x:v>Kiểm soát nghĩa vụ phối hợp liên quan đóng/mở bãi cất hạ cánh, dây chuyền hoạt động, phương tiện chuyên ngành, sân bay lưỡng dụng, trách nhiệm địa phương và chuyển tiếp pháp lý.</x:v>
      </x:c>
      <x:c r="O139" s="14" t="str">
        <x:v>Lập kế hoạch tuân thủ; rà soát hồ sơ, phương tiện, hiệp đồng; cập nhật căn cứ pháp lý và phổ biến cho đơn vị.</x:v>
      </x:c>
      <x:c r="P139" s="14" t="str">
        <x:v>Không bỏ sót nghĩa vụ chuyển tiếp và phối hợp quản lý khai thác</x:v>
      </x:c>
      <x:c r="Q139" s="14" t="str">
        <x:v>Kế hoạch tuân thủ; danh mục hồ sơ chuyển tiếp; hiệp đồng; danh mục phương tiện; NOTAM/AIP nếu có</x:v>
      </x:c>
      <x:c r="R139" s="14" t="str">
        <x:v>Quy trình kiểm soát tuân thủ NĐ205; quy trình phối hợp sân bay lưỡng dụng; Mẫu kế hoạch tuân thủ; checklist chuyển tiếp; mẫu danh mục phương tiện</x:v>
      </x:c>
      <x:c r="S139" s="14" t="str">
        <x:v>Ban Kế hoạch - Đầu tư; Ban Không lưu; Ban Kỹ thuật - CNS/IT/Môi trường; Văn phòng - Pháp chế; Trung tâm Thông báo tin tức hàng không; Các Công ty Quản lý bay khu vực Bắc/Trung/Nam</x:v>
      </x:c>
      <x:c r="T139" s="14" t="str">
        <x:v>Các Công ty Quản lý bay khu vực Bắc/Trung/Nam; Ban Kế hoạch - Đầu tư; Ban Không lưu; Ban Kỹ thuật - CNS/IT/Môi trường</x:v>
      </x:c>
      <x:c r="U139" s="14" t="str">
        <x:v>Bộ Xây dựng, CHK Việt Nam, Cảng vụ, UBND địa phương, Bộ Quốc phòng, ACV</x:v>
      </x:c>
      <x:c r="V139" s="14" t="str">
        <x:v>Trước/sau 01/7/2026 và khi phát sinh sự kiện</x:v>
      </x:c>
      <x:c r="W139" s="14" t="str">
        <x:v>P1</x:v>
      </x:c>
      <x:c r="X139" s="14" t="str">
        <x:v>Cao</x:v>
      </x:c>
      <x:c r="Y139" s="14" t="str">
        <x:v>Chưa bắt đầu</x:v>
      </x:c>
      <x:c r="Z139" s="14" t="str">
        <x:v>Đảm bảo bao phủ 100% điều khoản liên quan VATM.</x:v>
      </x:c>
      <x:c r="AA139" s="14" t="str"/>
      <x:c r="AB139" s="14" t="str">
        <x:v>cang; san bay; cns; phap che</x:v>
      </x:c>
    </x:row>
    <x:row r="140">
      <x:c r="A140" s="14" t="str">
        <x:v>VATM-0139</x:v>
      </x:c>
      <x:c r="B140" s="14" t="str">
        <x:v>139</x:v>
      </x:c>
      <x:c r="C140" s="14" t="str">
        <x:v>Nghị định 205/2026/NĐ-CP</x:v>
      </x:c>
      <x:c r="D140" s="14" t="str">
        <x:v>Ra_soat_sau_ND205_VATM_ANSP_day_du.xlsx</x:v>
      </x:c>
      <x:c r="E140" s="14" t="str">
        <x:v>01_Nhiem_vu_chi_tiet</x:v>
      </x:c>
      <x:c r="F140" s="56" t="n">
        <x:v>140</x:v>
      </x:c>
      <x:c r="G140" s="14" t="str">
        <x:v>Điều 84</x:v>
      </x:c>
      <x:c r="H140" s="14" t="str">
        <x:v>Quản lý khai thác cảng/sân bay</x:v>
      </x:c>
      <x:c r="I140" s="14" t="str">
        <x:v>Công trình, chướng ngại và thi công</x:v>
      </x:c>
      <x:c r="J140" s="14" t="str">
        <x:v>Bao phủ chi tiết từng điều cuối nghị định</x:v>
      </x:c>
      <x:c r="K140" s="14" t="str">
        <x:v>Trực tiếp</x:v>
      </x:c>
      <x:c r="L140" s="14" t="str">
        <x:v>Quy trình/SOP/biểu mẫu</x:v>
      </x:c>
      <x:c r="M140" s="14" t="str">
        <x:v>ANSP/doanh nghiệp hàng không</x:v>
      </x:c>
      <x:c r="N140" s="14" t="str">
        <x:v>Kiểm soát nghĩa vụ phối hợp liên quan đóng/mở bãi cất hạ cánh, dây chuyền hoạt động, phương tiện chuyên ngành, sân bay lưỡng dụng, trách nhiệm địa phương và chuyển tiếp pháp lý.</x:v>
      </x:c>
      <x:c r="O140" s="14" t="str">
        <x:v>Lập kế hoạch tuân thủ; rà soát hồ sơ, phương tiện, hiệp đồng; cập nhật căn cứ pháp lý và phổ biến cho đơn vị.</x:v>
      </x:c>
      <x:c r="P140" s="14" t="str">
        <x:v>Không bỏ sót nghĩa vụ chuyển tiếp và phối hợp quản lý khai thác</x:v>
      </x:c>
      <x:c r="Q140" s="14" t="str">
        <x:v>Kế hoạch tuân thủ; danh mục hồ sơ chuyển tiếp; hiệp đồng; danh mục phương tiện; NOTAM/AIP nếu có</x:v>
      </x:c>
      <x:c r="R140" s="14" t="str">
        <x:v>Quy trình kiểm soát tuân thủ NĐ205; quy trình phối hợp sân bay lưỡng dụng; Mẫu kế hoạch tuân thủ; checklist chuyển tiếp; mẫu danh mục phương tiện</x:v>
      </x:c>
      <x:c r="S140" s="14" t="str">
        <x:v>Ban Kế hoạch - Đầu tư; Ban Không lưu; Ban Kỹ thuật - CNS/IT/Môi trường; Văn phòng - Pháp chế; Trung tâm Thông báo tin tức hàng không; Các Công ty Quản lý bay khu vực Bắc/Trung/Nam</x:v>
      </x:c>
      <x:c r="T140" s="14" t="str">
        <x:v>Các Công ty Quản lý bay khu vực Bắc/Trung/Nam; Ban Kế hoạch - Đầu tư; Ban Không lưu; Ban Kỹ thuật - CNS/IT/Môi trường</x:v>
      </x:c>
      <x:c r="U140" s="14" t="str">
        <x:v>Bộ Xây dựng, CHK Việt Nam, Cảng vụ, UBND địa phương, Bộ Quốc phòng, ACV</x:v>
      </x:c>
      <x:c r="V140" s="14" t="str">
        <x:v>Trước/sau 01/7/2026 và khi phát sinh sự kiện</x:v>
      </x:c>
      <x:c r="W140" s="14" t="str">
        <x:v>P1</x:v>
      </x:c>
      <x:c r="X140" s="14" t="str">
        <x:v>Cao</x:v>
      </x:c>
      <x:c r="Y140" s="14" t="str">
        <x:v>Chưa bắt đầu</x:v>
      </x:c>
      <x:c r="Z140" s="14" t="str">
        <x:v>Đảm bảo bao phủ 100% điều khoản liên quan VATM.</x:v>
      </x:c>
      <x:c r="AA140" s="14" t="str"/>
      <x:c r="AB140" s="14" t="str">
        <x:v>cang; san bay; cns; phap che</x:v>
      </x:c>
    </x:row>
    <x:row r="141">
      <x:c r="A141" s="14" t="str">
        <x:v>VATM-0140</x:v>
      </x:c>
      <x:c r="B141" s="14" t="str">
        <x:v>140</x:v>
      </x:c>
      <x:c r="C141" s="14" t="str">
        <x:v>Nghị định 205/2026/NĐ-CP</x:v>
      </x:c>
      <x:c r="D141" s="14" t="str">
        <x:v>Ra_soat_sau_ND205_VATM_ANSP_day_du.xlsx</x:v>
      </x:c>
      <x:c r="E141" s="14" t="str">
        <x:v>01_Nhiem_vu_chi_tiet</x:v>
      </x:c>
      <x:c r="F141" s="56" t="n">
        <x:v>141</x:v>
      </x:c>
      <x:c r="G141" s="14" t="str">
        <x:v>Điều 85</x:v>
      </x:c>
      <x:c r="H141" s="14" t="str">
        <x:v>Quản lý khai thác cảng/sân bay</x:v>
      </x:c>
      <x:c r="I141" s="14" t="str">
        <x:v>Công trình, chướng ngại và thi công</x:v>
      </x:c>
      <x:c r="J141" s="14" t="str">
        <x:v>Bao phủ chi tiết từng điều cuối nghị định</x:v>
      </x:c>
      <x:c r="K141" s="14" t="str">
        <x:v>Trực tiếp</x:v>
      </x:c>
      <x:c r="L141" s="14" t="str">
        <x:v>Quy trình/SOP/biểu mẫu</x:v>
      </x:c>
      <x:c r="M141" s="14" t="str">
        <x:v>ANSP/doanh nghiệp hàng không</x:v>
      </x:c>
      <x:c r="N141" s="14" t="str">
        <x:v>Kiểm soát nghĩa vụ phối hợp liên quan đóng/mở bãi cất hạ cánh, dây chuyền hoạt động, phương tiện chuyên ngành, sân bay lưỡng dụng, trách nhiệm địa phương và chuyển tiếp pháp lý.</x:v>
      </x:c>
      <x:c r="O141" s="14" t="str">
        <x:v>Lập kế hoạch tuân thủ; rà soát hồ sơ, phương tiện, hiệp đồng; cập nhật căn cứ pháp lý và phổ biến cho đơn vị.</x:v>
      </x:c>
      <x:c r="P141" s="14" t="str">
        <x:v>Không bỏ sót nghĩa vụ chuyển tiếp và phối hợp quản lý khai thác</x:v>
      </x:c>
      <x:c r="Q141" s="14" t="str">
        <x:v>Kế hoạch tuân thủ; danh mục hồ sơ chuyển tiếp; hiệp đồng; danh mục phương tiện; NOTAM/AIP nếu có</x:v>
      </x:c>
      <x:c r="R141" s="14" t="str">
        <x:v>Quy trình kiểm soát tuân thủ NĐ205; quy trình phối hợp sân bay lưỡng dụng; Mẫu kế hoạch tuân thủ; checklist chuyển tiếp; mẫu danh mục phương tiện</x:v>
      </x:c>
      <x:c r="S141" s="14" t="str">
        <x:v>Ban Kế hoạch - Đầu tư; Ban Không lưu; Ban Kỹ thuật - CNS/IT/Môi trường; Văn phòng - Pháp chế; Trung tâm Thông báo tin tức hàng không; Các Công ty Quản lý bay khu vực Bắc/Trung/Nam</x:v>
      </x:c>
      <x:c r="T141" s="14" t="str">
        <x:v>Các Công ty Quản lý bay khu vực Bắc/Trung/Nam; Ban Kế hoạch - Đầu tư; Ban Không lưu; Ban Kỹ thuật - CNS/IT/Môi trường</x:v>
      </x:c>
      <x:c r="U141" s="14" t="str">
        <x:v>Bộ Xây dựng, CHK Việt Nam, Cảng vụ, UBND địa phương, Bộ Quốc phòng, ACV</x:v>
      </x:c>
      <x:c r="V141" s="14" t="str">
        <x:v>Trước/sau 01/7/2026 và khi phát sinh sự kiện</x:v>
      </x:c>
      <x:c r="W141" s="14" t="str">
        <x:v>P1</x:v>
      </x:c>
      <x:c r="X141" s="14" t="str">
        <x:v>Cao</x:v>
      </x:c>
      <x:c r="Y141" s="14" t="str">
        <x:v>Chưa bắt đầu</x:v>
      </x:c>
      <x:c r="Z141" s="14" t="str">
        <x:v>Đảm bảo bao phủ 100% điều khoản liên quan VATM.</x:v>
      </x:c>
      <x:c r="AA141" s="14" t="str"/>
      <x:c r="AB141" s="14" t="str">
        <x:v>cang; san bay; cns; phap che</x:v>
      </x:c>
    </x:row>
    <x:row r="142">
      <x:c r="A142" s="14" t="str">
        <x:v>VATM-0141</x:v>
      </x:c>
      <x:c r="B142" s="14" t="str">
        <x:v>141</x:v>
      </x:c>
      <x:c r="C142" s="14" t="str">
        <x:v>Nghị định 205/2026/NĐ-CP</x:v>
      </x:c>
      <x:c r="D142" s="14" t="str">
        <x:v>Ra_soat_sau_ND205_VATM_ANSP_day_du.xlsx</x:v>
      </x:c>
      <x:c r="E142" s="14" t="str">
        <x:v>01_Nhiem_vu_chi_tiet</x:v>
      </x:c>
      <x:c r="F142" s="56" t="n">
        <x:v>142</x:v>
      </x:c>
      <x:c r="G142" s="14" t="str">
        <x:v>Điều 86</x:v>
      </x:c>
      <x:c r="H142" s="14" t="str">
        <x:v>Quản lý khai thác cảng/sân bay</x:v>
      </x:c>
      <x:c r="I142" s="14" t="str">
        <x:v>Công trình, chướng ngại và thi công</x:v>
      </x:c>
      <x:c r="J142" s="14" t="str">
        <x:v>Bao phủ chi tiết từng điều cuối nghị định</x:v>
      </x:c>
      <x:c r="K142" s="14" t="str">
        <x:v>Trực tiếp</x:v>
      </x:c>
      <x:c r="L142" s="14" t="str">
        <x:v>Quy trình/SOP/biểu mẫu</x:v>
      </x:c>
      <x:c r="M142" s="14" t="str">
        <x:v>ANSP/doanh nghiệp hàng không</x:v>
      </x:c>
      <x:c r="N142" s="14" t="str">
        <x:v>Kiểm soát nghĩa vụ phối hợp liên quan đóng/mở bãi cất hạ cánh, dây chuyền hoạt động, phương tiện chuyên ngành, sân bay lưỡng dụng, trách nhiệm địa phương và chuyển tiếp pháp lý.</x:v>
      </x:c>
      <x:c r="O142" s="14" t="str">
        <x:v>Lập kế hoạch tuân thủ; rà soát hồ sơ, phương tiện, hiệp đồng; cập nhật căn cứ pháp lý và phổ biến cho đơn vị.</x:v>
      </x:c>
      <x:c r="P142" s="14" t="str">
        <x:v>Không bỏ sót nghĩa vụ chuyển tiếp và phối hợp quản lý khai thác</x:v>
      </x:c>
      <x:c r="Q142" s="14" t="str">
        <x:v>Kế hoạch tuân thủ; danh mục hồ sơ chuyển tiếp; hiệp đồng; danh mục phương tiện; NOTAM/AIP nếu có</x:v>
      </x:c>
      <x:c r="R142" s="14" t="str">
        <x:v>Quy trình kiểm soát tuân thủ NĐ205; quy trình phối hợp sân bay lưỡng dụng; Mẫu kế hoạch tuân thủ; checklist chuyển tiếp; mẫu danh mục phương tiện</x:v>
      </x:c>
      <x:c r="S142" s="14" t="str">
        <x:v>Ban Kế hoạch - Đầu tư; Ban Không lưu; Ban Kỹ thuật - CNS/IT/Môi trường; Văn phòng - Pháp chế; Trung tâm Thông báo tin tức hàng không; Các Công ty Quản lý bay khu vực Bắc/Trung/Nam</x:v>
      </x:c>
      <x:c r="T142" s="14" t="str">
        <x:v>Các Công ty Quản lý bay khu vực Bắc/Trung/Nam; Ban Kế hoạch - Đầu tư; Ban Không lưu; Ban Kỹ thuật - CNS/IT/Môi trường</x:v>
      </x:c>
      <x:c r="U142" s="14" t="str">
        <x:v>Bộ Xây dựng, CHK Việt Nam, Cảng vụ, UBND địa phương, Bộ Quốc phòng, ACV</x:v>
      </x:c>
      <x:c r="V142" s="14" t="str">
        <x:v>Trước/sau 01/7/2026 và khi phát sinh sự kiện</x:v>
      </x:c>
      <x:c r="W142" s="14" t="str">
        <x:v>P1</x:v>
      </x:c>
      <x:c r="X142" s="14" t="str">
        <x:v>Cao</x:v>
      </x:c>
      <x:c r="Y142" s="14" t="str">
        <x:v>Chưa bắt đầu</x:v>
      </x:c>
      <x:c r="Z142" s="14" t="str">
        <x:v>Đảm bảo bao phủ 100% điều khoản liên quan VATM.</x:v>
      </x:c>
      <x:c r="AA142" s="14" t="str"/>
      <x:c r="AB142" s="14" t="str">
        <x:v>cang; san bay; cns; phap che</x:v>
      </x:c>
    </x:row>
    <x:row r="143">
      <x:c r="A143" s="14" t="str">
        <x:v>VATM-0142</x:v>
      </x:c>
      <x:c r="B143" s="14" t="str">
        <x:v>142</x:v>
      </x:c>
      <x:c r="C143" s="14" t="str">
        <x:v>Nghị định 205/2026/NĐ-CP</x:v>
      </x:c>
      <x:c r="D143" s="14" t="str">
        <x:v>Ra_soat_sau_ND205_VATM_ANSP_day_du.xlsx</x:v>
      </x:c>
      <x:c r="E143" s="14" t="str">
        <x:v>01_Nhiem_vu_chi_tiet</x:v>
      </x:c>
      <x:c r="F143" s="56" t="n">
        <x:v>143</x:v>
      </x:c>
      <x:c r="G143" s="14" t="str">
        <x:v>Điều 87</x:v>
      </x:c>
      <x:c r="H143" s="14" t="str">
        <x:v>Quản lý khai thác cảng/sân bay</x:v>
      </x:c>
      <x:c r="I143" s="14" t="str">
        <x:v>Công trình, chướng ngại và thi công</x:v>
      </x:c>
      <x:c r="J143" s="14" t="str">
        <x:v>Bao phủ chi tiết từng điều cuối nghị định</x:v>
      </x:c>
      <x:c r="K143" s="14" t="str">
        <x:v>Trực tiếp</x:v>
      </x:c>
      <x:c r="L143" s="14" t="str">
        <x:v>Quy trình/SOP/biểu mẫu</x:v>
      </x:c>
      <x:c r="M143" s="14" t="str">
        <x:v>ANSP/doanh nghiệp hàng không</x:v>
      </x:c>
      <x:c r="N143" s="14" t="str">
        <x:v>Kiểm soát nghĩa vụ phối hợp liên quan đóng/mở bãi cất hạ cánh, dây chuyền hoạt động, phương tiện chuyên ngành, sân bay lưỡng dụng, trách nhiệm địa phương và chuyển tiếp pháp lý.</x:v>
      </x:c>
      <x:c r="O143" s="14" t="str">
        <x:v>Lập kế hoạch tuân thủ; rà soát hồ sơ, phương tiện, hiệp đồng; cập nhật căn cứ pháp lý và phổ biến cho đơn vị.</x:v>
      </x:c>
      <x:c r="P143" s="14" t="str">
        <x:v>Không bỏ sót nghĩa vụ chuyển tiếp và phối hợp quản lý khai thác</x:v>
      </x:c>
      <x:c r="Q143" s="14" t="str">
        <x:v>Kế hoạch tuân thủ; danh mục hồ sơ chuyển tiếp; hiệp đồng; danh mục phương tiện; NOTAM/AIP nếu có</x:v>
      </x:c>
      <x:c r="R143" s="14" t="str">
        <x:v>Quy trình kiểm soát tuân thủ NĐ205; quy trình phối hợp sân bay lưỡng dụng; Mẫu kế hoạch tuân thủ; checklist chuyển tiếp; mẫu danh mục phương tiện</x:v>
      </x:c>
      <x:c r="S143" s="14" t="str">
        <x:v>Ban Kế hoạch - Đầu tư; Ban Không lưu; Ban Kỹ thuật - CNS/IT/Môi trường; Văn phòng - Pháp chế; Trung tâm Thông báo tin tức hàng không; Các Công ty Quản lý bay khu vực Bắc/Trung/Nam</x:v>
      </x:c>
      <x:c r="T143" s="14" t="str">
        <x:v>Các Công ty Quản lý bay khu vực Bắc/Trung/Nam; Ban Kế hoạch - Đầu tư; Ban Không lưu; Ban Kỹ thuật - CNS/IT/Môi trường</x:v>
      </x:c>
      <x:c r="U143" s="14" t="str">
        <x:v>Bộ Xây dựng, CHK Việt Nam, Cảng vụ, UBND địa phương, Bộ Quốc phòng, ACV</x:v>
      </x:c>
      <x:c r="V143" s="14" t="str">
        <x:v>Trước/sau 01/7/2026 và khi phát sinh sự kiện</x:v>
      </x:c>
      <x:c r="W143" s="14" t="str">
        <x:v>P1</x:v>
      </x:c>
      <x:c r="X143" s="14" t="str">
        <x:v>Cao</x:v>
      </x:c>
      <x:c r="Y143" s="14" t="str">
        <x:v>Chưa bắt đầu</x:v>
      </x:c>
      <x:c r="Z143" s="14" t="str">
        <x:v>Đảm bảo bao phủ 100% điều khoản liên quan VATM.</x:v>
      </x:c>
      <x:c r="AA143" s="14" t="str"/>
      <x:c r="AB143" s="14" t="str">
        <x:v>cang; san bay; cns; phap che</x:v>
      </x:c>
    </x:row>
    <x:row r="144">
      <x:c r="A144" s="14" t="str">
        <x:v>VATM-0143</x:v>
      </x:c>
      <x:c r="B144" s="14" t="str">
        <x:v>143</x:v>
      </x:c>
      <x:c r="C144" s="14" t="str">
        <x:v>Nghị định 205/2026/NĐ-CP</x:v>
      </x:c>
      <x:c r="D144" s="14" t="str">
        <x:v>Ra_soat_sau_ND205_VATM_ANSP_day_du.xlsx</x:v>
      </x:c>
      <x:c r="E144" s="14" t="str">
        <x:v>01_Nhiem_vu_chi_tiet</x:v>
      </x:c>
      <x:c r="F144" s="56" t="n">
        <x:v>144</x:v>
      </x:c>
      <x:c r="G144" s="14" t="str">
        <x:v>Điều 88</x:v>
      </x:c>
      <x:c r="H144" s="14" t="str">
        <x:v>Quản lý khai thác cảng/sân bay</x:v>
      </x:c>
      <x:c r="I144" s="14" t="str">
        <x:v>Công trình, chướng ngại và thi công</x:v>
      </x:c>
      <x:c r="J144" s="14" t="str">
        <x:v>Bao phủ chi tiết từng điều cuối nghị định</x:v>
      </x:c>
      <x:c r="K144" s="14" t="str">
        <x:v>Trực tiếp</x:v>
      </x:c>
      <x:c r="L144" s="14" t="str">
        <x:v>Quy trình/SOP/biểu mẫu</x:v>
      </x:c>
      <x:c r="M144" s="14" t="str">
        <x:v>ANSP/doanh nghiệp hàng không</x:v>
      </x:c>
      <x:c r="N144" s="14" t="str">
        <x:v>Kiểm soát nghĩa vụ phối hợp liên quan đóng/mở bãi cất hạ cánh, dây chuyền hoạt động, phương tiện chuyên ngành, sân bay lưỡng dụng, trách nhiệm địa phương và chuyển tiếp pháp lý.</x:v>
      </x:c>
      <x:c r="O144" s="14" t="str">
        <x:v>Lập kế hoạch tuân thủ; rà soát hồ sơ, phương tiện, hiệp đồng; cập nhật căn cứ pháp lý và phổ biến cho đơn vị.</x:v>
      </x:c>
      <x:c r="P144" s="14" t="str">
        <x:v>Không bỏ sót nghĩa vụ chuyển tiếp và phối hợp quản lý khai thác</x:v>
      </x:c>
      <x:c r="Q144" s="14" t="str">
        <x:v>Kế hoạch tuân thủ; danh mục hồ sơ chuyển tiếp; hiệp đồng; danh mục phương tiện; NOTAM/AIP nếu có</x:v>
      </x:c>
      <x:c r="R144" s="14" t="str">
        <x:v>Quy trình kiểm soát tuân thủ NĐ205; quy trình phối hợp sân bay lưỡng dụng; Mẫu kế hoạch tuân thủ; checklist chuyển tiếp; mẫu danh mục phương tiện</x:v>
      </x:c>
      <x:c r="S144" s="14" t="str">
        <x:v>Ban Kế hoạch - Đầu tư; Ban Không lưu; Ban Kỹ thuật - CNS/IT/Môi trường; Văn phòng - Pháp chế; Trung tâm Thông báo tin tức hàng không; Các Công ty Quản lý bay khu vực Bắc/Trung/Nam</x:v>
      </x:c>
      <x:c r="T144" s="14" t="str">
        <x:v>Các Công ty Quản lý bay khu vực Bắc/Trung/Nam; Ban Kế hoạch - Đầu tư; Ban Không lưu; Ban Kỹ thuật - CNS/IT/Môi trường</x:v>
      </x:c>
      <x:c r="U144" s="14" t="str">
        <x:v>Bộ Xây dựng, CHK Việt Nam, Cảng vụ, UBND địa phương, Bộ Quốc phòng, ACV</x:v>
      </x:c>
      <x:c r="V144" s="14" t="str">
        <x:v>Trước/sau 01/7/2026 và khi phát sinh sự kiện</x:v>
      </x:c>
      <x:c r="W144" s="14" t="str">
        <x:v>P1</x:v>
      </x:c>
      <x:c r="X144" s="14" t="str">
        <x:v>Cao</x:v>
      </x:c>
      <x:c r="Y144" s="14" t="str">
        <x:v>Chưa bắt đầu</x:v>
      </x:c>
      <x:c r="Z144" s="14" t="str">
        <x:v>Đảm bảo bao phủ 100% điều khoản liên quan VATM.</x:v>
      </x:c>
      <x:c r="AA144" s="14" t="str"/>
      <x:c r="AB144" s="14" t="str">
        <x:v>cang; san bay; cns; phap che</x:v>
      </x:c>
    </x:row>
    <x:row r="145">
      <x:c r="A145" s="14" t="str">
        <x:v>VATM-0144</x:v>
      </x:c>
      <x:c r="B145" s="14" t="str">
        <x:v>144</x:v>
      </x:c>
      <x:c r="C145" s="14" t="str">
        <x:v>Nghị định 205/2026/NĐ-CP</x:v>
      </x:c>
      <x:c r="D145" s="14" t="str">
        <x:v>Ra_soat_sau_ND205_VATM_ANSP_day_du.xlsx</x:v>
      </x:c>
      <x:c r="E145" s="14" t="str">
        <x:v>01_Nhiem_vu_chi_tiet</x:v>
      </x:c>
      <x:c r="F145" s="56" t="n">
        <x:v>145</x:v>
      </x:c>
      <x:c r="G145" s="14" t="str">
        <x:v>Điều 89</x:v>
      </x:c>
      <x:c r="H145" s="14" t="str">
        <x:v>Quản lý khai thác cảng/sân bay</x:v>
      </x:c>
      <x:c r="I145" s="14" t="str">
        <x:v>Công trình, chướng ngại và thi công</x:v>
      </x:c>
      <x:c r="J145" s="14" t="str">
        <x:v>Bao phủ chi tiết từng điều cuối nghị định</x:v>
      </x:c>
      <x:c r="K145" s="14" t="str">
        <x:v>Trực tiếp</x:v>
      </x:c>
      <x:c r="L145" s="14" t="str">
        <x:v>Quy trình/SOP/biểu mẫu</x:v>
      </x:c>
      <x:c r="M145" s="14" t="str">
        <x:v>ANSP/doanh nghiệp hàng không</x:v>
      </x:c>
      <x:c r="N145" s="14" t="str">
        <x:v>Kiểm soát nghĩa vụ phối hợp liên quan đóng/mở bãi cất hạ cánh, dây chuyền hoạt động, phương tiện chuyên ngành, sân bay lưỡng dụng, trách nhiệm địa phương và chuyển tiếp pháp lý.</x:v>
      </x:c>
      <x:c r="O145" s="14" t="str">
        <x:v>Lập kế hoạch tuân thủ; rà soát hồ sơ, phương tiện, hiệp đồng; cập nhật căn cứ pháp lý và phổ biến cho đơn vị.</x:v>
      </x:c>
      <x:c r="P145" s="14" t="str">
        <x:v>Không bỏ sót nghĩa vụ chuyển tiếp và phối hợp quản lý khai thác</x:v>
      </x:c>
      <x:c r="Q145" s="14" t="str">
        <x:v>Kế hoạch tuân thủ; danh mục hồ sơ chuyển tiếp; hiệp đồng; danh mục phương tiện; NOTAM/AIP nếu có</x:v>
      </x:c>
      <x:c r="R145" s="14" t="str">
        <x:v>Quy trình kiểm soát tuân thủ NĐ205; quy trình phối hợp sân bay lưỡng dụng; Mẫu kế hoạch tuân thủ; checklist chuyển tiếp; mẫu danh mục phương tiện</x:v>
      </x:c>
      <x:c r="S145" s="14" t="str">
        <x:v>Ban Kế hoạch - Đầu tư; Ban Không lưu; Ban Kỹ thuật - CNS/IT/Môi trường; Văn phòng - Pháp chế; Trung tâm Thông báo tin tức hàng không; Các Công ty Quản lý bay khu vực Bắc/Trung/Nam</x:v>
      </x:c>
      <x:c r="T145" s="14" t="str">
        <x:v>Các Công ty Quản lý bay khu vực Bắc/Trung/Nam; Ban Kế hoạch - Đầu tư; Ban Không lưu; Ban Kỹ thuật - CNS/IT/Môi trường</x:v>
      </x:c>
      <x:c r="U145" s="14" t="str">
        <x:v>Bộ Xây dựng, CHK Việt Nam, Cảng vụ, UBND địa phương, Bộ Quốc phòng, ACV</x:v>
      </x:c>
      <x:c r="V145" s="14" t="str">
        <x:v>Trước/sau 01/7/2026 và khi phát sinh sự kiện</x:v>
      </x:c>
      <x:c r="W145" s="14" t="str">
        <x:v>P1</x:v>
      </x:c>
      <x:c r="X145" s="14" t="str">
        <x:v>Cao</x:v>
      </x:c>
      <x:c r="Y145" s="14" t="str">
        <x:v>Chưa bắt đầu</x:v>
      </x:c>
      <x:c r="Z145" s="14" t="str">
        <x:v>Đảm bảo bao phủ 100% điều khoản liên quan VATM.</x:v>
      </x:c>
      <x:c r="AA145" s="14" t="str"/>
      <x:c r="AB145" s="14" t="str">
        <x:v>cang; san bay; cns; phap che</x:v>
      </x:c>
    </x:row>
    <x:row r="146">
      <x:c r="A146" s="14" t="str">
        <x:v>VATM-0145</x:v>
      </x:c>
      <x:c r="B146" s="14" t="str">
        <x:v>145</x:v>
      </x:c>
      <x:c r="C146" s="14" t="str">
        <x:v>Nghị định 205/2026/NĐ-CP</x:v>
      </x:c>
      <x:c r="D146" s="14" t="str">
        <x:v>Ra_soat_sau_ND205_VATM_ANSP_day_du.xlsx</x:v>
      </x:c>
      <x:c r="E146" s="14" t="str">
        <x:v>01_Nhiem_vu_chi_tiet</x:v>
      </x:c>
      <x:c r="F146" s="56" t="n">
        <x:v>146</x:v>
      </x:c>
      <x:c r="G146" s="14" t="str">
        <x:v>Điều 90</x:v>
      </x:c>
      <x:c r="H146" s="14" t="str">
        <x:v>Quản lý khai thác cảng/sân bay</x:v>
      </x:c>
      <x:c r="I146" s="14" t="str">
        <x:v>Công trình, chướng ngại và thi công</x:v>
      </x:c>
      <x:c r="J146" s="14" t="str">
        <x:v>Bao phủ chi tiết từng điều cuối nghị định</x:v>
      </x:c>
      <x:c r="K146" s="14" t="str">
        <x:v>Trực tiếp</x:v>
      </x:c>
      <x:c r="L146" s="14" t="str">
        <x:v>Quy trình/SOP/biểu mẫu</x:v>
      </x:c>
      <x:c r="M146" s="14" t="str">
        <x:v>ANSP/doanh nghiệp hàng không</x:v>
      </x:c>
      <x:c r="N146" s="14" t="str">
        <x:v>Kiểm soát nghĩa vụ phối hợp liên quan đóng/mở bãi cất hạ cánh, dây chuyền hoạt động, phương tiện chuyên ngành, sân bay lưỡng dụng, trách nhiệm địa phương và chuyển tiếp pháp lý.</x:v>
      </x:c>
      <x:c r="O146" s="14" t="str">
        <x:v>Lập kế hoạch tuân thủ; rà soát hồ sơ, phương tiện, hiệp đồng; cập nhật căn cứ pháp lý và phổ biến cho đơn vị.</x:v>
      </x:c>
      <x:c r="P146" s="14" t="str">
        <x:v>Không bỏ sót nghĩa vụ chuyển tiếp và phối hợp quản lý khai thác</x:v>
      </x:c>
      <x:c r="Q146" s="14" t="str">
        <x:v>Kế hoạch tuân thủ; danh mục hồ sơ chuyển tiếp; hiệp đồng; danh mục phương tiện; NOTAM/AIP nếu có</x:v>
      </x:c>
      <x:c r="R146" s="14" t="str">
        <x:v>Quy trình kiểm soát tuân thủ NĐ205; quy trình phối hợp sân bay lưỡng dụng; Mẫu kế hoạch tuân thủ; checklist chuyển tiếp; mẫu danh mục phương tiện</x:v>
      </x:c>
      <x:c r="S146" s="14" t="str">
        <x:v>Ban Kế hoạch - Đầu tư; Ban Không lưu; Ban Kỹ thuật - CNS/IT/Môi trường; Văn phòng - Pháp chế; Trung tâm Thông báo tin tức hàng không; Các Công ty Quản lý bay khu vực Bắc/Trung/Nam</x:v>
      </x:c>
      <x:c r="T146" s="14" t="str">
        <x:v>Các Công ty Quản lý bay khu vực Bắc/Trung/Nam; Ban Kế hoạch - Đầu tư; Ban Không lưu; Ban Kỹ thuật - CNS/IT/Môi trường</x:v>
      </x:c>
      <x:c r="U146" s="14" t="str">
        <x:v>Bộ Xây dựng, CHK Việt Nam, Cảng vụ, UBND địa phương, Bộ Quốc phòng, ACV</x:v>
      </x:c>
      <x:c r="V146" s="14" t="str">
        <x:v>Trước/sau 01/7/2026 và khi phát sinh sự kiện</x:v>
      </x:c>
      <x:c r="W146" s="14" t="str">
        <x:v>P1</x:v>
      </x:c>
      <x:c r="X146" s="14" t="str">
        <x:v>Cao</x:v>
      </x:c>
      <x:c r="Y146" s="14" t="str">
        <x:v>Chưa bắt đầu</x:v>
      </x:c>
      <x:c r="Z146" s="14" t="str">
        <x:v>Đảm bảo bao phủ 100% điều khoản liên quan VATM.</x:v>
      </x:c>
      <x:c r="AA146" s="14" t="str"/>
      <x:c r="AB146" s="14" t="str">
        <x:v>cang; san bay; cns; phap che</x:v>
      </x:c>
    </x:row>
    <x:row r="147">
      <x:c r="A147" s="14" t="str">
        <x:v>VATM-0146</x:v>
      </x:c>
      <x:c r="B147" s="14" t="str">
        <x:v>146</x:v>
      </x:c>
      <x:c r="C147" s="14" t="str">
        <x:v>Nghị định 205/2026/NĐ-CP</x:v>
      </x:c>
      <x:c r="D147" s="14" t="str">
        <x:v>Ra_soat_sau_ND205_VATM_ANSP_day_du.xlsx</x:v>
      </x:c>
      <x:c r="E147" s="14" t="str">
        <x:v>01_Nhiem_vu_chi_tiet</x:v>
      </x:c>
      <x:c r="F147" s="56" t="n">
        <x:v>147</x:v>
      </x:c>
      <x:c r="G147" s="14" t="str">
        <x:v>Điều 91</x:v>
      </x:c>
      <x:c r="H147" s="14" t="str">
        <x:v>Quản lý khai thác cảng/sân bay</x:v>
      </x:c>
      <x:c r="I147" s="14" t="str">
        <x:v>Công trình, chướng ngại và thi công</x:v>
      </x:c>
      <x:c r="J147" s="14" t="str">
        <x:v>Bao phủ chi tiết từng điều cuối nghị định</x:v>
      </x:c>
      <x:c r="K147" s="14" t="str">
        <x:v>Trực tiếp</x:v>
      </x:c>
      <x:c r="L147" s="14" t="str">
        <x:v>Quy trình/SOP/biểu mẫu</x:v>
      </x:c>
      <x:c r="M147" s="14" t="str">
        <x:v>ANSP/doanh nghiệp hàng không</x:v>
      </x:c>
      <x:c r="N147" s="14" t="str">
        <x:v>Kiểm soát nghĩa vụ phối hợp liên quan đóng/mở bãi cất hạ cánh, dây chuyền hoạt động, phương tiện chuyên ngành, sân bay lưỡng dụng, trách nhiệm địa phương và chuyển tiếp pháp lý.</x:v>
      </x:c>
      <x:c r="O147" s="14" t="str">
        <x:v>Lập kế hoạch tuân thủ; rà soát hồ sơ, phương tiện, hiệp đồng; cập nhật căn cứ pháp lý và phổ biến cho đơn vị.</x:v>
      </x:c>
      <x:c r="P147" s="14" t="str">
        <x:v>Không bỏ sót nghĩa vụ chuyển tiếp và phối hợp quản lý khai thác</x:v>
      </x:c>
      <x:c r="Q147" s="14" t="str">
        <x:v>Kế hoạch tuân thủ; danh mục hồ sơ chuyển tiếp; hiệp đồng; danh mục phương tiện; NOTAM/AIP nếu có</x:v>
      </x:c>
      <x:c r="R147" s="14" t="str">
        <x:v>Quy trình kiểm soát tuân thủ NĐ205; quy trình phối hợp sân bay lưỡng dụng; Mẫu kế hoạch tuân thủ; checklist chuyển tiếp; mẫu danh mục phương tiện</x:v>
      </x:c>
      <x:c r="S147" s="14" t="str">
        <x:v>Ban Kế hoạch - Đầu tư; Ban Không lưu; Ban Kỹ thuật - CNS/IT/Môi trường; Văn phòng - Pháp chế; Trung tâm Thông báo tin tức hàng không; Các Công ty Quản lý bay khu vực Bắc/Trung/Nam</x:v>
      </x:c>
      <x:c r="T147" s="14" t="str">
        <x:v>Các Công ty Quản lý bay khu vực Bắc/Trung/Nam; Ban Kế hoạch - Đầu tư; Ban Không lưu; Ban Kỹ thuật - CNS/IT/Môi trường</x:v>
      </x:c>
      <x:c r="U147" s="14" t="str">
        <x:v>Bộ Xây dựng, CHK Việt Nam, Cảng vụ, UBND địa phương, Bộ Quốc phòng, ACV</x:v>
      </x:c>
      <x:c r="V147" s="14" t="str">
        <x:v>Trước/sau 01/7/2026 và khi phát sinh sự kiện</x:v>
      </x:c>
      <x:c r="W147" s="14" t="str">
        <x:v>P1</x:v>
      </x:c>
      <x:c r="X147" s="14" t="str">
        <x:v>Cao</x:v>
      </x:c>
      <x:c r="Y147" s="14" t="str">
        <x:v>Chưa bắt đầu</x:v>
      </x:c>
      <x:c r="Z147" s="14" t="str">
        <x:v>Đảm bảo bao phủ 100% điều khoản liên quan VATM.</x:v>
      </x:c>
      <x:c r="AA147" s="14" t="str"/>
      <x:c r="AB147" s="14" t="str">
        <x:v>cang; san bay; cns; phap che</x:v>
      </x:c>
    </x:row>
    <x:row r="148">
      <x:c r="A148" s="14" t="str">
        <x:v>VATM-0147</x:v>
      </x:c>
      <x:c r="B148" s="14" t="str">
        <x:v>147</x:v>
      </x:c>
      <x:c r="C148" s="14" t="str">
        <x:v>Nghị định 205/2026/NĐ-CP</x:v>
      </x:c>
      <x:c r="D148" s="14" t="str">
        <x:v>Ra_soat_sau_ND205_VATM_ANSP_day_du.xlsx</x:v>
      </x:c>
      <x:c r="E148" s="14" t="str">
        <x:v>01_Nhiem_vu_chi_tiet</x:v>
      </x:c>
      <x:c r="F148" s="56" t="n">
        <x:v>148</x:v>
      </x:c>
      <x:c r="G148" s="14" t="str">
        <x:v>Điều 92</x:v>
      </x:c>
      <x:c r="H148" s="14" t="str">
        <x:v>Quản lý khai thác cảng/sân bay</x:v>
      </x:c>
      <x:c r="I148" s="14" t="str">
        <x:v>Công trình, chướng ngại và thi công</x:v>
      </x:c>
      <x:c r="J148" s="14" t="str">
        <x:v>Bao phủ chi tiết từng điều cuối nghị định</x:v>
      </x:c>
      <x:c r="K148" s="14" t="str">
        <x:v>Trực tiếp</x:v>
      </x:c>
      <x:c r="L148" s="14" t="str">
        <x:v>Quy trình/SOP/biểu mẫu</x:v>
      </x:c>
      <x:c r="M148" s="14" t="str">
        <x:v>ANSP/doanh nghiệp hàng không</x:v>
      </x:c>
      <x:c r="N148" s="14" t="str">
        <x:v>Kiểm soát nghĩa vụ phối hợp liên quan đóng/mở bãi cất hạ cánh, dây chuyền hoạt động, phương tiện chuyên ngành, sân bay lưỡng dụng, trách nhiệm địa phương và chuyển tiếp pháp lý.</x:v>
      </x:c>
      <x:c r="O148" s="14" t="str">
        <x:v>Lập kế hoạch tuân thủ; rà soát hồ sơ, phương tiện, hiệp đồng; cập nhật căn cứ pháp lý và phổ biến cho đơn vị.</x:v>
      </x:c>
      <x:c r="P148" s="14" t="str">
        <x:v>Không bỏ sót nghĩa vụ chuyển tiếp và phối hợp quản lý khai thác</x:v>
      </x:c>
      <x:c r="Q148" s="14" t="str">
        <x:v>Kế hoạch tuân thủ; danh mục hồ sơ chuyển tiếp; hiệp đồng; danh mục phương tiện; NOTAM/AIP nếu có</x:v>
      </x:c>
      <x:c r="R148" s="14" t="str">
        <x:v>Quy trình kiểm soát tuân thủ NĐ205; quy trình phối hợp sân bay lưỡng dụng; Mẫu kế hoạch tuân thủ; checklist chuyển tiếp; mẫu danh mục phương tiện</x:v>
      </x:c>
      <x:c r="S148" s="14" t="str">
        <x:v>Ban Kế hoạch - Đầu tư; Ban Không lưu; Ban Kỹ thuật - CNS/IT/Môi trường; Văn phòng - Pháp chế; Trung tâm Thông báo tin tức hàng không; Các Công ty Quản lý bay khu vực Bắc/Trung/Nam</x:v>
      </x:c>
      <x:c r="T148" s="14" t="str">
        <x:v>Các Công ty Quản lý bay khu vực Bắc/Trung/Nam; Ban Kế hoạch - Đầu tư; Ban Không lưu; Ban Kỹ thuật - CNS/IT/Môi trường</x:v>
      </x:c>
      <x:c r="U148" s="14" t="str">
        <x:v>Bộ Xây dựng, CHK Việt Nam, Cảng vụ, UBND địa phương, Bộ Quốc phòng, ACV</x:v>
      </x:c>
      <x:c r="V148" s="14" t="str">
        <x:v>Trước/sau 01/7/2026 và khi phát sinh sự kiện</x:v>
      </x:c>
      <x:c r="W148" s="14" t="str">
        <x:v>P1</x:v>
      </x:c>
      <x:c r="X148" s="14" t="str">
        <x:v>Cao</x:v>
      </x:c>
      <x:c r="Y148" s="14" t="str">
        <x:v>Chưa bắt đầu</x:v>
      </x:c>
      <x:c r="Z148" s="14" t="str">
        <x:v>Đảm bảo bao phủ 100% điều khoản liên quan VATM.</x:v>
      </x:c>
      <x:c r="AA148" s="14" t="str"/>
      <x:c r="AB148" s="14" t="str">
        <x:v>cang; san bay; cns; phap che</x:v>
      </x:c>
    </x:row>
    <x:row r="149">
      <x:c r="A149" s="14" t="str">
        <x:v>VATM-0148</x:v>
      </x:c>
      <x:c r="B149" s="14" t="str">
        <x:v>148</x:v>
      </x:c>
      <x:c r="C149" s="14" t="str">
        <x:v>Nghị định 205/2026/NĐ-CP</x:v>
      </x:c>
      <x:c r="D149" s="14" t="str">
        <x:v>Ra_soat_sau_ND205_VATM_ANSP_day_du.xlsx</x:v>
      </x:c>
      <x:c r="E149" s="14" t="str">
        <x:v>01_Nhiem_vu_chi_tiet</x:v>
      </x:c>
      <x:c r="F149" s="56" t="n">
        <x:v>149</x:v>
      </x:c>
      <x:c r="G149" s="14" t="str">
        <x:v>Điều 93</x:v>
      </x:c>
      <x:c r="H149" s="14" t="str">
        <x:v>Quản lý khai thác cảng/sân bay</x:v>
      </x:c>
      <x:c r="I149" s="14" t="str">
        <x:v>Công trình, chướng ngại và thi công</x:v>
      </x:c>
      <x:c r="J149" s="14" t="str">
        <x:v>Bao phủ chi tiết từng điều cuối nghị định</x:v>
      </x:c>
      <x:c r="K149" s="14" t="str">
        <x:v>Trực tiếp</x:v>
      </x:c>
      <x:c r="L149" s="14" t="str">
        <x:v>Quy trình/SOP/biểu mẫu</x:v>
      </x:c>
      <x:c r="M149" s="14" t="str">
        <x:v>ANSP/doanh nghiệp hàng không</x:v>
      </x:c>
      <x:c r="N149" s="14" t="str">
        <x:v>Kiểm soát nghĩa vụ phối hợp liên quan đóng/mở bãi cất hạ cánh, dây chuyền hoạt động, phương tiện chuyên ngành, sân bay lưỡng dụng, trách nhiệm địa phương và chuyển tiếp pháp lý.</x:v>
      </x:c>
      <x:c r="O149" s="14" t="str">
        <x:v>Lập kế hoạch tuân thủ; rà soát hồ sơ, phương tiện, hiệp đồng; cập nhật căn cứ pháp lý và phổ biến cho đơn vị.</x:v>
      </x:c>
      <x:c r="P149" s="14" t="str">
        <x:v>Không bỏ sót nghĩa vụ chuyển tiếp và phối hợp quản lý khai thác</x:v>
      </x:c>
      <x:c r="Q149" s="14" t="str">
        <x:v>Kế hoạch tuân thủ; danh mục hồ sơ chuyển tiếp; hiệp đồng; danh mục phương tiện; NOTAM/AIP nếu có</x:v>
      </x:c>
      <x:c r="R149" s="14" t="str">
        <x:v>Quy trình kiểm soát tuân thủ NĐ205; quy trình phối hợp sân bay lưỡng dụng; Mẫu kế hoạch tuân thủ; checklist chuyển tiếp; mẫu danh mục phương tiện</x:v>
      </x:c>
      <x:c r="S149" s="14" t="str">
        <x:v>Ban Kế hoạch - Đầu tư; Ban Không lưu; Ban Kỹ thuật - CNS/IT/Môi trường; Văn phòng - Pháp chế; Trung tâm Thông báo tin tức hàng không; Các Công ty Quản lý bay khu vực Bắc/Trung/Nam</x:v>
      </x:c>
      <x:c r="T149" s="14" t="str">
        <x:v>Các Công ty Quản lý bay khu vực Bắc/Trung/Nam; Ban Kế hoạch - Đầu tư; Ban Không lưu; Ban Kỹ thuật - CNS/IT/Môi trường</x:v>
      </x:c>
      <x:c r="U149" s="14" t="str">
        <x:v>Bộ Xây dựng, CHK Việt Nam, Cảng vụ, UBND địa phương, Bộ Quốc phòng, ACV</x:v>
      </x:c>
      <x:c r="V149" s="14" t="str">
        <x:v>Trước/sau 01/7/2026 và khi phát sinh sự kiện</x:v>
      </x:c>
      <x:c r="W149" s="14" t="str">
        <x:v>P1</x:v>
      </x:c>
      <x:c r="X149" s="14" t="str">
        <x:v>Cao</x:v>
      </x:c>
      <x:c r="Y149" s="14" t="str">
        <x:v>Chưa bắt đầu</x:v>
      </x:c>
      <x:c r="Z149" s="14" t="str">
        <x:v>Đảm bảo bao phủ 100% điều khoản liên quan VATM.</x:v>
      </x:c>
      <x:c r="AA149" s="14" t="str"/>
      <x:c r="AB149" s="14" t="str">
        <x:v>cang; san bay; cns; phap che</x:v>
      </x:c>
    </x:row>
    <x:row r="150">
      <x:c r="A150" s="14" t="str">
        <x:v>VATM-0149</x:v>
      </x:c>
      <x:c r="B150" s="14" t="str">
        <x:v>149</x:v>
      </x:c>
      <x:c r="C150" s="14" t="str">
        <x:v>Nghị định 205/2026/NĐ-CP</x:v>
      </x:c>
      <x:c r="D150" s="14" t="str">
        <x:v>Ra_soat_sau_ND205_VATM_ANSP_day_du.xlsx</x:v>
      </x:c>
      <x:c r="E150" s="14" t="str">
        <x:v>01_Nhiem_vu_chi_tiet</x:v>
      </x:c>
      <x:c r="F150" s="56" t="n">
        <x:v>150</x:v>
      </x:c>
      <x:c r="G150" s="14" t="str">
        <x:v>Điều 94</x:v>
      </x:c>
      <x:c r="H150" s="14" t="str">
        <x:v>Quản lý khai thác cảng/sân bay</x:v>
      </x:c>
      <x:c r="I150" s="14" t="str">
        <x:v>Công trình, chướng ngại và thi công</x:v>
      </x:c>
      <x:c r="J150" s="14" t="str">
        <x:v>Bao phủ chi tiết từng điều cuối nghị định</x:v>
      </x:c>
      <x:c r="K150" s="14" t="str">
        <x:v>Trực tiếp</x:v>
      </x:c>
      <x:c r="L150" s="14" t="str">
        <x:v>Quy trình/SOP/biểu mẫu</x:v>
      </x:c>
      <x:c r="M150" s="14" t="str">
        <x:v>ANSP/doanh nghiệp hàng không</x:v>
      </x:c>
      <x:c r="N150" s="14" t="str">
        <x:v>Kiểm soát nghĩa vụ phối hợp liên quan đóng/mở bãi cất hạ cánh, dây chuyền hoạt động, phương tiện chuyên ngành, sân bay lưỡng dụng, trách nhiệm địa phương và chuyển tiếp pháp lý.</x:v>
      </x:c>
      <x:c r="O150" s="14" t="str">
        <x:v>Lập kế hoạch tuân thủ; rà soát hồ sơ, phương tiện, hiệp đồng; cập nhật căn cứ pháp lý và phổ biến cho đơn vị.</x:v>
      </x:c>
      <x:c r="P150" s="14" t="str">
        <x:v>Không bỏ sót nghĩa vụ chuyển tiếp và phối hợp quản lý khai thác</x:v>
      </x:c>
      <x:c r="Q150" s="14" t="str">
        <x:v>Kế hoạch tuân thủ; danh mục hồ sơ chuyển tiếp; hiệp đồng; danh mục phương tiện; NOTAM/AIP nếu có</x:v>
      </x:c>
      <x:c r="R150" s="14" t="str">
        <x:v>Quy trình kiểm soát tuân thủ NĐ205; quy trình phối hợp sân bay lưỡng dụng; Mẫu kế hoạch tuân thủ; checklist chuyển tiếp; mẫu danh mục phương tiện</x:v>
      </x:c>
      <x:c r="S150" s="14" t="str">
        <x:v>Ban Kế hoạch - Đầu tư; Ban Không lưu; Ban Kỹ thuật - CNS/IT/Môi trường; Văn phòng - Pháp chế; Trung tâm Thông báo tin tức hàng không; Các Công ty Quản lý bay khu vực Bắc/Trung/Nam</x:v>
      </x:c>
      <x:c r="T150" s="14" t="str">
        <x:v>Các Công ty Quản lý bay khu vực Bắc/Trung/Nam; Ban Kế hoạch - Đầu tư; Ban Không lưu; Ban Kỹ thuật - CNS/IT/Môi trường</x:v>
      </x:c>
      <x:c r="U150" s="14" t="str">
        <x:v>Bộ Xây dựng, CHK Việt Nam, Cảng vụ, UBND địa phương, Bộ Quốc phòng, ACV</x:v>
      </x:c>
      <x:c r="V150" s="14" t="str">
        <x:v>Trước/sau 01/7/2026 và khi phát sinh sự kiện</x:v>
      </x:c>
      <x:c r="W150" s="14" t="str">
        <x:v>P1</x:v>
      </x:c>
      <x:c r="X150" s="14" t="str">
        <x:v>Cao</x:v>
      </x:c>
      <x:c r="Y150" s="14" t="str">
        <x:v>Chưa bắt đầu</x:v>
      </x:c>
      <x:c r="Z150" s="14" t="str">
        <x:v>Đảm bảo bao phủ 100% điều khoản liên quan VATM.</x:v>
      </x:c>
      <x:c r="AA150" s="14" t="str"/>
      <x:c r="AB150" s="14" t="str">
        <x:v>cang; san bay; cns; phap che</x:v>
      </x:c>
    </x:row>
    <x:row r="151">
      <x:c r="A151" s="14" t="str">
        <x:v>VATM-0150</x:v>
      </x:c>
      <x:c r="B151" s="14" t="str">
        <x:v>1</x:v>
      </x:c>
      <x:c r="C151" s="14" t="str">
        <x:v>Thông tư 18/2026/TT-BXD - Chương trình an toàn HKDD</x:v>
      </x:c>
      <x:c r="D151" s="14" t="str">
        <x:v>Tong_hop_nhiem_vu_TT18_2026_TT_BXD_VATM_ANSP.xlsx</x:v>
      </x:c>
      <x:c r="E151" s="14" t="str">
        <x:v>01_Nhiem_vu_chung</x:v>
      </x:c>
      <x:c r="F151" s="56" t="n">
        <x:v>2</x:v>
      </x:c>
      <x:c r="G151" s="14" t="str">
        <x:v>Chương trình Điều 6 khoản 1, khoản 3</x:v>
      </x:c>
      <x:c r="H151" s="14" t="str">
        <x:v>An toàn hàng không / SMS</x:v>
      </x:c>
      <x:c r="I151" s="14" t="str">
        <x:v>Chính sách, mục tiêu và văn hóa an toàn</x:v>
      </x:c>
      <x:c r="J151" s="14" t="str">
        <x:v>Chính sách an toàn</x:v>
      </x:c>
      <x:c r="K151" s="14" t="str">
        <x:v>Trực tiếp</x:v>
      </x:c>
      <x:c r="L151" s="14" t="str">
        <x:v>Báo cáo/điều tra/khắc phục</x:v>
      </x:c>
      <x:c r="M151" s="14" t="str">
        <x:v>Tổ chức, cá nhân tham gia hoạt động hàng không dân dụng</x:v>
      </x:c>
      <x:c r="N151" s="14" t="str">
        <x:v>Bảo đảm đáp ứng chính sách an toàn hàng không dân dụng Việt Nam: an toàn là mục tiêu cao nhất; quản lý an toàn chủ động; kết hợp giám sát tuân thủ, giám sát dựa trên rủi ro/kết quả; thúc đẩy báo cáo, chia sẻ thông tin và văn hóa an toàn; bảo đảm nguồn lực.</x:v>
      </x:c>
      <x:c r="O151" s="14" t="str">
        <x:v>Ban An toàn/Quản lý an toàn chủ trì tham mưu chính sách và truyền thông toàn hệ thống.</x:v>
      </x:c>
      <x:c r="P151" s="14" t="str">
        <x:v>Chính sách/ quy chế an toàn nội bộ phù hợp chính sách quốc gia; bằng chứng bố trí nguồn lực và truyền thông chính sách.</x:v>
      </x:c>
      <x:c r="Q151" s="14" t="str">
        <x:v>Chính sách/ quy chế an toàn nội bộ phù hợp chính sách quốc gia; bằng chứng bố trí nguồn lực và truyền thông chính sách.</x:v>
      </x:c>
      <x:c r="R151" s="14" t="str"/>
      <x:c r="S151" s="14" t="str">
        <x:v>Ban An toàn - Chất lượng</x:v>
      </x:c>
      <x:c r="T151" s="14" t="str">
        <x:v>Các Công ty Quản lý bay khu vực Bắc/Trung/Nam; Ban An toàn - Chất lượng</x:v>
      </x:c>
      <x:c r="U151" s="14" t="str"/>
      <x:c r="V151" s="14" t="str">
        <x:v>Thường xuyên; rà soát khi chính sách quốc gia hoặc hoạt động của tổ chức thay đổi.</x:v>
      </x:c>
      <x:c r="W151" s="14" t="str">
        <x:v>P2</x:v>
      </x:c>
      <x:c r="X151" s="14" t="str"/>
      <x:c r="Y151" s="14" t="str">
        <x:v>Chưa bắt đầu</x:v>
      </x:c>
      <x:c r="Z151" s="14" t="str"/>
      <x:c r="AA151" s="14" t="str">
        <x:v>https://datafiles.chinhphu.vn/cpp/files/vbpq/2026/5/18-bxd.pdf</x:v>
      </x:c>
      <x:c r="AB151" s="14" t="str">
        <x:v>sms; an toan</x:v>
      </x:c>
    </x:row>
    <x:row r="152">
      <x:c r="A152" s="14" t="str">
        <x:v>VATM-0151</x:v>
      </x:c>
      <x:c r="B152" s="14" t="str">
        <x:v>2</x:v>
      </x:c>
      <x:c r="C152" s="14" t="str">
        <x:v>Thông tư 18/2026/TT-BXD - Chương trình an toàn HKDD</x:v>
      </x:c>
      <x:c r="D152" s="14" t="str">
        <x:v>Tong_hop_nhiem_vu_TT18_2026_TT_BXD_VATM_ANSP.xlsx</x:v>
      </x:c>
      <x:c r="E152" s="14" t="str">
        <x:v>01_Nhiem_vu_chung</x:v>
      </x:c>
      <x:c r="F152" s="56" t="n">
        <x:v>3</x:v>
      </x:c>
      <x:c r="G152" s="14" t="str">
        <x:v>Chương trình Điều 8 khoản 3</x:v>
      </x:c>
      <x:c r="H152" s="14" t="str">
        <x:v>An toàn hàng không / SMS</x:v>
      </x:c>
      <x:c r="I152" s="14" t="str">
        <x:v>Khung SMS và quản trị an toàn</x:v>
      </x:c>
      <x:c r="J152" s="14" t="str">
        <x:v>Kế hoạch an toàn</x:v>
      </x:c>
      <x:c r="K152" s="14" t="str">
        <x:v>Trực tiếp</x:v>
      </x:c>
      <x:c r="L152" s="14" t="str">
        <x:v>SMS/QLAT</x:v>
      </x:c>
      <x:c r="M152" s="14" t="str">
        <x:v>Tổ chức, cá nhân hoạt động trong hàng không dân dụng</x:v>
      </x:c>
      <x:c r="N152" s="14" t="str">
        <x:v>Xây dựng kế hoạch, biện pháp nhằm triển khai, thực hiện Kế hoạch an toàn hàng không dân dụng Việt Nam do Cục Hàng không Việt Nam ban hành.</x:v>
      </x:c>
      <x:c r="O152" s="14" t="str">
        <x:v>Lồng ghép vào kế hoạch an toàn năm/giai đoạn của VATM và kế hoạch của các đơn vị trực thuộc.</x:v>
      </x:c>
      <x:c r="P152" s="14" t="str">
        <x:v>Kế hoạch/ chương trình hành động an toàn cấp doanh nghiệp; danh mục hành động, trách nhiệm, tiến độ.</x:v>
      </x:c>
      <x:c r="Q152" s="14" t="str">
        <x:v>Kế hoạch/ chương trình hành động an toàn cấp doanh nghiệp; danh mục hành động, trách nhiệm, tiến độ.</x:v>
      </x:c>
      <x:c r="R152" s="14" t="str"/>
      <x:c r="S152" s="14" t="str">
        <x:v>Ban An toàn - Chất lượng</x:v>
      </x:c>
      <x:c r="T152" s="14" t="str">
        <x:v>Các Công ty Quản lý bay khu vực Bắc/Trung/Nam; Ban An toàn - Chất lượng</x:v>
      </x:c>
      <x:c r="U152" s="14" t="str"/>
      <x:c r="V152" s="14" t="str">
        <x:v>Theo giai đoạn của Kế hoạch an toàn quốc gia; cập nhật khi Cục HKVN ban hành/sửa đổi.</x:v>
      </x:c>
      <x:c r="W152" s="14" t="str">
        <x:v>P2</x:v>
      </x:c>
      <x:c r="X152" s="14" t="str"/>
      <x:c r="Y152" s="14" t="str">
        <x:v>Chưa bắt đầu</x:v>
      </x:c>
      <x:c r="Z152" s="14" t="str"/>
      <x:c r="AA152" s="14" t="str">
        <x:v>https://datafiles.chinhphu.vn/cpp/files/vbpq/2026/5/18-bxd.pdf</x:v>
      </x:c>
      <x:c r="AB152" s="14" t="str">
        <x:v>sms; an toan</x:v>
      </x:c>
    </x:row>
    <x:row r="153">
      <x:c r="A153" s="14" t="str">
        <x:v>VATM-0152</x:v>
      </x:c>
      <x:c r="B153" s="14" t="str">
        <x:v>3</x:v>
      </x:c>
      <x:c r="C153" s="14" t="str">
        <x:v>Thông tư 18/2026/TT-BXD - Chương trình an toàn HKDD</x:v>
      </x:c>
      <x:c r="D153" s="14" t="str">
        <x:v>Tong_hop_nhiem_vu_TT18_2026_TT_BXD_VATM_ANSP.xlsx</x:v>
      </x:c>
      <x:c r="E153" s="14" t="str">
        <x:v>01_Nhiem_vu_chung</x:v>
      </x:c>
      <x:c r="F153" s="56" t="n">
        <x:v>4</x:v>
      </x:c>
      <x:c r="G153" s="14" t="str">
        <x:v>Chương trình Điều 9 khoản 1, khoản 2; Phụ lục I</x:v>
      </x:c>
      <x:c r="H153" s="14" t="str">
        <x:v>An toàn hàng không / SMS</x:v>
      </x:c>
      <x:c r="I153" s="14" t="str">
        <x:v>Chính sách, mục tiêu và văn hóa an toàn</x:v>
      </x:c>
      <x:c r="J153" s="14" t="str">
        <x:v>Hệ thống quản lý an toàn (SMS)</x:v>
      </x:c>
      <x:c r="K153" s="14" t="str">
        <x:v>Trực tiếp</x:v>
      </x:c>
      <x:c r="L153" s="14" t="str">
        <x:v>SMS/QLAT</x:v>
      </x:c>
      <x:c r="M153" s="14" t="str">
        <x:v>Các tổ chức, cá nhân tại Điều 9 khoản 1, gồm cả doanh nghiệp cung cấp dịch vụ bảo đảm hoạt động bay</x:v>
      </x:c>
      <x:c r="N153" s="14" t="str">
        <x:v>Xây dựng, triển khai thực hiện SMS; nội dung SMS thực hiện theo Phụ lục I.</x:v>
      </x:c>
      <x:c r="O153" s="14" t="str">
        <x:v>VATM là đối tượng bắt buộc có SMS; dùng sheet '03_SMS_PL_I' làm checklist chi tiết.</x:v>
      </x:c>
      <x:c r="P153" s="14" t="str">
        <x:v>Tài liệu SMS, chính sách/mục tiêu, cơ cấu trách nhiệm, quy trình quản lý rủi ro, bảo đảm an toàn, thúc đẩy an toàn, hồ sơ vận hành SMS.</x:v>
      </x:c>
      <x:c r="Q153" s="14" t="str">
        <x:v>Tài liệu SMS, chính sách/mục tiêu, cơ cấu trách nhiệm, quy trình quản lý rủi ro, bảo đảm an toàn, thúc đẩy an toàn, hồ sơ vận hành SMS.</x:v>
      </x:c>
      <x:c r="R153" s="14" t="str"/>
      <x:c r="S153" s="14" t="str">
        <x:v>Ban An toàn - Chất lượng</x:v>
      </x:c>
      <x:c r="T153" s="14" t="str">
        <x:v>Các Công ty Quản lý bay khu vực Bắc/Trung/Nam; Ban An toàn - Chất lượng</x:v>
      </x:c>
      <x:c r="U153" s="14" t="str"/>
      <x:c r="V153" s="14" t="str">
        <x:v>Thiết lập và duy trì thường xuyên; rà soát định kỳ và khi thay đổi.</x:v>
      </x:c>
      <x:c r="W153" s="14" t="str">
        <x:v>P2</x:v>
      </x:c>
      <x:c r="X153" s="14" t="str"/>
      <x:c r="Y153" s="14" t="str">
        <x:v>Chưa bắt đầu</x:v>
      </x:c>
      <x:c r="Z153" s="14" t="str"/>
      <x:c r="AA153" s="14" t="str">
        <x:v>https://datafiles.chinhphu.vn/cpp/files/vbpq/2026/5/18-bxd.pdf</x:v>
      </x:c>
      <x:c r="AB153" s="14" t="str">
        <x:v>sms; an toan</x:v>
      </x:c>
    </x:row>
    <x:row r="154">
      <x:c r="A154" s="14" t="str">
        <x:v>VATM-0153</x:v>
      </x:c>
      <x:c r="B154" s="14" t="str">
        <x:v>4</x:v>
      </x:c>
      <x:c r="C154" s="14" t="str">
        <x:v>Thông tư 18/2026/TT-BXD - Chương trình an toàn HKDD</x:v>
      </x:c>
      <x:c r="D154" s="14" t="str">
        <x:v>Tong_hop_nhiem_vu_TT18_2026_TT_BXD_VATM_ANSP.xlsx</x:v>
      </x:c>
      <x:c r="E154" s="14" t="str">
        <x:v>01_Nhiem_vu_chung</x:v>
      </x:c>
      <x:c r="F154" s="56" t="n">
        <x:v>5</x:v>
      </x:c>
      <x:c r="G154" s="14" t="str">
        <x:v>Thông tư Điều 2 khoản 2; Chương trình Điều 10 khoản 3, khoản 4(a); Phụ lục II</x:v>
      </x:c>
      <x:c r="H154" s="14" t="str">
        <x:v>An toàn hàng không / SMS</x:v>
      </x:c>
      <x:c r="I154" s="14" t="str">
        <x:v>Báo cáo MOR, sự cố và điều tra</x:v>
      </x:c>
      <x:c r="J154" s="14" t="str">
        <x:v>SPI/SPT quốc gia</x:v>
      </x:c>
      <x:c r="K154" s="14" t="str">
        <x:v>Trực tiếp</x:v>
      </x:c>
      <x:c r="L154" s="14" t="str">
        <x:v>Báo cáo/điều tra/khắc phục</x:v>
      </x:c>
      <x:c r="M154" s="14" t="str">
        <x:v>Tổ chức, cá nhân tại Điều 9 khoản 1</x:v>
      </x:c>
      <x:c r="N154" s="14" t="str">
        <x:v>Trên cơ sở Bộ chỉ số thực hiện an toàn hàng không dân dụng Việt Nam, triển khai thu thập, phân tích, theo dõi và thực hiện biện pháp để đáp ứng chỉ tiêu thực hiện an toàn của các SPI tại Phụ lục II.</x:v>
      </x:c>
      <x:c r="O154" s="14" t="str">
        <x:v>Với VATM, theo dõi nhóm ANS-01 đến ANS-09 và GEN-01 đến GEN-05.</x:v>
      </x:c>
      <x:c r="P154" s="14" t="str">
        <x:v>Cơ sở dữ liệu SPI, báo cáo phân tích xu hướng, ngưỡng cảnh báo, kế hoạch/biện pháp kiểm soát.</x:v>
      </x:c>
      <x:c r="Q154" s="14" t="str">
        <x:v>Cơ sở dữ liệu SPI, báo cáo phân tích xu hướng, ngưỡng cảnh báo, kế hoạch/biện pháp kiểm soát.</x:v>
      </x:c>
      <x:c r="R154" s="14" t="str"/>
      <x:c r="S154" s="14" t="str">
        <x:v>Ban An toàn - Chất lượng</x:v>
      </x:c>
      <x:c r="T154" s="14" t="str">
        <x:v>Các Công ty Quản lý bay khu vực Bắc/Trung/Nam; Ban An toàn - Chất lượng</x:v>
      </x:c>
      <x:c r="U154" s="14" t="str"/>
      <x:c r="V154" s="14" t="str">
        <x:v>Theo chu kỳ giám sát và báo cáo; quy định SPI/SPT tại Điều 10 áp dụng từ 01/01/2027; Cục HKVN công bố SPT trước ngày 15/01 hằng năm.</x:v>
      </x:c>
      <x:c r="W154" s="14" t="str">
        <x:v>P2</x:v>
      </x:c>
      <x:c r="X154" s="14" t="str"/>
      <x:c r="Y154" s="14" t="str">
        <x:v>Chưa bắt đầu</x:v>
      </x:c>
      <x:c r="Z154" s="14" t="str"/>
      <x:c r="AA154" s="14" t="str">
        <x:v>https://datafiles.chinhphu.vn/cpp/files/vbpq/2026/5/18-bxd.pdf</x:v>
      </x:c>
      <x:c r="AB154" s="14" t="str">
        <x:v>sms; an toan; mor; spi</x:v>
      </x:c>
    </x:row>
    <x:row r="155">
      <x:c r="A155" s="14" t="str">
        <x:v>VATM-0154</x:v>
      </x:c>
      <x:c r="B155" s="14" t="str">
        <x:v>5</x:v>
      </x:c>
      <x:c r="C155" s="14" t="str">
        <x:v>Thông tư 18/2026/TT-BXD - Chương trình an toàn HKDD</x:v>
      </x:c>
      <x:c r="D155" s="14" t="str">
        <x:v>Tong_hop_nhiem_vu_TT18_2026_TT_BXD_VATM_ANSP.xlsx</x:v>
      </x:c>
      <x:c r="E155" s="14" t="str">
        <x:v>01_Nhiem_vu_chung</x:v>
      </x:c>
      <x:c r="F155" s="56" t="n">
        <x:v>6</x:v>
      </x:c>
      <x:c r="G155" s="14" t="str">
        <x:v>Chương trình Điều 10 khoản 4(b); Điều 22 khoản 3(c)</x:v>
      </x:c>
      <x:c r="H155" s="14" t="str">
        <x:v>An toàn hàng không / SMS</x:v>
      </x:c>
      <x:c r="I155" s="14" t="str">
        <x:v>Chính sách, mục tiêu và văn hóa an toàn</x:v>
      </x:c>
      <x:c r="J155" s="14" t="str">
        <x:v>SPI/SPT nội bộ</x:v>
      </x:c>
      <x:c r="K155" s="14" t="str">
        <x:v>Trực tiếp</x:v>
      </x:c>
      <x:c r="L155" s="14" t="str">
        <x:v>SMS/QLAT</x:v>
      </x:c>
      <x:c r="M155" s="14" t="str">
        <x:v>Tổ chức, cá nhân tại Điều 9 khoản 1</x:v>
      </x:c>
      <x:c r="N155" s="14" t="str">
        <x:v>Xây dựng, triển khai bộ SPI và SPT riêng của tổ chức phù hợp với mục tiêu an toàn quốc gia, Kế hoạch an toàn quốc gia và Bộ SPI quốc gia.</x:v>
      </x:c>
      <x:c r="O155" s="14" t="str">
        <x:v>VATM cần liên kết SPI đơn vị ATS/CNS/MET/AIS/AIM với bộ SPI cấp Tổng công ty.</x:v>
      </x:c>
      <x:c r="P155" s="14" t="str">
        <x:v>Danh mục SPI/SPT nội bộ; phương pháp tính, nguồn dữ liệu, ngưỡng cảnh báo, người chịu trách nhiệm.</x:v>
      </x:c>
      <x:c r="Q155" s="14" t="str">
        <x:v>Danh mục SPI/SPT nội bộ; phương pháp tính, nguồn dữ liệu, ngưỡng cảnh báo, người chịu trách nhiệm.</x:v>
      </x:c>
      <x:c r="R155" s="14" t="str"/>
      <x:c r="S155" s="14" t="str">
        <x:v>Ban An toàn - Chất lượng</x:v>
      </x:c>
      <x:c r="T155" s="14" t="str">
        <x:v>Các Công ty Quản lý bay khu vực Bắc/Trung/Nam; Ban An toàn - Chất lượng</x:v>
      </x:c>
      <x:c r="U155" s="14" t="str"/>
      <x:c r="V155" s="14" t="str">
        <x:v>Xây dựng hằng năm và cập nhật khi thay đổi quy mô/rủi ro; đưa SPT dự kiến năm tiếp theo vào báo cáo năm.</x:v>
      </x:c>
      <x:c r="W155" s="14" t="str">
        <x:v>P2</x:v>
      </x:c>
      <x:c r="X155" s="14" t="str"/>
      <x:c r="Y155" s="14" t="str">
        <x:v>Chưa bắt đầu</x:v>
      </x:c>
      <x:c r="Z155" s="14" t="str"/>
      <x:c r="AA155" s="14" t="str">
        <x:v>https://datafiles.chinhphu.vn/cpp/files/vbpq/2026/5/18-bxd.pdf</x:v>
      </x:c>
      <x:c r="AB155" s="14" t="str">
        <x:v>sms; an toan; spi; spt</x:v>
      </x:c>
    </x:row>
    <x:row r="156">
      <x:c r="A156" s="14" t="str">
        <x:v>VATM-0155</x:v>
      </x:c>
      <x:c r="B156" s="14" t="str">
        <x:v>6</x:v>
      </x:c>
      <x:c r="C156" s="14" t="str">
        <x:v>Thông tư 18/2026/TT-BXD - Chương trình an toàn HKDD</x:v>
      </x:c>
      <x:c r="D156" s="14" t="str">
        <x:v>Tong_hop_nhiem_vu_TT18_2026_TT_BXD_VATM_ANSP.xlsx</x:v>
      </x:c>
      <x:c r="E156" s="14" t="str">
        <x:v>01_Nhiem_vu_chung</x:v>
      </x:c>
      <x:c r="F156" s="56" t="n">
        <x:v>7</x:v>
      </x:c>
      <x:c r="G156" s="14" t="str">
        <x:v>Chương trình Điều 11 khoản 3(c)</x:v>
      </x:c>
      <x:c r="H156" s="14" t="str">
        <x:v>An toàn hàng không / SMS</x:v>
      </x:c>
      <x:c r="I156" s="14" t="str">
        <x:v>Quản lý rủi ro và thay đổi</x:v>
      </x:c>
      <x:c r="J156" s="14" t="str">
        <x:v>Ngưỡng cảnh báo và can thiệp</x:v>
      </x:c>
      <x:c r="K156" s="14" t="str">
        <x:v>Trực tiếp</x:v>
      </x:c>
      <x:c r="L156" s="14" t="str">
        <x:v>Báo cáo/điều tra/khắc phục</x:v>
      </x:c>
      <x:c r="M156" s="14" t="str">
        <x:v>Tổ chức, cá nhân có SPI/SPT</x:v>
      </x:c>
      <x:c r="N156" s="14" t="str">
        <x:v>Khi chỉ tiêu của SPI chạm hoặc vượt ngưỡng cảnh báo, phải đánh giá rủi ro, xác định nguyên nhân và triển khai ngay biện pháp can thiệp, giảm thiểu rủi ro phù hợp.</x:v>
      </x:c>
      <x:c r="O156" s="14" t="str">
        <x:v>Thiết lập trigger tự động/tay trong báo cáo an toàn VATM để kích hoạt phân tích.</x:v>
      </x:c>
      <x:c r="P156" s="14" t="str">
        <x:v>Biên bản đánh giá rủi ro; phân tích nguyên nhân; kế hoạch hành động; bằng chứng đóng hành động.</x:v>
      </x:c>
      <x:c r="Q156" s="14" t="str">
        <x:v>Biên bản đánh giá rủi ro; phân tích nguyên nhân; kế hoạch hành động; bằng chứng đóng hành động.</x:v>
      </x:c>
      <x:c r="R156" s="14" t="str"/>
      <x:c r="S156" s="14" t="str">
        <x:v>Ban An toàn - Chất lượng</x:v>
      </x:c>
      <x:c r="T156" s="14" t="str">
        <x:v>Các Công ty Quản lý bay khu vực Bắc/Trung/Nam; Ban An toàn - Chất lượng</x:v>
      </x:c>
      <x:c r="U156" s="14" t="str"/>
      <x:c r="V156" s="14" t="str">
        <x:v>Ngay khi chạm/vượt ngưỡng cảnh báo.</x:v>
      </x:c>
      <x:c r="W156" s="14" t="str">
        <x:v>P2</x:v>
      </x:c>
      <x:c r="X156" s="14" t="str"/>
      <x:c r="Y156" s="14" t="str">
        <x:v>Chưa bắt đầu</x:v>
      </x:c>
      <x:c r="Z156" s="14" t="str"/>
      <x:c r="AA156" s="14" t="str">
        <x:v>https://datafiles.chinhphu.vn/cpp/files/vbpq/2026/5/18-bxd.pdf</x:v>
      </x:c>
      <x:c r="AB156" s="14" t="str">
        <x:v>sms; an toan; spi</x:v>
      </x:c>
    </x:row>
    <x:row r="157">
      <x:c r="A157" s="14" t="str">
        <x:v>VATM-0156</x:v>
      </x:c>
      <x:c r="B157" s="14" t="str">
        <x:v>7</x:v>
      </x:c>
      <x:c r="C157" s="14" t="str">
        <x:v>Thông tư 18/2026/TT-BXD - Chương trình an toàn HKDD</x:v>
      </x:c>
      <x:c r="D157" s="14" t="str">
        <x:v>Tong_hop_nhiem_vu_TT18_2026_TT_BXD_VATM_ANSP.xlsx</x:v>
      </x:c>
      <x:c r="E157" s="14" t="str">
        <x:v>01_Nhiem_vu_chung</x:v>
      </x:c>
      <x:c r="F157" s="56" t="n">
        <x:v>8</x:v>
      </x:c>
      <x:c r="G157" s="14" t="str">
        <x:v>Chương trình Điều 11 khoản 4, khoản 6; Phụ lục I Điều 6, Điều 7</x:v>
      </x:c>
      <x:c r="H157" s="14" t="str">
        <x:v>An toàn hàng không / SMS</x:v>
      </x:c>
      <x:c r="I157" s="14" t="str">
        <x:v>Quản lý rủi ro và thay đổi</x:v>
      </x:c>
      <x:c r="J157" s="14" t="str">
        <x:v>Nhận diện mối nguy và quản lý rủi ro</x:v>
      </x:c>
      <x:c r="K157" s="14" t="str">
        <x:v>Trực tiếp</x:v>
      </x:c>
      <x:c r="L157" s="14" t="str">
        <x:v>Báo cáo/điều tra/khắc phục</x:v>
      </x:c>
      <x:c r="M157" s="14" t="str">
        <x:v>Tổ chức, cá nhân tại Điều 9 khoản 1</x:v>
      </x:c>
      <x:c r="N157" s="14" t="str">
        <x:v>Thực hiện nhận diện mối nguy, lập danh mục mối nguy, phân tích hậu quả, đánh giá rủi ro, xác định biện pháp ngăn ngừa/giảm thiểu, đánh giá hiệu quả kiểm soát; báo cáo Cục HKVN định kỳ hằng quý và kiến nghị biện pháp cải thiện an toàn.</x:v>
      </x:c>
      <x:c r="O157" s="14" t="str">
        <x:v>Quản lý theo từng lĩnh vực dịch vụ bảo đảm hoạt động bay và giao diện giữa các đơn vị.</x:v>
      </x:c>
      <x:c r="P157" s="14" t="str">
        <x:v>Hazard register; risk assessment; biện pháp giảm thiểu; đánh giá hiệu quả; báo cáo quý gửi Cục HKVN.</x:v>
      </x:c>
      <x:c r="Q157" s="14" t="str">
        <x:v>Hazard register; risk assessment; biện pháp giảm thiểu; đánh giá hiệu quả; báo cáo quý gửi Cục HKVN.</x:v>
      </x:c>
      <x:c r="R157" s="14" t="str"/>
      <x:c r="S157" s="14" t="str">
        <x:v>Ban An toàn - Chất lượng</x:v>
      </x:c>
      <x:c r="T157" s="14" t="str">
        <x:v>Các Công ty Quản lý bay khu vực Bắc/Trung/Nam; Ban An toàn - Chất lượng</x:v>
      </x:c>
      <x:c r="U157" s="14" t="str"/>
      <x:c r="V157" s="14" t="str">
        <x:v>Thường xuyên; báo cáo định kỳ hằng quý.</x:v>
      </x:c>
      <x:c r="W157" s="14" t="str">
        <x:v>P2</x:v>
      </x:c>
      <x:c r="X157" s="14" t="str"/>
      <x:c r="Y157" s="14" t="str">
        <x:v>Chưa bắt đầu</x:v>
      </x:c>
      <x:c r="Z157" s="14" t="str"/>
      <x:c r="AA157" s="14" t="str">
        <x:v>https://datafiles.chinhphu.vn/cpp/files/vbpq/2026/5/18-bxd.pdf</x:v>
      </x:c>
      <x:c r="AB157" s="14" t="str">
        <x:v>sms; an toan</x:v>
      </x:c>
    </x:row>
    <x:row r="158">
      <x:c r="A158" s="14" t="str">
        <x:v>VATM-0157</x:v>
      </x:c>
      <x:c r="B158" s="14" t="str">
        <x:v>8</x:v>
      </x:c>
      <x:c r="C158" s="14" t="str">
        <x:v>Thông tư 18/2026/TT-BXD - Chương trình an toàn HKDD</x:v>
      </x:c>
      <x:c r="D158" s="14" t="str">
        <x:v>Tong_hop_nhiem_vu_TT18_2026_TT_BXD_VATM_ANSP.xlsx</x:v>
      </x:c>
      <x:c r="E158" s="14" t="str">
        <x:v>01_Nhiem_vu_chung</x:v>
      </x:c>
      <x:c r="F158" s="56" t="n">
        <x:v>9</x:v>
      </x:c>
      <x:c r="G158" s="14" t="str">
        <x:v>Chương trình Điều 12 khoản 4</x:v>
      </x:c>
      <x:c r="H158" s="14" t="str">
        <x:v>An toàn hàng không / SMS</x:v>
      </x:c>
      <x:c r="I158" s="14" t="str">
        <x:v>Báo cáo MOR, sự cố và điều tra</x:v>
      </x:c>
      <x:c r="J158" s="14" t="str">
        <x:v>Giám sát của Nhà chức trách</x:v>
      </x:c>
      <x:c r="K158" s="14" t="str">
        <x:v>Trực tiếp</x:v>
      </x:c>
      <x:c r="L158" s="14" t="str">
        <x:v>Báo cáo/điều tra/khắc phục</x:v>
      </x:c>
      <x:c r="M158" s="14" t="str">
        <x:v>Tổ chức, cá nhân tham gia hoạt động hàng không dân dụng</x:v>
      </x:c>
      <x:c r="N158" s="14" t="str">
        <x:v>Phối hợp, chấp hành hoạt động giám sát an toàn hàng không; thực hiện đầy đủ, đúng thời hạn việc khắc phục các nội dung không phù hợp và khuyến cáo an toàn của Nhà chức trách hàng không Việt Nam.</x:v>
      </x:c>
      <x:c r="O158" s="14" t="str">
        <x:v>Theo dõi bằng dashboard khắc phục; liên kết SPI GEN-02.</x:v>
      </x:c>
      <x:c r="P158" s="14" t="str">
        <x:v>Hồ sơ khắc phục điểm không phù hợp; bằng chứng hoàn thành; báo cáo tiến độ; theo dõi khuyến cáo an toàn.</x:v>
      </x:c>
      <x:c r="Q158" s="14" t="str">
        <x:v>Hồ sơ khắc phục điểm không phù hợp; bằng chứng hoàn thành; báo cáo tiến độ; theo dõi khuyến cáo an toàn.</x:v>
      </x:c>
      <x:c r="R158" s="14" t="str"/>
      <x:c r="S158" s="14" t="str">
        <x:v>Ban An toàn - Chất lượng</x:v>
      </x:c>
      <x:c r="T158" s="14" t="str">
        <x:v>Các Công ty Quản lý bay khu vực Bắc/Trung/Nam; Ban An toàn - Chất lượng</x:v>
      </x:c>
      <x:c r="U158" s="14" t="str"/>
      <x:c r="V158" s="14" t="str">
        <x:v>Theo yêu cầu/đợt giám sát; đúng thời hạn được giao.</x:v>
      </x:c>
      <x:c r="W158" s="14" t="str">
        <x:v>P2</x:v>
      </x:c>
      <x:c r="X158" s="14" t="str"/>
      <x:c r="Y158" s="14" t="str">
        <x:v>Chưa bắt đầu</x:v>
      </x:c>
      <x:c r="Z158" s="14" t="str"/>
      <x:c r="AA158" s="14" t="str">
        <x:v>https://datafiles.chinhphu.vn/cpp/files/vbpq/2026/5/18-bxd.pdf</x:v>
      </x:c>
      <x:c r="AB158" s="14" t="str">
        <x:v>sms; an toan; mor</x:v>
      </x:c>
    </x:row>
    <x:row r="159">
      <x:c r="A159" s="14" t="str">
        <x:v>VATM-0158</x:v>
      </x:c>
      <x:c r="B159" s="14" t="str">
        <x:v>9</x:v>
      </x:c>
      <x:c r="C159" s="14" t="str">
        <x:v>Thông tư 18/2026/TT-BXD - Chương trình an toàn HKDD</x:v>
      </x:c>
      <x:c r="D159" s="14" t="str">
        <x:v>Tong_hop_nhiem_vu_TT18_2026_TT_BXD_VATM_ANSP.xlsx</x:v>
      </x:c>
      <x:c r="E159" s="14" t="str">
        <x:v>01_Nhiem_vu_chung</x:v>
      </x:c>
      <x:c r="F159" s="56" t="n">
        <x:v>10</x:v>
      </x:c>
      <x:c r="G159" s="14" t="str">
        <x:v>Chương trình Điều 14 khoản 2; Phụ lục I Điều 11</x:v>
      </x:c>
      <x:c r="H159" s="14" t="str">
        <x:v>An toàn hàng không / SMS</x:v>
      </x:c>
      <x:c r="I159" s="14" t="str">
        <x:v>Khung SMS và quản trị an toàn</x:v>
      </x:c>
      <x:c r="J159" s="14" t="str">
        <x:v>Đào tạo, huấn luyện về SSP/NASP/SMS</x:v>
      </x:c>
      <x:c r="K159" s="14" t="str">
        <x:v>Trực tiếp</x:v>
      </x:c>
      <x:c r="L159" s="14" t="str">
        <x:v>SMS/QLAT</x:v>
      </x:c>
      <x:c r="M159" s="14" t="str">
        <x:v>Tổ chức, cá nhân tại Điều 9 khoản 1</x:v>
      </x:c>
      <x:c r="N159" s="14" t="str">
        <x:v>Tổ chức đào tạo, huấn luyện, bồi dưỡng về Chương trình an toàn HKDD Việt Nam, Kế hoạch an toàn HKDD Việt Nam và SMS cho toàn bộ cấp quản lý và nhân viên liên quan đến công tác bảo đảm an toàn; nội dung theo từng đối tượng nhân viên hàng không; lưu giữ hồ sơ đào tạo.</x:v>
      </x:c>
      <x:c r="O159" s="14" t="str">
        <x:v>Cần phân tầng đào tạo cho lãnh đạo, quản lý an toàn, KSVKL, CNS, MET, AIS/AIM và nhân viên liên quan.</x:v>
      </x:c>
      <x:c r="P159" s="14" t="str">
        <x:v>Kế hoạch đào tạo; giáo trình/nội dung; danh sách tham dự; kết quả đánh giá; hồ sơ lưu trữ.</x:v>
      </x:c>
      <x:c r="Q159" s="14" t="str">
        <x:v>Kế hoạch đào tạo; giáo trình/nội dung; danh sách tham dự; kết quả đánh giá; hồ sơ lưu trữ.</x:v>
      </x:c>
      <x:c r="R159" s="14" t="str"/>
      <x:c r="S159" s="14" t="str">
        <x:v>Ban An toàn - Chất lượng</x:v>
      </x:c>
      <x:c r="T159" s="14" t="str">
        <x:v>Các Công ty Quản lý bay khu vực Bắc/Trung/Nam; Ban An toàn - Chất lượng</x:v>
      </x:c>
      <x:c r="U159" s="14" t="str"/>
      <x:c r="V159" s="14" t="str">
        <x:v>Định kỳ theo kế hoạch đào tạo; khi có thay đổi lớn; lưu hồ sơ thường xuyên.</x:v>
      </x:c>
      <x:c r="W159" s="14" t="str">
        <x:v>P2</x:v>
      </x:c>
      <x:c r="X159" s="14" t="str"/>
      <x:c r="Y159" s="14" t="str">
        <x:v>Chưa bắt đầu</x:v>
      </x:c>
      <x:c r="Z159" s="14" t="str"/>
      <x:c r="AA159" s="14" t="str">
        <x:v>https://datafiles.chinhphu.vn/cpp/files/vbpq/2026/5/18-bxd.pdf</x:v>
      </x:c>
      <x:c r="AB159" s="14" t="str">
        <x:v>sms; an toan; huan luyen</x:v>
      </x:c>
    </x:row>
    <x:row r="160">
      <x:c r="A160" s="14" t="str">
        <x:v>VATM-0159</x:v>
      </x:c>
      <x:c r="B160" s="14" t="str">
        <x:v>10</x:v>
      </x:c>
      <x:c r="C160" s="14" t="str">
        <x:v>Thông tư 18/2026/TT-BXD - Chương trình an toàn HKDD</x:v>
      </x:c>
      <x:c r="D160" s="14" t="str">
        <x:v>Tong_hop_nhiem_vu_TT18_2026_TT_BXD_VATM_ANSP.xlsx</x:v>
      </x:c>
      <x:c r="E160" s="14" t="str">
        <x:v>01_Nhiem_vu_chung</x:v>
      </x:c>
      <x:c r="F160" s="56" t="n">
        <x:v>11</x:v>
      </x:c>
      <x:c r="G160" s="14" t="str">
        <x:v>Chương trình Điều 15 khoản 2, khoản 6</x:v>
      </x:c>
      <x:c r="H160" s="14" t="str">
        <x:v>An toàn hàng không / SMS</x:v>
      </x:c>
      <x:c r="I160" s="14" t="str">
        <x:v>Bảo đảm an toàn, giám sát và audit</x:v>
      </x:c>
      <x:c r="J160" s="14" t="str">
        <x:v>Bảo vệ dữ liệu và thông tin an toàn</x:v>
      </x:c>
      <x:c r="K160" s="14" t="str">
        <x:v>Trực tiếp</x:v>
      </x:c>
      <x:c r="L160" s="14" t="str">
        <x:v>SMS/QLAT</x:v>
      </x:c>
      <x:c r="M160" s="14" t="str">
        <x:v>Tổ chức, cá nhân trong hoạt động HKDD thu thập, quản lý, cung cấp, chia sẻ dữ liệu/thông tin an toàn</x:v>
      </x:c>
      <x:c r="N160" s="14" t="str">
        <x:v>Thực hiện yêu cầu bảo vệ dữ liệu an toàn, thông tin an toàn; có quy trình thu thập, tiếp cận, sử dụng, lưu trữ, cung cấp, chia sẻ, công bố; không sử dụng sai mục đích; tuân thủ bảo vệ dữ liệu cá nhân, bí mật nhà nước và pháp luật liên quan.</x:v>
      </x:c>
      <x:c r="O160" s="14" t="str">
        <x:v>Đặc biệt kiểm soát dữ liệu ghi âm liên lạc kiểm soát không lưu, dữ liệu giám sát/điều hành bay.</x:v>
      </x:c>
      <x:c r="P160" s="14" t="str">
        <x:v>Quy chế bảo vệ dữ liệu an toàn; phân quyền truy cập; nhật ký cung cấp/chia sẻ; quy trình công bố; hồ sơ tuân thủ.</x:v>
      </x:c>
      <x:c r="Q160" s="14" t="str">
        <x:v>Quy chế bảo vệ dữ liệu an toàn; phân quyền truy cập; nhật ký cung cấp/chia sẻ; quy trình công bố; hồ sơ tuân thủ.</x:v>
      </x:c>
      <x:c r="R160" s="14" t="str"/>
      <x:c r="S160" s="14" t="str">
        <x:v>Ban An toàn - Chất lượng</x:v>
      </x:c>
      <x:c r="T160" s="14" t="str">
        <x:v>Các Công ty Quản lý bay khu vực Bắc/Trung/Nam; Ban An toàn - Chất lượng</x:v>
      </x:c>
      <x:c r="U160" s="14" t="str"/>
      <x:c r="V160" s="14" t="str">
        <x:v>Thường xuyên; khi thu thập, lưu trữ, chia sẻ, công bố dữ liệu/thông tin an toàn.</x:v>
      </x:c>
      <x:c r="W160" s="14" t="str">
        <x:v>P2</x:v>
      </x:c>
      <x:c r="X160" s="14" t="str"/>
      <x:c r="Y160" s="14" t="str">
        <x:v>Chưa bắt đầu</x:v>
      </x:c>
      <x:c r="Z160" s="14" t="str"/>
      <x:c r="AA160" s="14" t="str">
        <x:v>https://datafiles.chinhphu.vn/cpp/files/vbpq/2026/5/18-bxd.pdf</x:v>
      </x:c>
      <x:c r="AB160" s="14" t="str">
        <x:v>sms; an toan; du lieu</x:v>
      </x:c>
    </x:row>
    <x:row r="161">
      <x:c r="A161" s="14" t="str">
        <x:v>VATM-0160</x:v>
      </x:c>
      <x:c r="B161" s="14" t="str">
        <x:v>11</x:v>
      </x:c>
      <x:c r="C161" s="14" t="str">
        <x:v>Thông tư 18/2026/TT-BXD - Chương trình an toàn HKDD</x:v>
      </x:c>
      <x:c r="D161" s="14" t="str">
        <x:v>Tong_hop_nhiem_vu_TT18_2026_TT_BXD_VATM_ANSP.xlsx</x:v>
      </x:c>
      <x:c r="E161" s="14" t="str">
        <x:v>01_Nhiem_vu_chung</x:v>
      </x:c>
      <x:c r="F161" s="56" t="n">
        <x:v>12</x:v>
      </x:c>
      <x:c r="G161" s="14" t="str">
        <x:v>Chương trình Điều 15 khoản 4</x:v>
      </x:c>
      <x:c r="H161" s="14" t="str">
        <x:v>An toàn hàng không / SMS</x:v>
      </x:c>
      <x:c r="I161" s="14" t="str">
        <x:v>Khung SMS và quản trị an toàn</x:v>
      </x:c>
      <x:c r="J161" s="14" t="str">
        <x:v>Kiểm soát dữ liệu ghi âm/ghi hình nhạy cảm</x:v>
      </x:c>
      <x:c r="K161" s="14" t="str">
        <x:v>Trực tiếp</x:v>
      </x:c>
      <x:c r="L161" s="14" t="str">
        <x:v>SMS/QLAT</x:v>
      </x:c>
      <x:c r="M161" s="14" t="str">
        <x:v>Tổ chức nắm giữ dữ liệu ghi âm buồng lái, ghi âm liên lạc kiểm soát không lưu, dữ liệu ghi âm/ghi hình môi trường làm việc tương tự</x:v>
      </x:c>
      <x:c r="N161" s="14" t="str">
        <x:v>Kiểm soát chặt chẽ việc tiếp cận, khai thác, sử dụng, cung cấp và công bố; chỉ thực hiện theo yêu cầu của cơ quan nhà nước có thẩm quyền.</x:v>
      </x:c>
      <x:c r="O161" s="14" t="str">
        <x:v>Áp dụng trực tiếp cho dữ liệu ghi âm liên lạc kiểm soát không lưu của VATM.</x:v>
      </x:c>
      <x:c r="P161" s="14" t="str">
        <x:v>Danh mục dữ liệu nhạy cảm; quy trình cấp quyền; nhật ký truy cập/cung cấp; phê duyệt theo thẩm quyền.</x:v>
      </x:c>
      <x:c r="Q161" s="14" t="str">
        <x:v>Danh mục dữ liệu nhạy cảm; quy trình cấp quyền; nhật ký truy cập/cung cấp; phê duyệt theo thẩm quyền.</x:v>
      </x:c>
      <x:c r="R161" s="14" t="str"/>
      <x:c r="S161" s="14" t="str">
        <x:v>Ban An toàn - Chất lượng</x:v>
      </x:c>
      <x:c r="T161" s="14" t="str">
        <x:v>Các Công ty Quản lý bay khu vực Bắc/Trung/Nam; Ban An toàn - Chất lượng</x:v>
      </x:c>
      <x:c r="U161" s="14" t="str"/>
      <x:c r="V161" s="14" t="str">
        <x:v>Thường xuyên; mỗi lần tiếp cận/khai thác/cung cấp dữ liệu.</x:v>
      </x:c>
      <x:c r="W161" s="14" t="str">
        <x:v>P2</x:v>
      </x:c>
      <x:c r="X161" s="14" t="str"/>
      <x:c r="Y161" s="14" t="str">
        <x:v>Chưa bắt đầu</x:v>
      </x:c>
      <x:c r="Z161" s="14" t="str"/>
      <x:c r="AA161" s="14" t="str">
        <x:v>https://datafiles.chinhphu.vn/cpp/files/vbpq/2026/5/18-bxd.pdf</x:v>
      </x:c>
      <x:c r="AB161" s="14" t="str">
        <x:v>sms; an toan</x:v>
      </x:c>
    </x:row>
    <x:row r="162">
      <x:c r="A162" s="14" t="str">
        <x:v>VATM-0161</x:v>
      </x:c>
      <x:c r="B162" s="14" t="str">
        <x:v>12</x:v>
      </x:c>
      <x:c r="C162" s="14" t="str">
        <x:v>Thông tư 18/2026/TT-BXD - Chương trình an toàn HKDD</x:v>
      </x:c>
      <x:c r="D162" s="14" t="str">
        <x:v>Tong_hop_nhiem_vu_TT18_2026_TT_BXD_VATM_ANSP.xlsx</x:v>
      </x:c>
      <x:c r="E162" s="14" t="str">
        <x:v>01_Nhiem_vu_chung</x:v>
      </x:c>
      <x:c r="F162" s="56" t="n">
        <x:v>13</x:v>
      </x:c>
      <x:c r="G162" s="14" t="str">
        <x:v>Chương trình Điều 16 khoản 2, khoản 4</x:v>
      </x:c>
      <x:c r="H162" s="14" t="str">
        <x:v>An toàn hàng không / SMS</x:v>
      </x:c>
      <x:c r="I162" s="14" t="str">
        <x:v>Khung SMS và quản trị an toàn</x:v>
      </x:c>
      <x:c r="J162" s="14" t="str">
        <x:v>Thu thập/chia sẻ thông tin an toàn</x:v>
      </x:c>
      <x:c r="K162" s="14" t="str">
        <x:v>Trực tiếp</x:v>
      </x:c>
      <x:c r="L162" s="14" t="str">
        <x:v>SMS/QLAT</x:v>
      </x:c>
      <x:c r="M162" s="14" t="str">
        <x:v>Tổ chức, cá nhân liên quan đến hoạt động HKDD Việt Nam</x:v>
      </x:c>
      <x:c r="N162" s="14" t="str">
        <x:v>Thiết lập và duy trì cơ chế thu thập, ghi nhận, phân tích, lưu giữ, bảo mật dữ liệu/thông tin an toàn; cung cấp kịp thời dữ liệu/thông tin thuộc trách nhiệm theo yêu cầu của Cục HKVN; bảo đảm tính chính xác, hợp pháp; phổ biến kịp thời thông tin/khuyến cáo an toàn của Cục HKVN và thông tin an toàn nội bộ/liên quan.</x:v>
      </x:c>
      <x:c r="O162" s="14" t="str">
        <x:v>Tích hợp kênh chia sẻ giữa Ban An toàn và các cơ sở ATS/CNS/MET/AIS/AIM.</x:v>
      </x:c>
      <x:c r="P162" s="14" t="str">
        <x:v>Cơ sở dữ liệu an toàn; quy trình chia sẻ; hồ sơ trả lời yêu cầu Cục HKVN; bản tin/khuyến cáo nội bộ.</x:v>
      </x:c>
      <x:c r="Q162" s="14" t="str">
        <x:v>Cơ sở dữ liệu an toàn; quy trình chia sẻ; hồ sơ trả lời yêu cầu Cục HKVN; bản tin/khuyến cáo nội bộ.</x:v>
      </x:c>
      <x:c r="R162" s="14" t="str"/>
      <x:c r="S162" s="14" t="str">
        <x:v>Ban An toàn - Chất lượng</x:v>
      </x:c>
      <x:c r="T162" s="14" t="str">
        <x:v>Các Công ty Quản lý bay khu vực Bắc/Trung/Nam; Ban An toàn - Chất lượng</x:v>
      </x:c>
      <x:c r="U162" s="14" t="str"/>
      <x:c r="V162" s="14" t="str">
        <x:v>Thường xuyên; kịp thời theo yêu cầu Cục HKVN hoặc khi có thông tin an toàn.</x:v>
      </x:c>
      <x:c r="W162" s="14" t="str">
        <x:v>P2</x:v>
      </x:c>
      <x:c r="X162" s="14" t="str"/>
      <x:c r="Y162" s="14" t="str">
        <x:v>Chưa bắt đầu</x:v>
      </x:c>
      <x:c r="Z162" s="14" t="str"/>
      <x:c r="AA162" s="14" t="str">
        <x:v>https://datafiles.chinhphu.vn/cpp/files/vbpq/2026/5/18-bxd.pdf</x:v>
      </x:c>
      <x:c r="AB162" s="14" t="str">
        <x:v>sms; an toan; du lieu</x:v>
      </x:c>
    </x:row>
    <x:row r="163">
      <x:c r="A163" s="14" t="str">
        <x:v>VATM-0162</x:v>
      </x:c>
      <x:c r="B163" s="14" t="str">
        <x:v>13</x:v>
      </x:c>
      <x:c r="C163" s="14" t="str">
        <x:v>Thông tư 18/2026/TT-BXD - Chương trình an toàn HKDD</x:v>
      </x:c>
      <x:c r="D163" s="14" t="str">
        <x:v>Tong_hop_nhiem_vu_TT18_2026_TT_BXD_VATM_ANSP.xlsx</x:v>
      </x:c>
      <x:c r="E163" s="14" t="str">
        <x:v>01_Nhiem_vu_chung</x:v>
      </x:c>
      <x:c r="F163" s="56" t="n">
        <x:v>14</x:v>
      </x:c>
      <x:c r="G163" s="14" t="str">
        <x:v>Chương trình Điều 17 khoản 3</x:v>
      </x:c>
      <x:c r="H163" s="14" t="str">
        <x:v>An toàn hàng không / SMS</x:v>
      </x:c>
      <x:c r="I163" s="14" t="str">
        <x:v>Báo cáo MOR, sự cố và điều tra</x:v>
      </x:c>
      <x:c r="J163" s="14" t="str">
        <x:v>Hợp tác quốc tế về an toàn</x:v>
      </x:c>
      <x:c r="K163" s="14" t="str">
        <x:v>Trực tiếp</x:v>
      </x:c>
      <x:c r="L163" s="14" t="str">
        <x:v>Báo cáo/điều tra/khắc phục</x:v>
      </x:c>
      <x:c r="M163" s="14" t="str">
        <x:v>Tổ chức, cá nhân hoạt động hàng không</x:v>
      </x:c>
      <x:c r="N163" s="14" t="str">
        <x:v>Tham gia hoạt động hợp tác quốc tế về an toàn hàng không trong phạm vi chức năng, nhiệm vụ, quyền hạn theo quy định pháp luật.</x:v>
      </x:c>
      <x:c r="O163" s="14" t="str">
        <x:v>Ưu tiên các diễn đàn/chương trình liên quan ATM/ANS, SMS và chia sẻ dữ liệu an toàn.</x:v>
      </x:c>
      <x:c r="P163" s="14" t="str">
        <x:v>Hồ sơ tham gia chương trình, hội nghị, sáng kiến; báo cáo rút kinh nghiệm/áp dụng.</x:v>
      </x:c>
      <x:c r="Q163" s="14" t="str">
        <x:v>Hồ sơ tham gia chương trình, hội nghị, sáng kiến; báo cáo rút kinh nghiệm/áp dụng.</x:v>
      </x:c>
      <x:c r="R163" s="14" t="str"/>
      <x:c r="S163" s="14" t="str">
        <x:v>Ban An toàn - Chất lượng</x:v>
      </x:c>
      <x:c r="T163" s="14" t="str">
        <x:v>Các Công ty Quản lý bay khu vực Bắc/Trung/Nam; Ban An toàn - Chất lượng</x:v>
      </x:c>
      <x:c r="U163" s="14" t="str"/>
      <x:c r="V163" s="14" t="str">
        <x:v>Khi được giao hoặc trong phạm vi chức năng, nhiệm vụ.</x:v>
      </x:c>
      <x:c r="W163" s="14" t="str">
        <x:v>P2</x:v>
      </x:c>
      <x:c r="X163" s="14" t="str"/>
      <x:c r="Y163" s="14" t="str">
        <x:v>Chưa bắt đầu</x:v>
      </x:c>
      <x:c r="Z163" s="14" t="str"/>
      <x:c r="AA163" s="14" t="str">
        <x:v>https://datafiles.chinhphu.vn/cpp/files/vbpq/2026/5/18-bxd.pdf</x:v>
      </x:c>
      <x:c r="AB163" s="14" t="str">
        <x:v>sms; an toan; mor</x:v>
      </x:c>
    </x:row>
    <x:row r="164">
      <x:c r="A164" s="14" t="str">
        <x:v>VATM-0163</x:v>
      </x:c>
      <x:c r="B164" s="14" t="str">
        <x:v>14</x:v>
      </x:c>
      <x:c r="C164" s="14" t="str">
        <x:v>Thông tư 18/2026/TT-BXD - Chương trình an toàn HKDD</x:v>
      </x:c>
      <x:c r="D164" s="14" t="str">
        <x:v>Tong_hop_nhiem_vu_TT18_2026_TT_BXD_VATM_ANSP.xlsx</x:v>
      </x:c>
      <x:c r="E164" s="14" t="str">
        <x:v>01_Nhiem_vu_chung</x:v>
      </x:c>
      <x:c r="F164" s="56" t="n">
        <x:v>15</x:v>
      </x:c>
      <x:c r="G164" s="14" t="str">
        <x:v>Chương trình Điều 18 khoản 1, khoản 2, khoản 3</x:v>
      </x:c>
      <x:c r="H164" s="14" t="str">
        <x:v>An toàn hàng không / SMS</x:v>
      </x:c>
      <x:c r="I164" s="14" t="str">
        <x:v>Báo cáo MOR, sự cố và điều tra</x:v>
      </x:c>
      <x:c r="J164" s="14" t="str">
        <x:v>Hệ thống báo cáo an toàn</x:v>
      </x:c>
      <x:c r="K164" s="14" t="str">
        <x:v>Trực tiếp</x:v>
      </x:c>
      <x:c r="L164" s="14" t="str">
        <x:v>Báo cáo/điều tra/khắc phục</x:v>
      </x:c>
      <x:c r="M164" s="14" t="str">
        <x:v>Các tổ chức tại Điều 18 khoản 2, gồm cả doanh nghiệp BĐHĐB</x:v>
      </x:c>
      <x:c r="N164" s="14" t="str">
        <x:v>Thiết lập hệ thống báo cáo an toàn hàng không tới Cục HKVN, bao gồm báo cáo bắt buộc, báo cáo tự nguyện, báo cáo kết quả điều tra/xác minh nội bộ/giảng bình và báo cáo an toàn định kỳ; hình thức có thể là giấy, điện tử hoặc số.</x:v>
      </x:c>
      <x:c r="O164" s="14" t="str">
        <x:v>VATM thuộc điểm d Điều 18 khoản 2; cần đồng bộ báo cáo từ đơn vị cơ sở về Tổng công ty và Cục HKVN.</x:v>
      </x:c>
      <x:c r="P164" s="14" t="str">
        <x:v>Quy trình báo cáo; kênh tiếp nhận/gửi Cục HKVN; biểu mẫu; cơ sở dữ liệu báo cáo; phân quyền xử lý.</x:v>
      </x:c>
      <x:c r="Q164" s="14" t="str">
        <x:v>Quy trình báo cáo; kênh tiếp nhận/gửi Cục HKVN; biểu mẫu; cơ sở dữ liệu báo cáo; phân quyền xử lý.</x:v>
      </x:c>
      <x:c r="R164" s="14" t="str"/>
      <x:c r="S164" s="14" t="str">
        <x:v>Ban An toàn - Chất lượng</x:v>
      </x:c>
      <x:c r="T164" s="14" t="str">
        <x:v>Các Công ty Quản lý bay khu vực Bắc/Trung/Nam; Ban An toàn - Chất lượng</x:v>
      </x:c>
      <x:c r="U164" s="14" t="str"/>
      <x:c r="V164" s="14" t="str">
        <x:v>Thiết lập và duy trì thường xuyên.</x:v>
      </x:c>
      <x:c r="W164" s="14" t="str">
        <x:v>P2</x:v>
      </x:c>
      <x:c r="X164" s="14" t="str"/>
      <x:c r="Y164" s="14" t="str">
        <x:v>Chưa bắt đầu</x:v>
      </x:c>
      <x:c r="Z164" s="14" t="str"/>
      <x:c r="AA164" s="14" t="str">
        <x:v>https://datafiles.chinhphu.vn/cpp/files/vbpq/2026/5/18-bxd.pdf</x:v>
      </x:c>
      <x:c r="AB164" s="14" t="str">
        <x:v>sms; an toan; mor</x:v>
      </x:c>
    </x:row>
    <x:row r="165">
      <x:c r="A165" s="14" t="str">
        <x:v>VATM-0164</x:v>
      </x:c>
      <x:c r="B165" s="14" t="str">
        <x:v>15</x:v>
      </x:c>
      <x:c r="C165" s="14" t="str">
        <x:v>Thông tư 18/2026/TT-BXD - Chương trình an toàn HKDD</x:v>
      </x:c>
      <x:c r="D165" s="14" t="str">
        <x:v>Tong_hop_nhiem_vu_TT18_2026_TT_BXD_VATM_ANSP.xlsx</x:v>
      </x:c>
      <x:c r="E165" s="14" t="str">
        <x:v>01_Nhiem_vu_chung</x:v>
      </x:c>
      <x:c r="F165" s="56" t="n">
        <x:v>16</x:v>
      </x:c>
      <x:c r="G165" s="14" t="str">
        <x:v>Chương trình Điều 18 khoản 4</x:v>
      </x:c>
      <x:c r="H165" s="14" t="str">
        <x:v>An toàn hàng không / SMS</x:v>
      </x:c>
      <x:c r="I165" s="14" t="str">
        <x:v>Báo cáo MOR, sự cố và điều tra</x:v>
      </x:c>
      <x:c r="J165" s="14" t="str">
        <x:v>Sẵn sàng dữ liệu số</x:v>
      </x:c>
      <x:c r="K165" s="14" t="str">
        <x:v>Trực tiếp</x:v>
      </x:c>
      <x:c r="L165" s="14" t="str">
        <x:v>Báo cáo/điều tra/khắc phục</x:v>
      </x:c>
      <x:c r="M165" s="14" t="str">
        <x:v>Tổ chức/cá nhân có hệ thống cơ sở dữ liệu an toàn</x:v>
      </x:c>
      <x:c r="N165" s="14" t="str">
        <x:v>Bảo đảm khả năng đồng bộ/kết nối với hệ thống thu thập và phân tích dữ liệu an toàn hàng không do Cục HKVN triển khai, khi có hướng dẫn.</x:v>
      </x:c>
      <x:c r="O165" s="14" t="str">
        <x:v>Chuẩn hóa mã sự cố ANS, SPI, hazard và MOR để kết nối thuận lợi.</x:v>
      </x:c>
      <x:c r="P165" s="14" t="str">
        <x:v>Quy chuẩn dữ liệu nội bộ; mã hóa danh mục sự cố; giao diện/kênh gửi dữ liệu; kiểm soát chất lượng dữ liệu.</x:v>
      </x:c>
      <x:c r="Q165" s="14" t="str">
        <x:v>Quy chuẩn dữ liệu nội bộ; mã hóa danh mục sự cố; giao diện/kênh gửi dữ liệu; kiểm soát chất lượng dữ liệu.</x:v>
      </x:c>
      <x:c r="R165" s="14" t="str"/>
      <x:c r="S165" s="14" t="str">
        <x:v>Ban An toàn - Chất lượng</x:v>
      </x:c>
      <x:c r="T165" s="14" t="str">
        <x:v>Các Công ty Quản lý bay khu vực Bắc/Trung/Nam; Ban An toàn - Chất lượng</x:v>
      </x:c>
      <x:c r="U165" s="14" t="str"/>
      <x:c r="V165" s="14" t="str">
        <x:v>Khi Cục HKVN triển khai/hướng dẫn; duy trì sẵn sàng.</x:v>
      </x:c>
      <x:c r="W165" s="14" t="str">
        <x:v>P2</x:v>
      </x:c>
      <x:c r="X165" s="14" t="str"/>
      <x:c r="Y165" s="14" t="str">
        <x:v>Chưa bắt đầu</x:v>
      </x:c>
      <x:c r="Z165" s="14" t="str"/>
      <x:c r="AA165" s="14" t="str">
        <x:v>https://datafiles.chinhphu.vn/cpp/files/vbpq/2026/5/18-bxd.pdf</x:v>
      </x:c>
      <x:c r="AB165" s="14" t="str">
        <x:v>sms; an toan; mor; du lieu</x:v>
      </x:c>
    </x:row>
    <x:row r="166">
      <x:c r="A166" s="14" t="str">
        <x:v>VATM-0165</x:v>
      </x:c>
      <x:c r="B166" s="14" t="str">
        <x:v>16</x:v>
      </x:c>
      <x:c r="C166" s="14" t="str">
        <x:v>Thông tư 18/2026/TT-BXD - Chương trình an toàn HKDD</x:v>
      </x:c>
      <x:c r="D166" s="14" t="str">
        <x:v>Tong_hop_nhiem_vu_TT18_2026_TT_BXD_VATM_ANSP.xlsx</x:v>
      </x:c>
      <x:c r="E166" s="14" t="str">
        <x:v>01_Nhiem_vu_chung</x:v>
      </x:c>
      <x:c r="F166" s="56" t="n">
        <x:v>17</x:v>
      </x:c>
      <x:c r="G166" s="14" t="str">
        <x:v>Chương trình Điều 19 khoản 2(a)</x:v>
      </x:c>
      <x:c r="H166" s="14" t="str">
        <x:v>An toàn hàng không / SMS</x:v>
      </x:c>
      <x:c r="I166" s="14" t="str">
        <x:v>Báo cáo MOR, sự cố và điều tra</x:v>
      </x:c>
      <x:c r="J166" s="14" t="str">
        <x:v>Báo cáo bắt buộc - thông báo ban đầu</x:v>
      </x:c>
      <x:c r="K166" s="14" t="str">
        <x:v>Trực tiếp</x:v>
      </x:c>
      <x:c r="L166" s="14" t="str">
        <x:v>Báo cáo/điều tra/khắc phục</x:v>
      </x:c>
      <x:c r="M166" s="14" t="str">
        <x:v>Tổ chức/cá nhân liên quan trực tiếp đến sự cố, tai nạn hàng không</x:v>
      </x:c>
      <x:c r="N166" s="14" t="str">
        <x:v>Báo cáo ngay lập tức hoặc ngay khi có thể đến Cục HKVN bằng phương tiện thông tin thuận tiện nhất với thông tin tối thiểu: tóm tắt vụ việc, thời gian, địa điểm, đánh giá sơ bộ ảnh hưởng, kế hoạch/phương án/hành động khắc phục nếu có.</x:v>
      </x:c>
      <x:c r="O166" s="14" t="str">
        <x:v>Thiết lập kịch bản thông báo nhanh cho trung tâm/đài/trạm có sự cố.</x:v>
      </x:c>
      <x:c r="P166" s="14" t="str">
        <x:v>Thông báo ban đầu/initial notification; nhật ký liên lạc; thông tin tối thiểu theo quy định.</x:v>
      </x:c>
      <x:c r="Q166" s="14" t="str">
        <x:v>Thông báo ban đầu/initial notification; nhật ký liên lạc; thông tin tối thiểu theo quy định.</x:v>
      </x:c>
      <x:c r="R166" s="14" t="str"/>
      <x:c r="S166" s="14" t="str">
        <x:v>Ban An toàn - Chất lượng</x:v>
      </x:c>
      <x:c r="T166" s="14" t="str">
        <x:v>Các Công ty Quản lý bay khu vực Bắc/Trung/Nam; Ban An toàn - Chất lượng</x:v>
      </x:c>
      <x:c r="U166" s="14" t="str"/>
      <x:c r="V166" s="14" t="str">
        <x:v>Ngay lập tức hoặc ngay khi có thể.</x:v>
      </x:c>
      <x:c r="W166" s="14" t="str">
        <x:v>P2</x:v>
      </x:c>
      <x:c r="X166" s="14" t="str"/>
      <x:c r="Y166" s="14" t="str">
        <x:v>Chưa bắt đầu</x:v>
      </x:c>
      <x:c r="Z166" s="14" t="str"/>
      <x:c r="AA166" s="14" t="str">
        <x:v>https://datafiles.chinhphu.vn/cpp/files/vbpq/2026/5/18-bxd.pdf</x:v>
      </x:c>
      <x:c r="AB166" s="14" t="str">
        <x:v>sms; an toan; mor</x:v>
      </x:c>
    </x:row>
    <x:row r="167">
      <x:c r="A167" s="14" t="str">
        <x:v>VATM-0166</x:v>
      </x:c>
      <x:c r="B167" s="14" t="str">
        <x:v>17</x:v>
      </x:c>
      <x:c r="C167" s="14" t="str">
        <x:v>Thông tư 18/2026/TT-BXD - Chương trình an toàn HKDD</x:v>
      </x:c>
      <x:c r="D167" s="14" t="str">
        <x:v>Tong_hop_nhiem_vu_TT18_2026_TT_BXD_VATM_ANSP.xlsx</x:v>
      </x:c>
      <x:c r="E167" s="14" t="str">
        <x:v>01_Nhiem_vu_chung</x:v>
      </x:c>
      <x:c r="F167" s="56" t="n">
        <x:v>18</x:v>
      </x:c>
      <x:c r="G167" s="14" t="str">
        <x:v>Chương trình Điều 19 khoản 2(b); Phụ lục III</x:v>
      </x:c>
      <x:c r="H167" s="14" t="str">
        <x:v>An toàn hàng không / SMS</x:v>
      </x:c>
      <x:c r="I167" s="14" t="str">
        <x:v>Báo cáo MOR, sự cố và điều tra</x:v>
      </x:c>
      <x:c r="J167" s="14" t="str">
        <x:v>Báo cáo bắt buộc - thời hạn MOR</x:v>
      </x:c>
      <x:c r="K167" s="14" t="str">
        <x:v>Trực tiếp</x:v>
      </x:c>
      <x:c r="L167" s="14" t="str">
        <x:v>Báo cáo/điều tra/khắc phục</x:v>
      </x:c>
      <x:c r="M167" s="14" t="str">
        <x:v>Tổ chức/cá nhân liên quan trực tiếp đến vụ việc, sự cố, tai nạn hàng không</x:v>
      </x:c>
      <x:c r="N167" s="14" t="str">
        <x:v>Gửi Báo cáo sự cố an toàn hàng không bắt buộc đến Cục HKVN trong thời gian sớm nhất: tối đa 24 giờ đối với sự cố, tai nạn; tối đa 72 giờ đối với vụ việc, trừ bất khả kháng.</x:v>
      </x:c>
      <x:c r="O167" s="14" t="str">
        <x:v>Dùng sheet '05_MOR_PL_III' để lọc danh mục phải báo cáo.</x:v>
      </x:c>
      <x:c r="P167" s="14" t="str">
        <x:v>Báo cáo MOR; bằng chứng gửi/nhận; hồ sơ phân loại 24h/72h.</x:v>
      </x:c>
      <x:c r="Q167" s="14" t="str">
        <x:v>Báo cáo MOR; bằng chứng gửi/nhận; hồ sơ phân loại 24h/72h.</x:v>
      </x:c>
      <x:c r="R167" s="14" t="str"/>
      <x:c r="S167" s="14" t="str">
        <x:v>Ban An toàn - Chất lượng</x:v>
      </x:c>
      <x:c r="T167" s="14" t="str">
        <x:v>Các Công ty Quản lý bay khu vực Bắc/Trung/Nam; Ban An toàn - Chất lượng</x:v>
      </x:c>
      <x:c r="U167" s="14" t="str"/>
      <x:c r="V167" s="14" t="str">
        <x:v>24 giờ đối với sự cố/tai nạn; 72 giờ đối với vụ việc.</x:v>
      </x:c>
      <x:c r="W167" s="14" t="str">
        <x:v>P2</x:v>
      </x:c>
      <x:c r="X167" s="14" t="str"/>
      <x:c r="Y167" s="14" t="str">
        <x:v>Chưa bắt đầu</x:v>
      </x:c>
      <x:c r="Z167" s="14" t="str"/>
      <x:c r="AA167" s="14" t="str">
        <x:v>https://datafiles.chinhphu.vn/cpp/files/vbpq/2026/5/18-bxd.pdf</x:v>
      </x:c>
      <x:c r="AB167" s="14" t="str">
        <x:v>sms; an toan; mor</x:v>
      </x:c>
    </x:row>
    <x:row r="168">
      <x:c r="A168" s="14" t="str">
        <x:v>VATM-0167</x:v>
      </x:c>
      <x:c r="B168" s="14" t="str">
        <x:v>18</x:v>
      </x:c>
      <x:c r="C168" s="14" t="str">
        <x:v>Thông tư 18/2026/TT-BXD - Chương trình an toàn HKDD</x:v>
      </x:c>
      <x:c r="D168" s="14" t="str">
        <x:v>Tong_hop_nhiem_vu_TT18_2026_TT_BXD_VATM_ANSP.xlsx</x:v>
      </x:c>
      <x:c r="E168" s="14" t="str">
        <x:v>01_Nhiem_vu_chung</x:v>
      </x:c>
      <x:c r="F168" s="56" t="n">
        <x:v>19</x:v>
      </x:c>
      <x:c r="G168" s="14" t="str">
        <x:v>Chương trình Điều 19 khoản 2(c); Điều 21</x:v>
      </x:c>
      <x:c r="H168" s="14" t="str">
        <x:v>An toàn hàng không / SMS</x:v>
      </x:c>
      <x:c r="I168" s="14" t="str">
        <x:v>Báo cáo MOR, sự cố và điều tra</x:v>
      </x:c>
      <x:c r="J168" s="14" t="str">
        <x:v>Điều tra/xác minh sự cố bắt buộc</x:v>
      </x:c>
      <x:c r="K168" s="14" t="str">
        <x:v>Trực tiếp</x:v>
      </x:c>
      <x:c r="L168" s="14" t="str">
        <x:v>Báo cáo/điều tra/khắc phục</x:v>
      </x:c>
      <x:c r="M168" s="14" t="str">
        <x:v>Tổ chức/cá nhân có sự cố, tai nạn bắt buộc phải báo cáo</x:v>
      </x:c>
      <x:c r="N168" s="14" t="str">
        <x:v>Tiến hành điều tra nội bộ hoặc xác minh, đánh giá, phân loại, xác định nguyên nhân; áp dụng biện pháp ngăn chặn, khắc phục, phòng ngừa tái diễn; gửi kết luận điều tra nội bộ hoặc thông tin xác minh/đánh giá đến Cục HKVN trong 30 ngày; nếu cần thêm thời gian phải báo cáo và đề xuất hạn cuối.</x:v>
      </x:c>
      <x:c r="O168" s="14" t="str">
        <x:v>Đảm bảo phương pháp phân tích nguyên nhân và theo dõi CAPA đến khi đóng.</x:v>
      </x:c>
      <x:c r="P168" s="14" t="str">
        <x:v>Báo cáo điều tra/xác minh; root cause; CAPA; phê duyệt; hồ sơ xin gia hạn nếu có.</x:v>
      </x:c>
      <x:c r="Q168" s="14" t="str">
        <x:v>Báo cáo điều tra/xác minh; root cause; CAPA; phê duyệt; hồ sơ xin gia hạn nếu có.</x:v>
      </x:c>
      <x:c r="R168" s="14" t="str"/>
      <x:c r="S168" s="14" t="str">
        <x:v>Ban An toàn - Chất lượng</x:v>
      </x:c>
      <x:c r="T168" s="14" t="str">
        <x:v>Các Công ty Quản lý bay khu vực Bắc/Trung/Nam; Ban An toàn - Chất lượng</x:v>
      </x:c>
      <x:c r="U168" s="14" t="str"/>
      <x:c r="V168" s="14" t="str">
        <x:v>Không quá 30 ngày kể từ ngày xảy ra sự cố/tai nạn, trừ trường hợp đã báo cáo đề xuất thêm thời gian.</x:v>
      </x:c>
      <x:c r="W168" s="14" t="str">
        <x:v>P2</x:v>
      </x:c>
      <x:c r="X168" s="14" t="str"/>
      <x:c r="Y168" s="14" t="str">
        <x:v>Chưa bắt đầu</x:v>
      </x:c>
      <x:c r="Z168" s="14" t="str"/>
      <x:c r="AA168" s="14" t="str">
        <x:v>https://datafiles.chinhphu.vn/cpp/files/vbpq/2026/5/18-bxd.pdf</x:v>
      </x:c>
      <x:c r="AB168" s="14" t="str">
        <x:v>sms; an toan; mor</x:v>
      </x:c>
    </x:row>
    <x:row r="169">
      <x:c r="A169" s="14" t="str">
        <x:v>VATM-0168</x:v>
      </x:c>
      <x:c r="B169" s="14" t="str">
        <x:v>19</x:v>
      </x:c>
      <x:c r="C169" s="14" t="str">
        <x:v>Thông tư 18/2026/TT-BXD - Chương trình an toàn HKDD</x:v>
      </x:c>
      <x:c r="D169" s="14" t="str">
        <x:v>Tong_hop_nhiem_vu_TT18_2026_TT_BXD_VATM_ANSP.xlsx</x:v>
      </x:c>
      <x:c r="E169" s="14" t="str">
        <x:v>01_Nhiem_vu_chung</x:v>
      </x:c>
      <x:c r="F169" s="56" t="n">
        <x:v>20</x:v>
      </x:c>
      <x:c r="G169" s="14" t="str">
        <x:v>Chương trình Điều 19 khoản 2(d); Phụ lục III; Phụ lục IV</x:v>
      </x:c>
      <x:c r="H169" s="14" t="str">
        <x:v>An toàn hàng không / SMS</x:v>
      </x:c>
      <x:c r="I169" s="14" t="str">
        <x:v>Báo cáo MOR, sự cố và điều tra</x:v>
      </x:c>
      <x:c r="J169" s="14" t="str">
        <x:v>Biểu mẫu MOR</x:v>
      </x:c>
      <x:c r="K169" s="14" t="str">
        <x:v>Trực tiếp</x:v>
      </x:c>
      <x:c r="L169" s="14" t="str">
        <x:v>Báo cáo/điều tra/khắc phục</x:v>
      </x:c>
      <x:c r="M169" s="14" t="str">
        <x:v>Tổ chức/cá nhân lập báo cáo bắt buộc</x:v>
      </x:c>
      <x:c r="N169" s="14" t="str">
        <x:v>Sử dụng danh mục sự cố/vụ việc bắt buộc tại Phụ lục III và mẫu báo cáo tại Phụ lục IV khi báo cáo giấy/điện tử; có thể dùng báo cáo dạng số do Cục HKVN triển khai.</x:v>
      </x:c>
      <x:c r="O169" s="14" t="str">
        <x:v>Chuẩn hóa form nội bộ tương thích CAAV Form 14A/MOR.</x:v>
      </x:c>
      <x:c r="P169" s="14" t="str">
        <x:v>Bộ mẫu MOR; hướng dẫn điền; phân loại sự cố; bằng chứng gửi báo cáo.</x:v>
      </x:c>
      <x:c r="Q169" s="14" t="str">
        <x:v>Bộ mẫu MOR; hướng dẫn điền; phân loại sự cố; bằng chứng gửi báo cáo.</x:v>
      </x:c>
      <x:c r="R169" s="14" t="str"/>
      <x:c r="S169" s="14" t="str">
        <x:v>Ban An toàn - Chất lượng</x:v>
      </x:c>
      <x:c r="T169" s="14" t="str">
        <x:v>Các Công ty Quản lý bay khu vực Bắc/Trung/Nam; Ban An toàn - Chất lượng</x:v>
      </x:c>
      <x:c r="U169" s="14" t="str"/>
      <x:c r="V169" s="14" t="str">
        <x:v>Mỗi khi lập báo cáo bắt buộc.</x:v>
      </x:c>
      <x:c r="W169" s="14" t="str">
        <x:v>P2</x:v>
      </x:c>
      <x:c r="X169" s="14" t="str"/>
      <x:c r="Y169" s="14" t="str">
        <x:v>Chưa bắt đầu</x:v>
      </x:c>
      <x:c r="Z169" s="14" t="str"/>
      <x:c r="AA169" s="14" t="str">
        <x:v>https://datafiles.chinhphu.vn/cpp/files/vbpq/2026/5/18-bxd.pdf</x:v>
      </x:c>
      <x:c r="AB169" s="14" t="str">
        <x:v>sms; an toan; mor</x:v>
      </x:c>
    </x:row>
    <x:row r="170">
      <x:c r="A170" s="14" t="str">
        <x:v>VATM-0169</x:v>
      </x:c>
      <x:c r="B170" s="14" t="str">
        <x:v>20</x:v>
      </x:c>
      <x:c r="C170" s="14" t="str">
        <x:v>Thông tư 18/2026/TT-BXD - Chương trình an toàn HKDD</x:v>
      </x:c>
      <x:c r="D170" s="14" t="str">
        <x:v>Tong_hop_nhiem_vu_TT18_2026_TT_BXD_VATM_ANSP.xlsx</x:v>
      </x:c>
      <x:c r="E170" s="14" t="str">
        <x:v>01_Nhiem_vu_chung</x:v>
      </x:c>
      <x:c r="F170" s="56" t="n">
        <x:v>21</x:v>
      </x:c>
      <x:c r="G170" s="14" t="str">
        <x:v>Chương trình Điều 19 khoản 2(đ)</x:v>
      </x:c>
      <x:c r="H170" s="14" t="str">
        <x:v>An toàn hàng không / SMS</x:v>
      </x:c>
      <x:c r="I170" s="14" t="str">
        <x:v>Báo cáo MOR, sự cố và điều tra</x:v>
      </x:c>
      <x:c r="J170" s="14" t="str">
        <x:v>Sự cố tại cảng/bãi cất hạ cánh</x:v>
      </x:c>
      <x:c r="K170" s="14" t="str">
        <x:v>Trực tiếp</x:v>
      </x:c>
      <x:c r="L170" s="14" t="str">
        <x:v>Báo cáo/điều tra/khắc phục</x:v>
      </x:c>
      <x:c r="M170" s="14" t="str">
        <x:v>Tổ chức/cá nhân liên quan trực tiếp đến vụ việc, sự cố, tai nạn tại cảng hàng không hoặc bãi cất, hạ cánh</x:v>
      </x:c>
      <x:c r="N170" s="14" t="str">
        <x:v>Thông báo ngay và cung cấp đầy đủ thông tin tối thiểu cho người khai thác cảng hàng không hoặc bãi cất, hạ cánh; báo cáo Cảng vụ hàng không.</x:v>
      </x:c>
      <x:c r="O170" s="14" t="str">
        <x:v>Áp dụng với các sự cố ANS tại sân bay/khu vực sân bay cần phối hợp tower-airport authority-airport operator.</x:v>
      </x:c>
      <x:c r="P170" s="14" t="str">
        <x:v>Thông báo cho người khai thác cảng/bãi cất hạ cánh; báo cáo Cảng vụ; nhật ký cung cấp thông tin.</x:v>
      </x:c>
      <x:c r="Q170" s="14" t="str">
        <x:v>Thông báo cho người khai thác cảng/bãi cất hạ cánh; báo cáo Cảng vụ; nhật ký cung cấp thông tin.</x:v>
      </x:c>
      <x:c r="R170" s="14" t="str"/>
      <x:c r="S170" s="14" t="str">
        <x:v>Ban An toàn - Chất lượng</x:v>
      </x:c>
      <x:c r="T170" s="14" t="str">
        <x:v>Các Công ty Quản lý bay khu vực Bắc/Trung/Nam; Ban An toàn - Chất lượng</x:v>
      </x:c>
      <x:c r="U170" s="14" t="str"/>
      <x:c r="V170" s="14" t="str">
        <x:v>Ngay khi xảy ra/phát hiện.</x:v>
      </x:c>
      <x:c r="W170" s="14" t="str">
        <x:v>P2</x:v>
      </x:c>
      <x:c r="X170" s="14" t="str"/>
      <x:c r="Y170" s="14" t="str">
        <x:v>Chưa bắt đầu</x:v>
      </x:c>
      <x:c r="Z170" s="14" t="str"/>
      <x:c r="AA170" s="14" t="str">
        <x:v>https://datafiles.chinhphu.vn/cpp/files/vbpq/2026/5/18-bxd.pdf</x:v>
      </x:c>
      <x:c r="AB170" s="14" t="str">
        <x:v>sms; an toan; mor; cang</x:v>
      </x:c>
    </x:row>
    <x:row r="171">
      <x:c r="A171" s="14" t="str">
        <x:v>VATM-0170</x:v>
      </x:c>
      <x:c r="B171" s="14" t="str">
        <x:v>21</x:v>
      </x:c>
      <x:c r="C171" s="14" t="str">
        <x:v>Thông tư 18/2026/TT-BXD - Chương trình an toàn HKDD</x:v>
      </x:c>
      <x:c r="D171" s="14" t="str">
        <x:v>Tong_hop_nhiem_vu_TT18_2026_TT_BXD_VATM_ANSP.xlsx</x:v>
      </x:c>
      <x:c r="E171" s="14" t="str">
        <x:v>01_Nhiem_vu_chung</x:v>
      </x:c>
      <x:c r="F171" s="56" t="n">
        <x:v>22</x:v>
      </x:c>
      <x:c r="G171" s="14" t="str">
        <x:v>Chương trình Điều 20 khoản 2</x:v>
      </x:c>
      <x:c r="H171" s="14" t="str">
        <x:v>An toàn hàng không / SMS</x:v>
      </x:c>
      <x:c r="I171" s="14" t="str">
        <x:v>Chính sách, mục tiêu và văn hóa an toàn</x:v>
      </x:c>
      <x:c r="J171" s="14" t="str">
        <x:v>Báo cáo tự nguyện</x:v>
      </x:c>
      <x:c r="K171" s="14" t="str">
        <x:v>Trực tiếp</x:v>
      </x:c>
      <x:c r="L171" s="14" t="str">
        <x:v>Báo cáo/điều tra/khắc phục</x:v>
      </x:c>
      <x:c r="M171" s="14" t="str">
        <x:v>Tổ chức, cá nhân trong khai thác HKDD</x:v>
      </x:c>
      <x:c r="N171" s="14" t="str">
        <x:v>Khuyến khích và tạo điều kiện thuận lợi để báo cáo tự nguyện trong toàn bộ hoạt động khai thác hàng không dân dụng.</x:v>
      </x:c>
      <x:c r="O171" s="14" t="str">
        <x:v>Đưa vào văn hóa báo cáo không trừng phạt trong phạm vi phù hợp pháp luật.</x:v>
      </x:c>
      <x:c r="P171" s="14" t="str">
        <x:v>Kênh báo cáo tự nguyện; truyền thông chính sách; hướng dẫn bảo vệ người báo cáo.</x:v>
      </x:c>
      <x:c r="Q171" s="14" t="str">
        <x:v>Kênh báo cáo tự nguyện; truyền thông chính sách; hướng dẫn bảo vệ người báo cáo.</x:v>
      </x:c>
      <x:c r="R171" s="14" t="str"/>
      <x:c r="S171" s="14" t="str">
        <x:v>Ban An toàn - Chất lượng</x:v>
      </x:c>
      <x:c r="T171" s="14" t="str">
        <x:v>Các Công ty Quản lý bay khu vực Bắc/Trung/Nam; Ban An toàn - Chất lượng</x:v>
      </x:c>
      <x:c r="U171" s="14" t="str"/>
      <x:c r="V171" s="14" t="str">
        <x:v>Thường xuyên.</x:v>
      </x:c>
      <x:c r="W171" s="14" t="str">
        <x:v>P2</x:v>
      </x:c>
      <x:c r="X171" s="14" t="str"/>
      <x:c r="Y171" s="14" t="str">
        <x:v>Chưa bắt đầu</x:v>
      </x:c>
      <x:c r="Z171" s="14" t="str"/>
      <x:c r="AA171" s="14" t="str">
        <x:v>https://datafiles.chinhphu.vn/cpp/files/vbpq/2026/5/18-bxd.pdf</x:v>
      </x:c>
      <x:c r="AB171" s="14" t="str">
        <x:v>sms; an toan</x:v>
      </x:c>
    </x:row>
    <x:row r="172">
      <x:c r="A172" s="14" t="str">
        <x:v>VATM-0171</x:v>
      </x:c>
      <x:c r="B172" s="14" t="str">
        <x:v>22</x:v>
      </x:c>
      <x:c r="C172" s="14" t="str">
        <x:v>Thông tư 18/2026/TT-BXD - Chương trình an toàn HKDD</x:v>
      </x:c>
      <x:c r="D172" s="14" t="str">
        <x:v>Tong_hop_nhiem_vu_TT18_2026_TT_BXD_VATM_ANSP.xlsx</x:v>
      </x:c>
      <x:c r="E172" s="14" t="str">
        <x:v>01_Nhiem_vu_chung</x:v>
      </x:c>
      <x:c r="F172" s="56" t="n">
        <x:v>23</x:v>
      </x:c>
      <x:c r="G172" s="14" t="str">
        <x:v>Chương trình Điều 20 khoản 4</x:v>
      </x:c>
      <x:c r="H172" s="14" t="str">
        <x:v>An toàn hàng không / SMS</x:v>
      </x:c>
      <x:c r="I172" s="14" t="str">
        <x:v>Báo cáo MOR, sự cố và điều tra</x:v>
      </x:c>
      <x:c r="J172" s="14" t="str">
        <x:v>Trách nhiệm về báo cáo tự nguyện</x:v>
      </x:c>
      <x:c r="K172" s="14" t="str">
        <x:v>Trực tiếp</x:v>
      </x:c>
      <x:c r="L172" s="14" t="str">
        <x:v>Báo cáo/điều tra/khắc phục</x:v>
      </x:c>
      <x:c r="M172" s="14" t="str">
        <x:v>Tổ chức/cá nhân thực hiện báo cáo tự nguyện</x:v>
      </x:c>
      <x:c r="N172" s="14" t="str">
        <x:v>Chịu trách nhiệm trước pháp luật về tính chính xác của báo cáo tự nguyện.</x:v>
      </x:c>
      <x:c r="O172" s="14" t="str">
        <x:v>Thiết lập bước kiểm tra chất lượng thông tin mà vẫn bảo vệ danh tính người báo cáo.</x:v>
      </x:c>
      <x:c r="P172" s="14" t="str">
        <x:v>Quy trình rà soát/xác minh; lưu vết chỉnh sửa; xác nhận người báo cáo/tổ chức.</x:v>
      </x:c>
      <x:c r="Q172" s="14" t="str">
        <x:v>Quy trình rà soát/xác minh; lưu vết chỉnh sửa; xác nhận người báo cáo/tổ chức.</x:v>
      </x:c>
      <x:c r="R172" s="14" t="str"/>
      <x:c r="S172" s="14" t="str">
        <x:v>Ban An toàn - Chất lượng</x:v>
      </x:c>
      <x:c r="T172" s="14" t="str">
        <x:v>Các Công ty Quản lý bay khu vực Bắc/Trung/Nam; Ban An toàn - Chất lượng</x:v>
      </x:c>
      <x:c r="U172" s="14" t="str"/>
      <x:c r="V172" s="14" t="str">
        <x:v>Khi tiếp nhận/lập/gửi báo cáo tự nguyện.</x:v>
      </x:c>
      <x:c r="W172" s="14" t="str">
        <x:v>P2</x:v>
      </x:c>
      <x:c r="X172" s="14" t="str"/>
      <x:c r="Y172" s="14" t="str">
        <x:v>Chưa bắt đầu</x:v>
      </x:c>
      <x:c r="Z172" s="14" t="str"/>
      <x:c r="AA172" s="14" t="str">
        <x:v>https://datafiles.chinhphu.vn/cpp/files/vbpq/2026/5/18-bxd.pdf</x:v>
      </x:c>
      <x:c r="AB172" s="14" t="str">
        <x:v>sms; an toan; mor</x:v>
      </x:c>
    </x:row>
    <x:row r="173">
      <x:c r="A173" s="14" t="str">
        <x:v>VATM-0172</x:v>
      </x:c>
      <x:c r="B173" s="14" t="str">
        <x:v>23</x:v>
      </x:c>
      <x:c r="C173" s="14" t="str">
        <x:v>Thông tư 18/2026/TT-BXD - Chương trình an toàn HKDD</x:v>
      </x:c>
      <x:c r="D173" s="14" t="str">
        <x:v>Tong_hop_nhiem_vu_TT18_2026_TT_BXD_VATM_ANSP.xlsx</x:v>
      </x:c>
      <x:c r="E173" s="14" t="str">
        <x:v>01_Nhiem_vu_chung</x:v>
      </x:c>
      <x:c r="F173" s="56" t="n">
        <x:v>24</x:v>
      </x:c>
      <x:c r="G173" s="14" t="str">
        <x:v>Chương trình Điều 20 khoản 5(a)</x:v>
      </x:c>
      <x:c r="H173" s="14" t="str">
        <x:v>An toàn hàng không / SMS</x:v>
      </x:c>
      <x:c r="I173" s="14" t="str">
        <x:v>Báo cáo MOR, sự cố và điều tra</x:v>
      </x:c>
      <x:c r="J173" s="14" t="str">
        <x:v>Hệ thống báo cáo tự nguyện</x:v>
      </x:c>
      <x:c r="K173" s="14" t="str">
        <x:v>Trực tiếp</x:v>
      </x:c>
      <x:c r="L173" s="14" t="str">
        <x:v>Báo cáo/điều tra/khắc phục</x:v>
      </x:c>
      <x:c r="M173" s="14" t="str">
        <x:v>Tổ chức, cá nhân</x:v>
      </x:c>
      <x:c r="N173" s="14" t="str">
        <x:v>Thiết lập và duy trì hệ thống tiếp nhận, xử lý, phân loại, lưu giữ báo cáo tự nguyện phù hợp phạm vi, đối tượng quản lý/giám sát của tổ chức.</x:v>
      </x:c>
      <x:c r="O173" s="14" t="str">
        <x:v>Có thể tích hợp với hệ thống SMS/hazard reporting nội bộ.</x:v>
      </x:c>
      <x:c r="P173" s="14" t="str">
        <x:v>Quy trình và cơ sở dữ liệu báo cáo tự nguyện; taxonomy phân loại; quy định lưu trữ.</x:v>
      </x:c>
      <x:c r="Q173" s="14" t="str">
        <x:v>Quy trình và cơ sở dữ liệu báo cáo tự nguyện; taxonomy phân loại; quy định lưu trữ.</x:v>
      </x:c>
      <x:c r="R173" s="14" t="str"/>
      <x:c r="S173" s="14" t="str">
        <x:v>Ban An toàn - Chất lượng</x:v>
      </x:c>
      <x:c r="T173" s="14" t="str">
        <x:v>Các Công ty Quản lý bay khu vực Bắc/Trung/Nam; Ban An toàn - Chất lượng</x:v>
      </x:c>
      <x:c r="U173" s="14" t="str"/>
      <x:c r="V173" s="14" t="str">
        <x:v>Thiết lập và duy trì thường xuyên.</x:v>
      </x:c>
      <x:c r="W173" s="14" t="str">
        <x:v>P2</x:v>
      </x:c>
      <x:c r="X173" s="14" t="str"/>
      <x:c r="Y173" s="14" t="str">
        <x:v>Chưa bắt đầu</x:v>
      </x:c>
      <x:c r="Z173" s="14" t="str"/>
      <x:c r="AA173" s="14" t="str">
        <x:v>https://datafiles.chinhphu.vn/cpp/files/vbpq/2026/5/18-bxd.pdf</x:v>
      </x:c>
      <x:c r="AB173" s="14" t="str">
        <x:v>sms; an toan; mor</x:v>
      </x:c>
    </x:row>
    <x:row r="174">
      <x:c r="A174" s="14" t="str">
        <x:v>VATM-0173</x:v>
      </x:c>
      <x:c r="B174" s="14" t="str">
        <x:v>24</x:v>
      </x:c>
      <x:c r="C174" s="14" t="str">
        <x:v>Thông tư 18/2026/TT-BXD - Chương trình an toàn HKDD</x:v>
      </x:c>
      <x:c r="D174" s="14" t="str">
        <x:v>Tong_hop_nhiem_vu_TT18_2026_TT_BXD_VATM_ANSP.xlsx</x:v>
      </x:c>
      <x:c r="E174" s="14" t="str">
        <x:v>01_Nhiem_vu_chung</x:v>
      </x:c>
      <x:c r="F174" s="56" t="n">
        <x:v>25</x:v>
      </x:c>
      <x:c r="G174" s="14" t="str">
        <x:v>Chương trình Điều 20 khoản 5(b)</x:v>
      </x:c>
      <x:c r="H174" s="14" t="str">
        <x:v>An toàn hàng không / SMS</x:v>
      </x:c>
      <x:c r="I174" s="14" t="str">
        <x:v>Báo cáo MOR, sự cố và điều tra</x:v>
      </x:c>
      <x:c r="J174" s="14" t="str">
        <x:v>Bảo mật báo cáo tự nguyện</x:v>
      </x:c>
      <x:c r="K174" s="14" t="str">
        <x:v>Trực tiếp</x:v>
      </x:c>
      <x:c r="L174" s="14" t="str">
        <x:v>Báo cáo/điều tra/khắc phục</x:v>
      </x:c>
      <x:c r="M174" s="14" t="str">
        <x:v>Tổ chức, cá nhân</x:v>
      </x:c>
      <x:c r="N174" s="14" t="str">
        <x:v>Thiết lập biện pháp bảo mật danh tính người báo cáo, kiểm soát tiếp cận thông tin báo cáo và ngăn ngừa sử dụng thông tin trái mục đích duy trì, cải thiện, nâng cao an toàn.</x:v>
      </x:c>
      <x:c r="O174" s="14" t="str">
        <x:v>Phân tách dữ liệu định danh khỏi nội dung phân tích an toàn.</x:v>
      </x:c>
      <x:c r="P174" s="14" t="str">
        <x:v>Quy chế bảo mật; phân quyền; nhật ký truy cập; cơ chế ẩn danh/giả danh nếu phù hợp.</x:v>
      </x:c>
      <x:c r="Q174" s="14" t="str">
        <x:v>Quy chế bảo mật; phân quyền; nhật ký truy cập; cơ chế ẩn danh/giả danh nếu phù hợp.</x:v>
      </x:c>
      <x:c r="R174" s="14" t="str"/>
      <x:c r="S174" s="14" t="str">
        <x:v>Ban An toàn - Chất lượng</x:v>
      </x:c>
      <x:c r="T174" s="14" t="str">
        <x:v>Các Công ty Quản lý bay khu vực Bắc/Trung/Nam; Ban An toàn - Chất lượng</x:v>
      </x:c>
      <x:c r="U174" s="14" t="str"/>
      <x:c r="V174" s="14" t="str">
        <x:v>Thường xuyên.</x:v>
      </x:c>
      <x:c r="W174" s="14" t="str">
        <x:v>P2</x:v>
      </x:c>
      <x:c r="X174" s="14" t="str"/>
      <x:c r="Y174" s="14" t="str">
        <x:v>Chưa bắt đầu</x:v>
      </x:c>
      <x:c r="Z174" s="14" t="str"/>
      <x:c r="AA174" s="14" t="str">
        <x:v>https://datafiles.chinhphu.vn/cpp/files/vbpq/2026/5/18-bxd.pdf</x:v>
      </x:c>
      <x:c r="AB174" s="14" t="str">
        <x:v>sms; an toan; mor</x:v>
      </x:c>
    </x:row>
    <x:row r="175">
      <x:c r="A175" s="14" t="str">
        <x:v>VATM-0174</x:v>
      </x:c>
      <x:c r="B175" s="14" t="str">
        <x:v>25</x:v>
      </x:c>
      <x:c r="C175" s="14" t="str">
        <x:v>Thông tư 18/2026/TT-BXD - Chương trình an toàn HKDD</x:v>
      </x:c>
      <x:c r="D175" s="14" t="str">
        <x:v>Tong_hop_nhiem_vu_TT18_2026_TT_BXD_VATM_ANSP.xlsx</x:v>
      </x:c>
      <x:c r="E175" s="14" t="str">
        <x:v>01_Nhiem_vu_chung</x:v>
      </x:c>
      <x:c r="F175" s="56" t="n">
        <x:v>26</x:v>
      </x:c>
      <x:c r="G175" s="14" t="str">
        <x:v>Chương trình Điều 20 khoản 5(c)</x:v>
      </x:c>
      <x:c r="H175" s="14" t="str">
        <x:v>An toàn hàng không / SMS</x:v>
      </x:c>
      <x:c r="I175" s="14" t="str">
        <x:v>Quản lý rủi ro và thay đổi</x:v>
      </x:c>
      <x:c r="J175" s="14" t="str">
        <x:v>Phân tích báo cáo tự nguyện</x:v>
      </x:c>
      <x:c r="K175" s="14" t="str">
        <x:v>Trực tiếp</x:v>
      </x:c>
      <x:c r="L175" s="14" t="str">
        <x:v>Báo cáo/điều tra/khắc phục</x:v>
      </x:c>
      <x:c r="M175" s="14" t="str">
        <x:v>Tổ chức, cá nhân</x:v>
      </x:c>
      <x:c r="N175" s="14" t="str">
        <x:v>Phân tích, đánh giá thông tin từ báo cáo tự nguyện để nhận diện mối nguy và xác định biện pháp phòng ngừa rủi ro an toàn hàng không.</x:v>
      </x:c>
      <x:c r="O175" s="14" t="str">
        <x:v>Liên kết kết quả phân tích vào báo cáo quý và báo cáo định kỳ.</x:v>
      </x:c>
      <x:c r="P175" s="14" t="str">
        <x:v>Báo cáo phân tích; cập nhật hazard register; hành động phòng ngừa.</x:v>
      </x:c>
      <x:c r="Q175" s="14" t="str">
        <x:v>Báo cáo phân tích; cập nhật hazard register; hành động phòng ngừa.</x:v>
      </x:c>
      <x:c r="R175" s="14" t="str"/>
      <x:c r="S175" s="14" t="str">
        <x:v>Ban An toàn - Chất lượng</x:v>
      </x:c>
      <x:c r="T175" s="14" t="str">
        <x:v>Các Công ty Quản lý bay khu vực Bắc/Trung/Nam; Ban An toàn - Chất lượng</x:v>
      </x:c>
      <x:c r="U175" s="14" t="str"/>
      <x:c r="V175" s="14" t="str">
        <x:v>Thường xuyên/định kỳ theo quy trình SMS.</x:v>
      </x:c>
      <x:c r="W175" s="14" t="str">
        <x:v>P2</x:v>
      </x:c>
      <x:c r="X175" s="14" t="str"/>
      <x:c r="Y175" s="14" t="str">
        <x:v>Chưa bắt đầu</x:v>
      </x:c>
      <x:c r="Z175" s="14" t="str"/>
      <x:c r="AA175" s="14" t="str">
        <x:v>https://datafiles.chinhphu.vn/cpp/files/vbpq/2026/5/18-bxd.pdf</x:v>
      </x:c>
      <x:c r="AB175" s="14" t="str">
        <x:v>sms; an toan</x:v>
      </x:c>
    </x:row>
    <x:row r="176">
      <x:c r="A176" s="14" t="str">
        <x:v>VATM-0175</x:v>
      </x:c>
      <x:c r="B176" s="14" t="str">
        <x:v>26</x:v>
      </x:c>
      <x:c r="C176" s="14" t="str">
        <x:v>Thông tư 18/2026/TT-BXD - Chương trình an toàn HKDD</x:v>
      </x:c>
      <x:c r="D176" s="14" t="str">
        <x:v>Tong_hop_nhiem_vu_TT18_2026_TT_BXD_VATM_ANSP.xlsx</x:v>
      </x:c>
      <x:c r="E176" s="14" t="str">
        <x:v>01_Nhiem_vu_chung</x:v>
      </x:c>
      <x:c r="F176" s="56" t="n">
        <x:v>27</x:v>
      </x:c>
      <x:c r="G176" s="14" t="str">
        <x:v>Chương trình Điều 20 khoản 5(d)</x:v>
      </x:c>
      <x:c r="H176" s="14" t="str">
        <x:v>An toàn hàng không / SMS</x:v>
      </x:c>
      <x:c r="I176" s="14" t="str">
        <x:v>Chính sách, mục tiêu và văn hóa an toàn</x:v>
      </x:c>
      <x:c r="J176" s="14" t="str">
        <x:v>Thúc đẩy báo cáo tự nguyện</x:v>
      </x:c>
      <x:c r="K176" s="14" t="str">
        <x:v>Trực tiếp</x:v>
      </x:c>
      <x:c r="L176" s="14" t="str">
        <x:v>Báo cáo/điều tra/khắc phục</x:v>
      </x:c>
      <x:c r="M176" s="14" t="str">
        <x:v>Tổ chức, cá nhân</x:v>
      </x:c>
      <x:c r="N176" s="14" t="str">
        <x:v>Xây dựng cơ chế thúc đẩy báo cáo tự nguyện.</x:v>
      </x:c>
      <x:c r="O176" s="14" t="str">
        <x:v>Theo dõi bằng SPI GEN-04.</x:v>
      </x:c>
      <x:c r="P176" s="14" t="str">
        <x:v>Chương trình truyền thông; chính sách khuyến khích; phản hồi cho người báo cáo; bài học kinh nghiệm.</x:v>
      </x:c>
      <x:c r="Q176" s="14" t="str">
        <x:v>Chương trình truyền thông; chính sách khuyến khích; phản hồi cho người báo cáo; bài học kinh nghiệm.</x:v>
      </x:c>
      <x:c r="R176" s="14" t="str"/>
      <x:c r="S176" s="14" t="str">
        <x:v>Ban An toàn - Chất lượng</x:v>
      </x:c>
      <x:c r="T176" s="14" t="str">
        <x:v>Các Công ty Quản lý bay khu vực Bắc/Trung/Nam; Ban An toàn - Chất lượng</x:v>
      </x:c>
      <x:c r="U176" s="14" t="str"/>
      <x:c r="V176" s="14" t="str">
        <x:v>Thường xuyên; rà soát hiệu quả định kỳ.</x:v>
      </x:c>
      <x:c r="W176" s="14" t="str">
        <x:v>P2</x:v>
      </x:c>
      <x:c r="X176" s="14" t="str"/>
      <x:c r="Y176" s="14" t="str">
        <x:v>Chưa bắt đầu</x:v>
      </x:c>
      <x:c r="Z176" s="14" t="str"/>
      <x:c r="AA176" s="14" t="str">
        <x:v>https://datafiles.chinhphu.vn/cpp/files/vbpq/2026/5/18-bxd.pdf</x:v>
      </x:c>
      <x:c r="AB176" s="14" t="str">
        <x:v>sms; an toan</x:v>
      </x:c>
    </x:row>
    <x:row r="177">
      <x:c r="A177" s="14" t="str">
        <x:v>VATM-0176</x:v>
      </x:c>
      <x:c r="B177" s="14" t="str">
        <x:v>27</x:v>
      </x:c>
      <x:c r="C177" s="14" t="str">
        <x:v>Thông tư 18/2026/TT-BXD - Chương trình an toàn HKDD</x:v>
      </x:c>
      <x:c r="D177" s="14" t="str">
        <x:v>Tong_hop_nhiem_vu_TT18_2026_TT_BXD_VATM_ANSP.xlsx</x:v>
      </x:c>
      <x:c r="E177" s="14" t="str">
        <x:v>01_Nhiem_vu_chung</x:v>
      </x:c>
      <x:c r="F177" s="56" t="n">
        <x:v>28</x:v>
      </x:c>
      <x:c r="G177" s="14" t="str">
        <x:v>Chương trình Điều 21 khoản 1</x:v>
      </x:c>
      <x:c r="H177" s="14" t="str">
        <x:v>An toàn hàng không / SMS</x:v>
      </x:c>
      <x:c r="I177" s="14" t="str">
        <x:v>Chính sách, mục tiêu và văn hóa an toàn</x:v>
      </x:c>
      <x:c r="J177" s="14" t="str">
        <x:v>Điều tra/xác minh và giảng bình nội bộ</x:v>
      </x:c>
      <x:c r="K177" s="14" t="str">
        <x:v>Trực tiếp</x:v>
      </x:c>
      <x:c r="L177" s="14" t="str">
        <x:v>Báo cáo/điều tra/khắc phục</x:v>
      </x:c>
      <x:c r="M177" s="14" t="str">
        <x:v>Tổ chức/cá nhân có liên quan đến sự cố, tai nạn hàng không</x:v>
      </x:c>
      <x:c r="N177" s="14" t="str">
        <x:v>Tiến hành điều tra, xác minh, giảng bình tai nạn/sự cố trong phạm vi nội bộ; thực hiện biện pháp phòng ngừa, ngăn chặn tai nạn/sự cố.</x:v>
      </x:c>
      <x:c r="O177" s="14" t="str">
        <x:v>Tổ chức safety review/debrief không quy trách nhiệm cá nhân khi mục tiêu là học bài học an toàn.</x:v>
      </x:c>
      <x:c r="P177" s="14" t="str">
        <x:v>Hồ sơ giảng bình; báo cáo điều tra/xác minh; biện pháp phòng ngừa/ngăn chặn.</x:v>
      </x:c>
      <x:c r="Q177" s="14" t="str">
        <x:v>Hồ sơ giảng bình; báo cáo điều tra/xác minh; biện pháp phòng ngừa/ngăn chặn.</x:v>
      </x:c>
      <x:c r="R177" s="14" t="str"/>
      <x:c r="S177" s="14" t="str">
        <x:v>Ban An toàn - Chất lượng</x:v>
      </x:c>
      <x:c r="T177" s="14" t="str">
        <x:v>Các Công ty Quản lý bay khu vực Bắc/Trung/Nam; Ban An toàn - Chất lượng</x:v>
      </x:c>
      <x:c r="U177" s="14" t="str"/>
      <x:c r="V177" s="14" t="str">
        <x:v>Sau khi phát sinh sự cố/tai nạn; theo thời hạn báo cáo liên quan.</x:v>
      </x:c>
      <x:c r="W177" s="14" t="str">
        <x:v>P2</x:v>
      </x:c>
      <x:c r="X177" s="14" t="str"/>
      <x:c r="Y177" s="14" t="str">
        <x:v>Chưa bắt đầu</x:v>
      </x:c>
      <x:c r="Z177" s="14" t="str"/>
      <x:c r="AA177" s="14" t="str">
        <x:v>https://datafiles.chinhphu.vn/cpp/files/vbpq/2026/5/18-bxd.pdf</x:v>
      </x:c>
      <x:c r="AB177" s="14" t="str">
        <x:v>sms; an toan</x:v>
      </x:c>
    </x:row>
    <x:row r="178">
      <x:c r="A178" s="14" t="str">
        <x:v>VATM-0177</x:v>
      </x:c>
      <x:c r="B178" s="14" t="str">
        <x:v>28</x:v>
      </x:c>
      <x:c r="C178" s="14" t="str">
        <x:v>Thông tư 18/2026/TT-BXD - Chương trình an toàn HKDD</x:v>
      </x:c>
      <x:c r="D178" s="14" t="str">
        <x:v>Tong_hop_nhiem_vu_TT18_2026_TT_BXD_VATM_ANSP.xlsx</x:v>
      </x:c>
      <x:c r="E178" s="14" t="str">
        <x:v>01_Nhiem_vu_chung</x:v>
      </x:c>
      <x:c r="F178" s="56" t="n">
        <x:v>29</x:v>
      </x:c>
      <x:c r="G178" s="14" t="str">
        <x:v>Chương trình Điều 21 khoản 2</x:v>
      </x:c>
      <x:c r="H178" s="14" t="str">
        <x:v>An toàn hàng không / SMS</x:v>
      </x:c>
      <x:c r="I178" s="14" t="str">
        <x:v>Báo cáo MOR, sự cố và điều tra</x:v>
      </x:c>
      <x:c r="J178" s="14" t="str">
        <x:v>Nội dung báo cáo kết quả điều tra/xác minh</x:v>
      </x:c>
      <x:c r="K178" s="14" t="str">
        <x:v>Trực tiếp</x:v>
      </x:c>
      <x:c r="L178" s="14" t="str">
        <x:v>Báo cáo/điều tra/khắc phục</x:v>
      </x:c>
      <x:c r="M178" s="14" t="str">
        <x:v>Tổ chức/cá nhân có trách nhiệm báo cáo Cục HKVN</x:v>
      </x:c>
      <x:c r="N178" s="14" t="str">
        <x:v>Báo cáo kết quả điều tra hoặc xác minh nội bộ và giảng bình với các nội dung: thông tin bổ sung; mô tả chi tiết diễn biến và thông tin liên quan; phân tích/xác minh/đánh giá/kết luận nguyên nhân; biện pháp khắc phục, phòng ngừa; kiến nghị nếu có.</x:v>
      </x:c>
      <x:c r="O178" s="14" t="str">
        <x:v>Chuẩn hóa cấu trúc báo cáo root cause/CAPA.</x:v>
      </x:c>
      <x:c r="P178" s="14" t="str">
        <x:v>Bộ báo cáo hoàn chỉnh gửi Cục HKVN.</x:v>
      </x:c>
      <x:c r="Q178" s="14" t="str">
        <x:v>Bộ báo cáo hoàn chỉnh gửi Cục HKVN.</x:v>
      </x:c>
      <x:c r="R178" s="14" t="str"/>
      <x:c r="S178" s="14" t="str">
        <x:v>Ban An toàn - Chất lượng</x:v>
      </x:c>
      <x:c r="T178" s="14" t="str">
        <x:v>Các Công ty Quản lý bay khu vực Bắc/Trung/Nam; Ban An toàn - Chất lượng</x:v>
      </x:c>
      <x:c r="U178" s="14" t="str"/>
      <x:c r="V178" s="14" t="str">
        <x:v>Theo thời hạn Điều 19 khoản 2(c) hoặc yêu cầu của Cục HKVN.</x:v>
      </x:c>
      <x:c r="W178" s="14" t="str">
        <x:v>P2</x:v>
      </x:c>
      <x:c r="X178" s="14" t="str"/>
      <x:c r="Y178" s="14" t="str">
        <x:v>Chưa bắt đầu</x:v>
      </x:c>
      <x:c r="Z178" s="14" t="str"/>
      <x:c r="AA178" s="14" t="str">
        <x:v>https://datafiles.chinhphu.vn/cpp/files/vbpq/2026/5/18-bxd.pdf</x:v>
      </x:c>
      <x:c r="AB178" s="14" t="str">
        <x:v>sms; an toan; mor</x:v>
      </x:c>
    </x:row>
    <x:row r="179">
      <x:c r="A179" s="14" t="str">
        <x:v>VATM-0178</x:v>
      </x:c>
      <x:c r="B179" s="14" t="str">
        <x:v>29</x:v>
      </x:c>
      <x:c r="C179" s="14" t="str">
        <x:v>Thông tư 18/2026/TT-BXD - Chương trình an toàn HKDD</x:v>
      </x:c>
      <x:c r="D179" s="14" t="str">
        <x:v>Tong_hop_nhiem_vu_TT18_2026_TT_BXD_VATM_ANSP.xlsx</x:v>
      </x:c>
      <x:c r="E179" s="14" t="str">
        <x:v>01_Nhiem_vu_chung</x:v>
      </x:c>
      <x:c r="F179" s="56" t="n">
        <x:v>30</x:v>
      </x:c>
      <x:c r="G179" s="14" t="str">
        <x:v>Chương trình Điều 21 khoản 3</x:v>
      </x:c>
      <x:c r="H179" s="14" t="str">
        <x:v>An toàn hàng không / SMS</x:v>
      </x:c>
      <x:c r="I179" s="14" t="str">
        <x:v>Báo cáo MOR, sự cố và điều tra</x:v>
      </x:c>
      <x:c r="J179" s="14" t="str">
        <x:v>Phê duyệt kết luận nội bộ</x:v>
      </x:c>
      <x:c r="K179" s="14" t="str">
        <x:v>Trực tiếp</x:v>
      </x:c>
      <x:c r="L179" s="14" t="str">
        <x:v>Báo cáo/điều tra/khắc phục</x:v>
      </x:c>
      <x:c r="M179" s="14" t="str">
        <x:v>Tổ chức điều tra/xác minh nội bộ</x:v>
      </x:c>
      <x:c r="N179" s="14" t="str">
        <x:v>Kết luận điều tra/xác minh nội bộ phải được người đứng đầu tổ chức hoặc người được ủy quyền phê duyệt.</x:v>
      </x:c>
      <x:c r="O179" s="14" t="str">
        <x:v>Quy định rõ thẩm quyền phê duyệt theo mức độ sự cố.</x:v>
      </x:c>
      <x:c r="P179" s="14" t="str">
        <x:v>Văn bản phê duyệt/ký số; ủy quyền hợp lệ; bản lưu báo cáo.</x:v>
      </x:c>
      <x:c r="Q179" s="14" t="str">
        <x:v>Văn bản phê duyệt/ký số; ủy quyền hợp lệ; bản lưu báo cáo.</x:v>
      </x:c>
      <x:c r="R179" s="14" t="str"/>
      <x:c r="S179" s="14" t="str">
        <x:v>Ban An toàn - Chất lượng</x:v>
      </x:c>
      <x:c r="T179" s="14" t="str">
        <x:v>Các Công ty Quản lý bay khu vực Bắc/Trung/Nam; Ban An toàn - Chất lượng</x:v>
      </x:c>
      <x:c r="U179" s="14" t="str"/>
      <x:c r="V179" s="14" t="str">
        <x:v>Trước khi ban hành/gửi kết luận.</x:v>
      </x:c>
      <x:c r="W179" s="14" t="str">
        <x:v>P2</x:v>
      </x:c>
      <x:c r="X179" s="14" t="str"/>
      <x:c r="Y179" s="14" t="str">
        <x:v>Chưa bắt đầu</x:v>
      </x:c>
      <x:c r="Z179" s="14" t="str"/>
      <x:c r="AA179" s="14" t="str">
        <x:v>https://datafiles.chinhphu.vn/cpp/files/vbpq/2026/5/18-bxd.pdf</x:v>
      </x:c>
      <x:c r="AB179" s="14" t="str">
        <x:v>sms; an toan; mor</x:v>
      </x:c>
    </x:row>
    <x:row r="180">
      <x:c r="A180" s="14" t="str">
        <x:v>VATM-0179</x:v>
      </x:c>
      <x:c r="B180" s="14" t="str">
        <x:v>30</x:v>
      </x:c>
      <x:c r="C180" s="14" t="str">
        <x:v>Thông tư 18/2026/TT-BXD - Chương trình an toàn HKDD</x:v>
      </x:c>
      <x:c r="D180" s="14" t="str">
        <x:v>Tong_hop_nhiem_vu_TT18_2026_TT_BXD_VATM_ANSP.xlsx</x:v>
      </x:c>
      <x:c r="E180" s="14" t="str">
        <x:v>01_Nhiem_vu_chung</x:v>
      </x:c>
      <x:c r="F180" s="56" t="n">
        <x:v>31</x:v>
      </x:c>
      <x:c r="G180" s="14" t="str">
        <x:v>Chương trình Điều 22 khoản 1</x:v>
      </x:c>
      <x:c r="H180" s="14" t="str">
        <x:v>An toàn hàng không / SMS</x:v>
      </x:c>
      <x:c r="I180" s="14" t="str">
        <x:v>Báo cáo MOR, sự cố và điều tra</x:v>
      </x:c>
      <x:c r="J180" s="14" t="str">
        <x:v>Báo cáo an toàn định kỳ</x:v>
      </x:c>
      <x:c r="K180" s="14" t="str">
        <x:v>Trực tiếp</x:v>
      </x:c>
      <x:c r="L180" s="14" t="str">
        <x:v>Báo cáo/điều tra/khắc phục</x:v>
      </x:c>
      <x:c r="M180" s="14" t="str">
        <x:v>Tổ chức, cá nhân tại Điều 9 khoản 1</x:v>
      </x:c>
      <x:c r="N180" s="14" t="str">
        <x:v>Gửi báo cáo an toàn hàng không định kỳ đến Cục HKVN: báo cáo tháng, quý, năm.</x:v>
      </x:c>
      <x:c r="O180" s="14" t="str">
        <x:v>Thiết lập lịch khóa số liệu và phê duyệt trước hạn gửi.</x:v>
      </x:c>
      <x:c r="P180" s="14" t="str">
        <x:v>Báo cáo định kỳ theo mẫu/nội dung yêu cầu; bằng chứng gửi/nhận.</x:v>
      </x:c>
      <x:c r="Q180" s="14" t="str">
        <x:v>Báo cáo định kỳ theo mẫu/nội dung yêu cầu; bằng chứng gửi/nhận.</x:v>
      </x:c>
      <x:c r="R180" s="14" t="str"/>
      <x:c r="S180" s="14" t="str">
        <x:v>Ban An toàn - Chất lượng</x:v>
      </x:c>
      <x:c r="T180" s="14" t="str">
        <x:v>Các Công ty Quản lý bay khu vực Bắc/Trung/Nam; Ban An toàn - Chất lượng</x:v>
      </x:c>
      <x:c r="U180" s="14" t="str"/>
      <x:c r="V180" s="14" t="str">
        <x:v>Tháng: trước ngày 17 hằng tháng. Quý: trước ngày 17 các tháng 3, 6, 9. Năm: trước ngày 17/12. Số liệu thống kê từ ngày 16 tháng trước đến ngày 15 tháng sau.</x:v>
      </x:c>
      <x:c r="W180" s="14" t="str">
        <x:v>P2</x:v>
      </x:c>
      <x:c r="X180" s="14" t="str"/>
      <x:c r="Y180" s="14" t="str">
        <x:v>Chưa bắt đầu</x:v>
      </x:c>
      <x:c r="Z180" s="14" t="str"/>
      <x:c r="AA180" s="14" t="str">
        <x:v>https://datafiles.chinhphu.vn/cpp/files/vbpq/2026/5/18-bxd.pdf</x:v>
      </x:c>
      <x:c r="AB180" s="14" t="str">
        <x:v>sms; an toan; mor</x:v>
      </x:c>
    </x:row>
    <x:row r="181">
      <x:c r="A181" s="14" t="str">
        <x:v>VATM-0180</x:v>
      </x:c>
      <x:c r="B181" s="14" t="str">
        <x:v>31</x:v>
      </x:c>
      <x:c r="C181" s="14" t="str">
        <x:v>Thông tư 18/2026/TT-BXD - Chương trình an toàn HKDD</x:v>
      </x:c>
      <x:c r="D181" s="14" t="str">
        <x:v>Tong_hop_nhiem_vu_TT18_2026_TT_BXD_VATM_ANSP.xlsx</x:v>
      </x:c>
      <x:c r="E181" s="14" t="str">
        <x:v>01_Nhiem_vu_chung</x:v>
      </x:c>
      <x:c r="F181" s="56" t="n">
        <x:v>32</x:v>
      </x:c>
      <x:c r="G181" s="14" t="str">
        <x:v>Chương trình Điều 22 khoản 2</x:v>
      </x:c>
      <x:c r="H181" s="14" t="str">
        <x:v>An toàn hàng không / SMS</x:v>
      </x:c>
      <x:c r="I181" s="14" t="str">
        <x:v>Chính sách, mục tiêu và văn hóa an toàn</x:v>
      </x:c>
      <x:c r="J181" s="14" t="str">
        <x:v>Nội dung báo cáo tháng/quý</x:v>
      </x:c>
      <x:c r="K181" s="14" t="str">
        <x:v>Trực tiếp</x:v>
      </x:c>
      <x:c r="L181" s="14" t="str">
        <x:v>Báo cáo/điều tra/khắc phục</x:v>
      </x:c>
      <x:c r="M181" s="14" t="str">
        <x:v>Tổ chức, cá nhân tại Điều 9 khoản 1</x:v>
      </x:c>
      <x:c r="N181" s="14" t="str">
        <x:v>Báo cáo tháng/quý gồm: thông tin/tình hình hoạt động; tổng hợp, phân tích vụ việc/sự cố/tai nạn; SPI thực tế, phân tích xu hướng, so sánh mục tiêu, biện pháp khi SPI tiếp cận/vượt ngưỡng; bổ sung danh mục mối nguy và biện pháp giảm thiểu/phòng ngừa; đề xuất kiến nghị.</x:v>
      </x:c>
      <x:c r="O181" s="14" t="str">
        <x:v>Nên có phụ lục dữ liệu SPI ANS/GEN và hazard mới phát sinh.</x:v>
      </x:c>
      <x:c r="P181" s="14" t="str">
        <x:v>Báo cáo tháng/quý có các mục bắt buộc; dữ liệu hỗ trợ.</x:v>
      </x:c>
      <x:c r="Q181" s="14" t="str">
        <x:v>Báo cáo tháng/quý có các mục bắt buộc; dữ liệu hỗ trợ.</x:v>
      </x:c>
      <x:c r="R181" s="14" t="str"/>
      <x:c r="S181" s="14" t="str">
        <x:v>Ban An toàn - Chất lượng</x:v>
      </x:c>
      <x:c r="T181" s="14" t="str">
        <x:v>Các Công ty Quản lý bay khu vực Bắc/Trung/Nam; Ban An toàn - Chất lượng</x:v>
      </x:c>
      <x:c r="U181" s="14" t="str"/>
      <x:c r="V181" s="14" t="str">
        <x:v>Theo kỳ báo cáo tháng/quý.</x:v>
      </x:c>
      <x:c r="W181" s="14" t="str">
        <x:v>P2</x:v>
      </x:c>
      <x:c r="X181" s="14" t="str"/>
      <x:c r="Y181" s="14" t="str">
        <x:v>Chưa bắt đầu</x:v>
      </x:c>
      <x:c r="Z181" s="14" t="str"/>
      <x:c r="AA181" s="14" t="str">
        <x:v>https://datafiles.chinhphu.vn/cpp/files/vbpq/2026/5/18-bxd.pdf</x:v>
      </x:c>
      <x:c r="AB181" s="14" t="str">
        <x:v>sms; an toan; spi</x:v>
      </x:c>
    </x:row>
    <x:row r="182">
      <x:c r="A182" s="14" t="str">
        <x:v>VATM-0181</x:v>
      </x:c>
      <x:c r="B182" s="14" t="str">
        <x:v>32</x:v>
      </x:c>
      <x:c r="C182" s="14" t="str">
        <x:v>Thông tư 18/2026/TT-BXD - Chương trình an toàn HKDD</x:v>
      </x:c>
      <x:c r="D182" s="14" t="str">
        <x:v>Tong_hop_nhiem_vu_TT18_2026_TT_BXD_VATM_ANSP.xlsx</x:v>
      </x:c>
      <x:c r="E182" s="14" t="str">
        <x:v>01_Nhiem_vu_chung</x:v>
      </x:c>
      <x:c r="F182" s="56" t="n">
        <x:v>33</x:v>
      </x:c>
      <x:c r="G182" s="14" t="str">
        <x:v>Chương trình Điều 22 khoản 3</x:v>
      </x:c>
      <x:c r="H182" s="14" t="str">
        <x:v>An toàn hàng không / SMS</x:v>
      </x:c>
      <x:c r="I182" s="14" t="str">
        <x:v>Chính sách, mục tiêu và văn hóa an toàn</x:v>
      </x:c>
      <x:c r="J182" s="14" t="str">
        <x:v>Nội dung báo cáo năm</x:v>
      </x:c>
      <x:c r="K182" s="14" t="str">
        <x:v>Trực tiếp</x:v>
      </x:c>
      <x:c r="L182" s="14" t="str">
        <x:v>Báo cáo/điều tra/khắc phục</x:v>
      </x:c>
      <x:c r="M182" s="14" t="str">
        <x:v>Tổ chức, cá nhân tại Điều 9 khoản 1</x:v>
      </x:c>
      <x:c r="N182" s="14" t="str">
        <x:v>Báo cáo năm ngoài nội dung tháng/quý còn phải tổng kết việc đạt/không đạt SPT và phân tích lý do, kiến nghị/biện pháp năm sau; báo cáo toàn bộ danh mục mối nguy và biện pháp giảm thiểu năm sau; báo cáo SPT dự kiến năm sau theo Chương trình và theo SMS của tổ chức.</x:v>
      </x:c>
      <x:c r="O182" s="14" t="str">
        <x:v>Chuẩn bị trước kỳ lập kế hoạch năm để thống nhất chỉ tiêu.</x:v>
      </x:c>
      <x:c r="P182" s="14" t="str">
        <x:v>Báo cáo an toàn năm; đánh giá SPT; hazard register đầy đủ; kế hoạch mục tiêu năm sau.</x:v>
      </x:c>
      <x:c r="Q182" s="14" t="str">
        <x:v>Báo cáo an toàn năm; đánh giá SPT; hazard register đầy đủ; kế hoạch mục tiêu năm sau.</x:v>
      </x:c>
      <x:c r="R182" s="14" t="str"/>
      <x:c r="S182" s="14" t="str">
        <x:v>Ban An toàn - Chất lượng</x:v>
      </x:c>
      <x:c r="T182" s="14" t="str">
        <x:v>Các Công ty Quản lý bay khu vực Bắc/Trung/Nam; Ban An toàn - Chất lượng</x:v>
      </x:c>
      <x:c r="U182" s="14" t="str"/>
      <x:c r="V182" s="14" t="str">
        <x:v>Trước ngày 17/12 hằng năm.</x:v>
      </x:c>
      <x:c r="W182" s="14" t="str">
        <x:v>P2</x:v>
      </x:c>
      <x:c r="X182" s="14" t="str"/>
      <x:c r="Y182" s="14" t="str">
        <x:v>Chưa bắt đầu</x:v>
      </x:c>
      <x:c r="Z182" s="14" t="str"/>
      <x:c r="AA182" s="14" t="str">
        <x:v>https://datafiles.chinhphu.vn/cpp/files/vbpq/2026/5/18-bxd.pdf</x:v>
      </x:c>
      <x:c r="AB182" s="14" t="str">
        <x:v>sms; an toan; spt</x:v>
      </x:c>
    </x:row>
    <x:row r="183">
      <x:c r="A183" s="14" t="str">
        <x:v>VATM-0182</x:v>
      </x:c>
      <x:c r="B183" s="14" t="str">
        <x:v>33</x:v>
      </x:c>
      <x:c r="C183" s="14" t="str">
        <x:v>Thông tư 18/2026/TT-BXD - Chương trình an toàn HKDD</x:v>
      </x:c>
      <x:c r="D183" s="14" t="str">
        <x:v>Tong_hop_nhiem_vu_TT18_2026_TT_BXD_VATM_ANSP.xlsx</x:v>
      </x:c>
      <x:c r="E183" s="14" t="str">
        <x:v>01_Nhiem_vu_chung</x:v>
      </x:c>
      <x:c r="F183" s="56" t="n">
        <x:v>34</x:v>
      </x:c>
      <x:c r="G183" s="14" t="str">
        <x:v>Phụ lục III Phần II; Chương trình Điều 19 khoản 2(b)</x:v>
      </x:c>
      <x:c r="H183" s="14" t="str">
        <x:v>An toàn hàng không / SMS</x:v>
      </x:c>
      <x:c r="I183" s="14" t="str">
        <x:v>Quản lý rủi ro và thay đổi</x:v>
      </x:c>
      <x:c r="J183" s="14" t="str">
        <x:v>Vụ việc khác báo cáo 72 giờ</x:v>
      </x:c>
      <x:c r="K183" s="14" t="str">
        <x:v>Trực tiếp</x:v>
      </x:c>
      <x:c r="L183" s="14" t="str">
        <x:v>Báo cáo/điều tra/khắc phục</x:v>
      </x:c>
      <x:c r="M183" s="14" t="str">
        <x:v>Tổ chức/cá nhân có vụ việc thuộc Phần II Phụ lục III</x:v>
      </x:c>
      <x:c r="N183" s="14" t="str">
        <x:v>Báo cáo các vụ việc không phải sự cố/tai nạn nhưng cần thu thập, thống kê, phân tích, đánh giá, nhận diện mối nguy và giảm thiểu/kiểm soát rủi ro; vụ việc đã gây ra hoặc có nguy cơ gây gián đoạn hoạt động bay, ảnh hưởng kế hoạch/lịch trình khai thác tàu bay, hoặc làm suy giảm/gián đoạn năng lực cung cấp dịch vụ hàng không.</x:v>
      </x:c>
      <x:c r="O183" s="14" t="str">
        <x:v>Với VATM, chú ý các vụ việc suy giảm năng lực cung cấp dịch vụ ANS nhưng chưa thành sự cố.</x:v>
      </x:c>
      <x:c r="P183" s="14" t="str">
        <x:v>Báo cáo vụ việc 72h; phân loại; dữ liệu thống kê; cập nhật mối nguy nếu cần.</x:v>
      </x:c>
      <x:c r="Q183" s="14" t="str">
        <x:v>Báo cáo vụ việc 72h; phân loại; dữ liệu thống kê; cập nhật mối nguy nếu cần.</x:v>
      </x:c>
      <x:c r="R183" s="14" t="str"/>
      <x:c r="S183" s="14" t="str">
        <x:v>Ban An toàn - Chất lượng</x:v>
      </x:c>
      <x:c r="T183" s="14" t="str">
        <x:v>Các Công ty Quản lý bay khu vực Bắc/Trung/Nam; Ban An toàn - Chất lượng</x:v>
      </x:c>
      <x:c r="U183" s="14" t="str"/>
      <x:c r="V183" s="14" t="str">
        <x:v>Trong vòng 72 giờ theo Điều 19 khoản 2(b) và Phần II Phụ lục III.</x:v>
      </x:c>
      <x:c r="W183" s="14" t="str">
        <x:v>P2</x:v>
      </x:c>
      <x:c r="X183" s="14" t="str"/>
      <x:c r="Y183" s="14" t="str">
        <x:v>Chưa bắt đầu</x:v>
      </x:c>
      <x:c r="Z183" s="14" t="str"/>
      <x:c r="AA183" s="14" t="str">
        <x:v>https://datafiles.chinhphu.vn/cpp/files/vbpq/2026/5/18-bxd.pdf</x:v>
      </x:c>
      <x:c r="AB183" s="14" t="str">
        <x:v>sms; an toan</x:v>
      </x:c>
    </x:row>
    <x:row r="184">
      <x:c r="A184" s="14" t="str">
        <x:v>VATM-0183</x:v>
      </x:c>
      <x:c r="B184" s="14" t="str">
        <x:v>1</x:v>
      </x:c>
      <x:c r="C184" s="14" t="str">
        <x:v>Thông tư 18/2026/TT-BXD - Chương trình an toàn HKDD</x:v>
      </x:c>
      <x:c r="D184" s="14" t="str">
        <x:v>Tong_hop_nhiem_vu_TT18_2026_TT_BXD_VATM_ANSP.xlsx</x:v>
      </x:c>
      <x:c r="E184" s="14" t="str">
        <x:v>02_ANSP_VATM</x:v>
      </x:c>
      <x:c r="F184" s="56" t="n">
        <x:v>2</x:v>
      </x:c>
      <x:c r="G184" s="14" t="str">
        <x:v>Chương trình Điều 9 khoản 1(d); Điều 18 khoản 2(d)</x:v>
      </x:c>
      <x:c r="H184" s="14" t="str">
        <x:v>An toàn hàng không / SMS</x:v>
      </x:c>
      <x:c r="I184" s="14" t="str">
        <x:v>Báo cáo MOR, sự cố và điều tra</x:v>
      </x:c>
      <x:c r="J184" s="14" t="str">
        <x:v>Phạm vi áp dụng ANSP</x:v>
      </x:c>
      <x:c r="K184" s="14" t="str">
        <x:v>Trực tiếp</x:v>
      </x:c>
      <x:c r="L184" s="14" t="str">
        <x:v>Báo cáo/điều tra/khắc phục</x:v>
      </x:c>
      <x:c r="M184" s="14" t="str">
        <x:v>Doanh nghiệp cung cấp dịch vụ bảo đảm hoạt động bay/VATM</x:v>
      </x:c>
      <x:c r="N184" s="14" t="str">
        <x:v>Xác định VATM thuộc nhóm bắt buộc xây dựng SMS và thiết lập hệ thống báo cáo an toàn tới Cục HKVN.</x:v>
      </x:c>
      <x:c r="O184" s="14" t="str">
        <x:v>Dùng sheet này như checklist cấp Tổng công ty; sheet 03-05 là phụ lục chi tiết.</x:v>
      </x:c>
      <x:c r="P184" s="14" t="str">
        <x:v>Ma trận tuân thủ áp dụng cho toàn Tổng công ty và đơn vị trực thuộc; phân công đầu mối SMS/MOR.</x:v>
      </x:c>
      <x:c r="Q184" s="14" t="str">
        <x:v>Ma trận tuân thủ áp dụng cho toàn Tổng công ty và đơn vị trực thuộc; phân công đầu mối SMS/MOR.</x:v>
      </x:c>
      <x:c r="R184" s="14" t="str"/>
      <x:c r="S184" s="14" t="str">
        <x:v>Ban An toàn - Chất lượng</x:v>
      </x:c>
      <x:c r="T184" s="14" t="str">
        <x:v>Các Công ty Quản lý bay khu vực Bắc/Trung/Nam; Ban An toàn - Chất lượng</x:v>
      </x:c>
      <x:c r="U184" s="14" t="str"/>
      <x:c r="V184" s="14" t="str">
        <x:v>Áp dụng từ thời điểm Thông tư có hiệu lực; duy trì thường xuyên.</x:v>
      </x:c>
      <x:c r="W184" s="14" t="str">
        <x:v>P2</x:v>
      </x:c>
      <x:c r="X184" s="14" t="str"/>
      <x:c r="Y184" s="14" t="str">
        <x:v>Chưa bắt đầu</x:v>
      </x:c>
      <x:c r="Z184" s="14" t="str"/>
      <x:c r="AA184" s="14" t="str">
        <x:v>https://datafiles.chinhphu.vn/cpp/files/vbpq/2026/5/18-bxd.pdf</x:v>
      </x:c>
      <x:c r="AB184" s="14" t="str">
        <x:v>sms; an toan; mor; atm</x:v>
      </x:c>
    </x:row>
    <x:row r="185">
      <x:c r="A185" s="14" t="str">
        <x:v>VATM-0184</x:v>
      </x:c>
      <x:c r="B185" s="14" t="str">
        <x:v>2</x:v>
      </x:c>
      <x:c r="C185" s="14" t="str">
        <x:v>Thông tư 18/2026/TT-BXD - Chương trình an toàn HKDD</x:v>
      </x:c>
      <x:c r="D185" s="14" t="str">
        <x:v>Tong_hop_nhiem_vu_TT18_2026_TT_BXD_VATM_ANSP.xlsx</x:v>
      </x:c>
      <x:c r="E185" s="14" t="str">
        <x:v>02_ANSP_VATM</x:v>
      </x:c>
      <x:c r="F185" s="56" t="n">
        <x:v>3</x:v>
      </x:c>
      <x:c r="G185" s="14" t="str">
        <x:v>Chương trình Điều 9; Phụ lục I</x:v>
      </x:c>
      <x:c r="H185" s="14" t="str">
        <x:v>An toàn hàng không / SMS</x:v>
      </x:c>
      <x:c r="I185" s="14" t="str">
        <x:v>Chính sách, mục tiêu và văn hóa an toàn</x:v>
      </x:c>
      <x:c r="J185" s="14" t="str">
        <x:v>SMS cho dịch vụ BĐHĐB</x:v>
      </x:c>
      <x:c r="K185" s="14" t="str">
        <x:v>Trực tiếp</x:v>
      </x:c>
      <x:c r="L185" s="14" t="str">
        <x:v>SMS/QLAT</x:v>
      </x:c>
      <x:c r="M185" s="14" t="str">
        <x:v>VATM và các đơn vị cung cấp ATS/CNS/MET/AIS/AIM liên quan</x:v>
      </x:c>
      <x:c r="N185" s="14" t="str">
        <x:v>Xây dựng, triển khai, duy trì và cải tiến SMS theo Phụ lục I, bao gồm chính sách/mục tiêu, trách nhiệm, nhân sự an toàn chủ chốt, ERP, tài liệu SMS, quản lý rủi ro, bảo đảm an toàn và thúc đẩy an toàn.</x:v>
      </x:c>
      <x:c r="O185" s="14" t="str">
        <x:v>Giao Ban An toàn/Quản lý an toàn xây dựng khung; các đơn vị khai thác dịch vụ cập nhật quy trình tại cơ sở.</x:v>
      </x:c>
      <x:c r="P185" s="14" t="str">
        <x:v>SMS manual; quy trình nhận diện mối nguy, đánh giá rủi ro, quản lý thay đổi, đào tạo/truyền thông; hồ sơ SMS.</x:v>
      </x:c>
      <x:c r="Q185" s="14" t="str">
        <x:v>SMS manual; quy trình nhận diện mối nguy, đánh giá rủi ro, quản lý thay đổi, đào tạo/truyền thông; hồ sơ SMS.</x:v>
      </x:c>
      <x:c r="R185" s="14" t="str"/>
      <x:c r="S185" s="14" t="str">
        <x:v>Ban An toàn - Chất lượng</x:v>
      </x:c>
      <x:c r="T185" s="14" t="str">
        <x:v>Các Công ty Quản lý bay khu vực Bắc/Trung/Nam; Ban An toàn - Chất lượng</x:v>
      </x:c>
      <x:c r="U185" s="14" t="str"/>
      <x:c r="V185" s="14" t="str">
        <x:v>Duy trì thường xuyên; rà soát định kỳ hằng năm và khi có thay đổi.</x:v>
      </x:c>
      <x:c r="W185" s="14" t="str">
        <x:v>P2</x:v>
      </x:c>
      <x:c r="X185" s="14" t="str"/>
      <x:c r="Y185" s="14" t="str">
        <x:v>Chưa bắt đầu</x:v>
      </x:c>
      <x:c r="Z185" s="14" t="str"/>
      <x:c r="AA185" s="14" t="str">
        <x:v>https://datafiles.chinhphu.vn/cpp/files/vbpq/2026/5/18-bxd.pdf</x:v>
      </x:c>
      <x:c r="AB185" s="14" t="str">
        <x:v>sms; an toan</x:v>
      </x:c>
    </x:row>
    <x:row r="186">
      <x:c r="A186" s="14" t="str">
        <x:v>VATM-0185</x:v>
      </x:c>
      <x:c r="B186" s="14" t="str">
        <x:v>3</x:v>
      </x:c>
      <x:c r="C186" s="14" t="str">
        <x:v>Thông tư 18/2026/TT-BXD - Chương trình an toàn HKDD</x:v>
      </x:c>
      <x:c r="D186" s="14" t="str">
        <x:v>Tong_hop_nhiem_vu_TT18_2026_TT_BXD_VATM_ANSP.xlsx</x:v>
      </x:c>
      <x:c r="E186" s="14" t="str">
        <x:v>02_ANSP_VATM</x:v>
      </x:c>
      <x:c r="F186" s="56" t="n">
        <x:v>4</x:v>
      </x:c>
      <x:c r="G186" s="14" t="str">
        <x:v>Phụ lục I Điều 1</x:v>
      </x:c>
      <x:c r="H186" s="14" t="str">
        <x:v>An toàn hàng không / SMS</x:v>
      </x:c>
      <x:c r="I186" s="14" t="str">
        <x:v>Chính sách, mục tiêu và văn hóa an toàn</x:v>
      </x:c>
      <x:c r="J186" s="14" t="str">
        <x:v>Chính sách và mục tiêu an toàn ANSP</x:v>
      </x:c>
      <x:c r="K186" s="14" t="str">
        <x:v>Trực tiếp</x:v>
      </x:c>
      <x:c r="L186" s="14" t="str">
        <x:v>Báo cáo/điều tra/khắc phục</x:v>
      </x:c>
      <x:c r="M186" s="14" t="str">
        <x:v>VATM</x:v>
      </x:c>
      <x:c r="N186" s="14" t="str">
        <x:v>Bảo đảm chính sách an toàn có cam kết của người đứng đầu, nguồn lực, quy trình báo cáo, nguyên tắc xử lý hành vi không chấp nhận/không áp dụng kỷ luật, được ký, phổ biến và rà soát hằng năm; thiết lập mục tiêu an toàn làm cơ sở đo lường SPI/SPT.</x:v>
      </x:c>
      <x:c r="O186" s="14" t="str">
        <x:v>Đồng bộ mục tiêu an toàn cấp Tổng công ty với mục tiêu của ACC/APP/TWR/CNS/MET/AIS/AIM.</x:v>
      </x:c>
      <x:c r="P186" s="14" t="str">
        <x:v>Chính sách an toàn ký bởi người đứng đầu; mục tiêu an toàn năm/giai đoạn; bằng chứng phổ biến và rà soát.</x:v>
      </x:c>
      <x:c r="Q186" s="14" t="str">
        <x:v>Chính sách an toàn ký bởi người đứng đầu; mục tiêu an toàn năm/giai đoạn; bằng chứng phổ biến và rà soát.</x:v>
      </x:c>
      <x:c r="R186" s="14" t="str"/>
      <x:c r="S186" s="14" t="str">
        <x:v>Ban An toàn - Chất lượng</x:v>
      </x:c>
      <x:c r="T186" s="14" t="str">
        <x:v>Các Công ty Quản lý bay khu vực Bắc/Trung/Nam; Ban An toàn - Chất lượng</x:v>
      </x:c>
      <x:c r="U186" s="14" t="str"/>
      <x:c r="V186" s="14" t="str">
        <x:v>Rà soát hằng năm; cập nhật khi thay đổi tổ chức/dịch vụ/rủi ro.</x:v>
      </x:c>
      <x:c r="W186" s="14" t="str">
        <x:v>P2</x:v>
      </x:c>
      <x:c r="X186" s="14" t="str"/>
      <x:c r="Y186" s="14" t="str">
        <x:v>Chưa bắt đầu</x:v>
      </x:c>
      <x:c r="Z186" s="14" t="str"/>
      <x:c r="AA186" s="14" t="str">
        <x:v>https://datafiles.chinhphu.vn/cpp/files/vbpq/2026/5/18-bxd.pdf</x:v>
      </x:c>
      <x:c r="AB186" s="14" t="str">
        <x:v>sms; an toan; spi; spt</x:v>
      </x:c>
    </x:row>
    <x:row r="187">
      <x:c r="A187" s="14" t="str">
        <x:v>VATM-0186</x:v>
      </x:c>
      <x:c r="B187" s="14" t="str">
        <x:v>4</x:v>
      </x:c>
      <x:c r="C187" s="14" t="str">
        <x:v>Thông tư 18/2026/TT-BXD - Chương trình an toàn HKDD</x:v>
      </x:c>
      <x:c r="D187" s="14" t="str">
        <x:v>Tong_hop_nhiem_vu_TT18_2026_TT_BXD_VATM_ANSP.xlsx</x:v>
      </x:c>
      <x:c r="E187" s="14" t="str">
        <x:v>02_ANSP_VATM</x:v>
      </x:c>
      <x:c r="F187" s="56" t="n">
        <x:v>5</x:v>
      </x:c>
      <x:c r="G187" s="14" t="str">
        <x:v>Phụ lục I Điều 2, Điều 3</x:v>
      </x:c>
      <x:c r="H187" s="14" t="str">
        <x:v>An toàn hàng không / SMS</x:v>
      </x:c>
      <x:c r="I187" s="14" t="str">
        <x:v>Quản lý rủi ro và thay đổi</x:v>
      </x:c>
      <x:c r="J187" s="14" t="str">
        <x:v>Trách nhiệm giải trình và nhân sự an toàn</x:v>
      </x:c>
      <x:c r="K187" s="14" t="str">
        <x:v>Trực tiếp</x:v>
      </x:c>
      <x:c r="L187" s="14" t="str">
        <x:v>SMS/QLAT</x:v>
      </x:c>
      <x:c r="M187" s="14" t="str">
        <x:v>VATM</x:v>
      </x:c>
      <x:c r="N187" s="14" t="str">
        <x:v>Xác định trách nhiệm của người đứng đầu; văn bản hóa chức năng, nhiệm vụ, quyền hạn về an toàn và phổ biến; xác định cấp có thẩm quyền quyết định mức chấp nhận rủi ro; bổ nhiệm người chịu trách nhiệm chính về quản lý an toàn, bảo đảm không xung đột lợi ích nếu kiêm nhiệm.</x:v>
      </x:c>
      <x:c r="O187" s="14" t="str">
        <x:v>Xác định rõ thẩm quyền chấp nhận rủi ro theo cấp độ ảnh hưởng an toàn và phạm vi dịch vụ ANS.</x:v>
      </x:c>
      <x:c r="P187" s="14" t="str">
        <x:v>Quyết định/bản mô tả trách nhiệm; ma trận phân quyền rủi ro; quyết định bổ nhiệm safety manager; sơ đồ tổ chức SMS.</x:v>
      </x:c>
      <x:c r="Q187" s="14" t="str">
        <x:v>Quyết định/bản mô tả trách nhiệm; ma trận phân quyền rủi ro; quyết định bổ nhiệm safety manager; sơ đồ tổ chức SMS.</x:v>
      </x:c>
      <x:c r="R187" s="14" t="str"/>
      <x:c r="S187" s="14" t="str">
        <x:v>Ban An toàn - Chất lượng</x:v>
      </x:c>
      <x:c r="T187" s="14" t="str">
        <x:v>Các Công ty Quản lý bay khu vực Bắc/Trung/Nam; Ban An toàn - Chất lượng</x:v>
      </x:c>
      <x:c r="U187" s="14" t="str"/>
      <x:c r="V187" s="14" t="str">
        <x:v>Duy trì; cập nhật khi thay đổi tổ chức/nhân sự.</x:v>
      </x:c>
      <x:c r="W187" s="14" t="str">
        <x:v>P2</x:v>
      </x:c>
      <x:c r="X187" s="14" t="str"/>
      <x:c r="Y187" s="14" t="str">
        <x:v>Chưa bắt đầu</x:v>
      </x:c>
      <x:c r="Z187" s="14" t="str"/>
      <x:c r="AA187" s="14" t="str">
        <x:v>https://datafiles.chinhphu.vn/cpp/files/vbpq/2026/5/18-bxd.pdf</x:v>
      </x:c>
      <x:c r="AB187" s="14" t="str">
        <x:v>sms; an toan</x:v>
      </x:c>
    </x:row>
    <x:row r="188">
      <x:c r="A188" s="14" t="str">
        <x:v>VATM-0187</x:v>
      </x:c>
      <x:c r="B188" s="14" t="str">
        <x:v>5</x:v>
      </x:c>
      <x:c r="C188" s="14" t="str">
        <x:v>Thông tư 18/2026/TT-BXD - Chương trình an toàn HKDD</x:v>
      </x:c>
      <x:c r="D188" s="14" t="str">
        <x:v>Tong_hop_nhiem_vu_TT18_2026_TT_BXD_VATM_ANSP.xlsx</x:v>
      </x:c>
      <x:c r="E188" s="14" t="str">
        <x:v>02_ANSP_VATM</x:v>
      </x:c>
      <x:c r="F188" s="56" t="n">
        <x:v>6</x:v>
      </x:c>
      <x:c r="G188" s="14" t="str">
        <x:v>Phụ lục I Điều 4</x:v>
      </x:c>
      <x:c r="H188" s="14" t="str">
        <x:v>An toàn hàng không / SMS</x:v>
      </x:c>
      <x:c r="I188" s="14" t="str">
        <x:v>Báo cáo MOR, sự cố và điều tra</x:v>
      </x:c>
      <x:c r="J188" s="14" t="str">
        <x:v>Kế hoạch ứng phó khẩn nguy</x:v>
      </x:c>
      <x:c r="K188" s="14" t="str">
        <x:v>Trực tiếp</x:v>
      </x:c>
      <x:c r="L188" s="14" t="str">
        <x:v>Báo cáo/điều tra/khắc phục</x:v>
      </x:c>
      <x:c r="M188" s="14" t="str">
        <x:v>VATM và cơ sở BĐHĐB</x:v>
      </x:c>
      <x:c r="N188" s="14" t="str">
        <x:v>Thiết lập, duy trì kế hoạch ứng phó khẩn nguy đối với tai nạn, sự cố, tình huống khẩn nguy hàng không; bảo đảm đồng bộ với kế hoạch của tổ chức cần phối hợp trong quá trình cung cấp dịch vụ hàng không.</x:v>
      </x:c>
      <x:c r="O188" s="14" t="str">
        <x:v>Đồng bộ với cảng hàng không, hãng hàng không, tìm kiếm cứu nạn, quân sự/hiệp đồng bay và Cảng vụ khi liên quan.</x:v>
      </x:c>
      <x:c r="P188" s="14" t="str">
        <x:v>Kế hoạch ERP; danh bạ liên lạc; kịch bản phối hợp; biên bản diễn tập/kiểm tra.</x:v>
      </x:c>
      <x:c r="Q188" s="14" t="str">
        <x:v>Kế hoạch ERP; danh bạ liên lạc; kịch bản phối hợp; biên bản diễn tập/kiểm tra.</x:v>
      </x:c>
      <x:c r="R188" s="14" t="str"/>
      <x:c r="S188" s="14" t="str">
        <x:v>Ban An toàn - Chất lượng</x:v>
      </x:c>
      <x:c r="T188" s="14" t="str">
        <x:v>Các Công ty Quản lý bay khu vực Bắc/Trung/Nam; Ban An toàn - Chất lượng</x:v>
      </x:c>
      <x:c r="U188" s="14" t="str"/>
      <x:c r="V188" s="14" t="str">
        <x:v>Duy trì; diễn tập/kiểm tra định kỳ theo kế hoạch; cập nhật khi thay đổi giao diện phối hợp.</x:v>
      </x:c>
      <x:c r="W188" s="14" t="str">
        <x:v>P2</x:v>
      </x:c>
      <x:c r="X188" s="14" t="str"/>
      <x:c r="Y188" s="14" t="str">
        <x:v>Chưa bắt đầu</x:v>
      </x:c>
      <x:c r="Z188" s="14" t="str"/>
      <x:c r="AA188" s="14" t="str">
        <x:v>https://datafiles.chinhphu.vn/cpp/files/vbpq/2026/5/18-bxd.pdf</x:v>
      </x:c>
      <x:c r="AB188" s="14" t="str">
        <x:v>sms; an toan; mor</x:v>
      </x:c>
    </x:row>
    <x:row r="189">
      <x:c r="A189" s="14" t="str">
        <x:v>VATM-0188</x:v>
      </x:c>
      <x:c r="B189" s="14" t="str">
        <x:v>6</x:v>
      </x:c>
      <x:c r="C189" s="14" t="str">
        <x:v>Thông tư 18/2026/TT-BXD - Chương trình an toàn HKDD</x:v>
      </x:c>
      <x:c r="D189" s="14" t="str">
        <x:v>Tong_hop_nhiem_vu_TT18_2026_TT_BXD_VATM_ANSP.xlsx</x:v>
      </x:c>
      <x:c r="E189" s="14" t="str">
        <x:v>02_ANSP_VATM</x:v>
      </x:c>
      <x:c r="F189" s="56" t="n">
        <x:v>7</x:v>
      </x:c>
      <x:c r="G189" s="14" t="str">
        <x:v>Phụ lục I Điều 5</x:v>
      </x:c>
      <x:c r="H189" s="14" t="str">
        <x:v>An toàn hàng không / SMS</x:v>
      </x:c>
      <x:c r="I189" s="14" t="str">
        <x:v>Chính sách, mục tiêu và văn hóa an toàn</x:v>
      </x:c>
      <x:c r="J189" s="14" t="str">
        <x:v>Tài liệu và hồ sơ SMS</x:v>
      </x:c>
      <x:c r="K189" s="14" t="str">
        <x:v>Trực tiếp</x:v>
      </x:c>
      <x:c r="L189" s="14" t="str">
        <x:v>SMS/QLAT</x:v>
      </x:c>
      <x:c r="M189" s="14" t="str">
        <x:v>VATM</x:v>
      </x:c>
      <x:c r="N189" s="14" t="str">
        <x:v>Xây dựng và duy trì tài liệu hướng dẫn SMS mô tả chính sách/mục tiêu/nguồn lực, yêu cầu SMS đối với quản lý rủi ro/bảo đảm/thúc đẩy an toàn, quy trình/thủ tục, trách nhiệm và thẩm quyền; duy trì hồ sơ vận hành SMS.</x:v>
      </x:c>
      <x:c r="O189" s="14" t="str">
        <x:v>Nên dùng hệ thống quản lý tài liệu tập trung và danh mục hồ sơ bắt buộc.</x:v>
      </x:c>
      <x:c r="P189" s="14" t="str">
        <x:v>SMS manual; quy trình SMS; hồ sơ đánh giá rủi ro, hành động, đào tạo, truyền thông, thay đổi, họp an toàn.</x:v>
      </x:c>
      <x:c r="Q189" s="14" t="str">
        <x:v>SMS manual; quy trình SMS; hồ sơ đánh giá rủi ro, hành động, đào tạo, truyền thông, thay đổi, họp an toàn.</x:v>
      </x:c>
      <x:c r="R189" s="14" t="str"/>
      <x:c r="S189" s="14" t="str">
        <x:v>Ban An toàn - Chất lượng</x:v>
      </x:c>
      <x:c r="T189" s="14" t="str">
        <x:v>Các Công ty Quản lý bay khu vực Bắc/Trung/Nam; Ban An toàn - Chất lượng</x:v>
      </x:c>
      <x:c r="U189" s="14" t="str"/>
      <x:c r="V189" s="14" t="str">
        <x:v>Duy trì thường xuyên; kiểm soát phiên bản.</x:v>
      </x:c>
      <x:c r="W189" s="14" t="str">
        <x:v>P2</x:v>
      </x:c>
      <x:c r="X189" s="14" t="str"/>
      <x:c r="Y189" s="14" t="str">
        <x:v>Chưa bắt đầu</x:v>
      </x:c>
      <x:c r="Z189" s="14" t="str"/>
      <x:c r="AA189" s="14" t="str">
        <x:v>https://datafiles.chinhphu.vn/cpp/files/vbpq/2026/5/18-bxd.pdf</x:v>
      </x:c>
      <x:c r="AB189" s="14" t="str">
        <x:v>sms; an toan</x:v>
      </x:c>
    </x:row>
    <x:row r="190">
      <x:c r="A190" s="14" t="str">
        <x:v>VATM-0189</x:v>
      </x:c>
      <x:c r="B190" s="14" t="str">
        <x:v>7</x:v>
      </x:c>
      <x:c r="C190" s="14" t="str">
        <x:v>Thông tư 18/2026/TT-BXD - Chương trình an toàn HKDD</x:v>
      </x:c>
      <x:c r="D190" s="14" t="str">
        <x:v>Tong_hop_nhiem_vu_TT18_2026_TT_BXD_VATM_ANSP.xlsx</x:v>
      </x:c>
      <x:c r="E190" s="14" t="str">
        <x:v>02_ANSP_VATM</x:v>
      </x:c>
      <x:c r="F190" s="56" t="n">
        <x:v>8</x:v>
      </x:c>
      <x:c r="G190" s="14" t="str">
        <x:v>Chương trình Điều 11 khoản 4, khoản 6; Phụ lục I Điều 6, Điều 7</x:v>
      </x:c>
      <x:c r="H190" s="14" t="str">
        <x:v>An toàn hàng không / SMS</x:v>
      </x:c>
      <x:c r="I190" s="14" t="str">
        <x:v>Quản lý rủi ro và thay đổi</x:v>
      </x:c>
      <x:c r="J190" s="14" t="str">
        <x:v>Quản lý mối nguy/rủi ro ANS</x:v>
      </x:c>
      <x:c r="K190" s="14" t="str">
        <x:v>Trực tiếp</x:v>
      </x:c>
      <x:c r="L190" s="14" t="str">
        <x:v>Báo cáo/điều tra/khắc phục</x:v>
      </x:c>
      <x:c r="M190" s="14" t="str">
        <x:v>VATM</x:v>
      </x:c>
      <x:c r="N190" s="14" t="str">
        <x:v>Thiết lập quy trình nhận diện mối nguy liên quan giao diện nội bộ/bên ngoài của dịch vụ ANS; kết hợp phương pháp phản ứng và chủ động; phân tích, đánh giá và kiểm soát rủi ro liên quan mối nguy đã nhận diện.</x:v>
      </x:c>
      <x:c r="O190" s="14" t="str">
        <x:v>Phân loại mối nguy theo ATS, CNS, MET, AIS/AIM, ATFM/ASM, sân bay/đường dài và giao diện đối tác.</x:v>
      </x:c>
      <x:c r="P190" s="14" t="str">
        <x:v>Hazard register ANS; risk matrix; biện pháp kiểm soát; đánh giá hiệu quả; hồ sơ từ báo cáo bắt buộc/tự nguyện, giám sát và thay đổi.</x:v>
      </x:c>
      <x:c r="Q190" s="14" t="str">
        <x:v>Hazard register ANS; risk matrix; biện pháp kiểm soát; đánh giá hiệu quả; hồ sơ từ báo cáo bắt buộc/tự nguyện, giám sát và thay đổi.</x:v>
      </x:c>
      <x:c r="R190" s="14" t="str"/>
      <x:c r="S190" s="14" t="str">
        <x:v>Ban An toàn - Chất lượng</x:v>
      </x:c>
      <x:c r="T190" s="14" t="str">
        <x:v>Các Công ty Quản lý bay khu vực Bắc/Trung/Nam; Ban An toàn - Chất lượng</x:v>
      </x:c>
      <x:c r="U190" s="14" t="str"/>
      <x:c r="V190" s="14" t="str">
        <x:v>Thường xuyên; báo cáo mối nguy/rủi ro hằng quý đến Cục HKVN.</x:v>
      </x:c>
      <x:c r="W190" s="14" t="str">
        <x:v>P2</x:v>
      </x:c>
      <x:c r="X190" s="14" t="str"/>
      <x:c r="Y190" s="14" t="str">
        <x:v>Chưa bắt đầu</x:v>
      </x:c>
      <x:c r="Z190" s="14" t="str"/>
      <x:c r="AA190" s="14" t="str">
        <x:v>https://datafiles.chinhphu.vn/cpp/files/vbpq/2026/5/18-bxd.pdf</x:v>
      </x:c>
      <x:c r="AB190" s="14" t="str">
        <x:v>sms; an toan; ans</x:v>
      </x:c>
    </x:row>
    <x:row r="191">
      <x:c r="A191" s="14" t="str">
        <x:v>VATM-0190</x:v>
      </x:c>
      <x:c r="B191" s="14" t="str">
        <x:v>8</x:v>
      </x:c>
      <x:c r="C191" s="14" t="str">
        <x:v>Thông tư 18/2026/TT-BXD - Chương trình an toàn HKDD</x:v>
      </x:c>
      <x:c r="D191" s="14" t="str">
        <x:v>Tong_hop_nhiem_vu_TT18_2026_TT_BXD_VATM_ANSP.xlsx</x:v>
      </x:c>
      <x:c r="E191" s="14" t="str">
        <x:v>02_ANSP_VATM</x:v>
      </x:c>
      <x:c r="F191" s="56" t="n">
        <x:v>9</x:v>
      </x:c>
      <x:c r="G191" s="14" t="str">
        <x:v>Phụ lục I Điều 9</x:v>
      </x:c>
      <x:c r="H191" s="14" t="str">
        <x:v>An toàn hàng không / SMS</x:v>
      </x:c>
      <x:c r="I191" s="14" t="str">
        <x:v>Quản lý rủi ro và thay đổi</x:v>
      </x:c>
      <x:c r="J191" s="14" t="str">
        <x:v>Quản lý thay đổi ANS</x:v>
      </x:c>
      <x:c r="K191" s="14" t="str">
        <x:v>Trực tiếp</x:v>
      </x:c>
      <x:c r="L191" s="14" t="str">
        <x:v>SMS/QLAT</x:v>
      </x:c>
      <x:c r="M191" s="14" t="str">
        <x:v>VATM</x:v>
      </x:c>
      <x:c r="N191" s="14" t="str">
        <x:v>Xây dựng và duy trì quy trình nhận diện thay đổi có thể ảnh hưởng đến mức độ rủi ro an toàn liên quan đến sản phẩm/dịch vụ ANS; nhận diện và quản lý rủi ro phát sinh từ thay đổi đó.</x:v>
      </x:c>
      <x:c r="O191" s="14" t="str">
        <x:v>Áp dụng cho thay đổi vùng trời, phương thức bay, tần số, hệ thống CNS/ATM, tổ chức trực, nhân lực, dữ liệu AIS/MET và quy trình hiệp đồng.</x:v>
      </x:c>
      <x:c r="P191" s="14" t="str">
        <x:v>Change safety assessment; hồ sơ phê duyệt thay đổi; kế hoạch giảm thiểu; xác nhận sau triển khai.</x:v>
      </x:c>
      <x:c r="Q191" s="14" t="str">
        <x:v>Change safety assessment; hồ sơ phê duyệt thay đổi; kế hoạch giảm thiểu; xác nhận sau triển khai.</x:v>
      </x:c>
      <x:c r="R191" s="14" t="str"/>
      <x:c r="S191" s="14" t="str">
        <x:v>Ban An toàn - Chất lượng</x:v>
      </x:c>
      <x:c r="T191" s="14" t="str">
        <x:v>Các Công ty Quản lý bay khu vực Bắc/Trung/Nam; Ban An toàn - Chất lượng</x:v>
      </x:c>
      <x:c r="U191" s="14" t="str"/>
      <x:c r="V191" s="14" t="str">
        <x:v>Trước khi triển khai thay đổi; giám sát sau thay đổi.</x:v>
      </x:c>
      <x:c r="W191" s="14" t="str">
        <x:v>P2</x:v>
      </x:c>
      <x:c r="X191" s="14" t="str"/>
      <x:c r="Y191" s="14" t="str">
        <x:v>Chưa bắt đầu</x:v>
      </x:c>
      <x:c r="Z191" s="14" t="str"/>
      <x:c r="AA191" s="14" t="str">
        <x:v>https://datafiles.chinhphu.vn/cpp/files/vbpq/2026/5/18-bxd.pdf</x:v>
      </x:c>
      <x:c r="AB191" s="14" t="str">
        <x:v>sms; an toan; ans</x:v>
      </x:c>
    </x:row>
    <x:row r="192">
      <x:c r="A192" s="14" t="str">
        <x:v>VATM-0191</x:v>
      </x:c>
      <x:c r="B192" s="14" t="str">
        <x:v>9</x:v>
      </x:c>
      <x:c r="C192" s="14" t="str">
        <x:v>Thông tư 18/2026/TT-BXD - Chương trình an toàn HKDD</x:v>
      </x:c>
      <x:c r="D192" s="14" t="str">
        <x:v>Tong_hop_nhiem_vu_TT18_2026_TT_BXD_VATM_ANSP.xlsx</x:v>
      </x:c>
      <x:c r="E192" s="14" t="str">
        <x:v>02_ANSP_VATM</x:v>
      </x:c>
      <x:c r="F192" s="56" t="n">
        <x:v>10</x:v>
      </x:c>
      <x:c r="G192" s="14" t="str">
        <x:v>Phụ lục I Điều 8; Chương trình Điều 10</x:v>
      </x:c>
      <x:c r="H192" s="14" t="str">
        <x:v>An toàn hàng không / SMS</x:v>
      </x:c>
      <x:c r="I192" s="14" t="str">
        <x:v>Chính sách, mục tiêu và văn hóa an toàn</x:v>
      </x:c>
      <x:c r="J192" s="14" t="str">
        <x:v>Giám sát hiệu quả an toàn ANSP</x:v>
      </x:c>
      <x:c r="K192" s="14" t="str">
        <x:v>Trực tiếp</x:v>
      </x:c>
      <x:c r="L192" s="14" t="str">
        <x:v>Báo cáo/điều tra/khắc phục</x:v>
      </x:c>
      <x:c r="M192" s="14" t="str">
        <x:v>VATM</x:v>
      </x:c>
      <x:c r="N192" s="14" t="str">
        <x:v>Xây dựng phương thức đánh giá hiệu quả an toàn của tổ chức và hiệu lực biện pháp kiểm soát/giảm thiểu rủi ro; xác minh hiệu quả an toàn dựa trên SPI/SPT của SMS.</x:v>
      </x:c>
      <x:c r="O192" s="14" t="str">
        <x:v>Liên kết ANS-01 đến ANS-09 và GEN-01 đến GEN-05 với mục tiêu an toàn nội bộ.</x:v>
      </x:c>
      <x:c r="P192" s="14" t="str">
        <x:v>Dashboard SPI/SPT; phân tích xu hướng; báo cáo hiệu quả biện pháp; kết quả kiểm tra/đánh giá nội bộ.</x:v>
      </x:c>
      <x:c r="Q192" s="14" t="str">
        <x:v>Dashboard SPI/SPT; phân tích xu hướng; báo cáo hiệu quả biện pháp; kết quả kiểm tra/đánh giá nội bộ.</x:v>
      </x:c>
      <x:c r="R192" s="14" t="str"/>
      <x:c r="S192" s="14" t="str">
        <x:v>Ban An toàn - Chất lượng</x:v>
      </x:c>
      <x:c r="T192" s="14" t="str">
        <x:v>Các Công ty Quản lý bay khu vực Bắc/Trung/Nam; Ban An toàn - Chất lượng</x:v>
      </x:c>
      <x:c r="U192" s="14" t="str"/>
      <x:c r="V192" s="14" t="str">
        <x:v>Định kỳ theo tháng/quý/năm và khi có biến động rủi ro.</x:v>
      </x:c>
      <x:c r="W192" s="14" t="str">
        <x:v>P2</x:v>
      </x:c>
      <x:c r="X192" s="14" t="str"/>
      <x:c r="Y192" s="14" t="str">
        <x:v>Chưa bắt đầu</x:v>
      </x:c>
      <x:c r="Z192" s="14" t="str"/>
      <x:c r="AA192" s="14" t="str">
        <x:v>https://datafiles.chinhphu.vn/cpp/files/vbpq/2026/5/18-bxd.pdf</x:v>
      </x:c>
      <x:c r="AB192" s="14" t="str">
        <x:v>sms; an toan; spi; spt</x:v>
      </x:c>
    </x:row>
    <x:row r="193">
      <x:c r="A193" s="14" t="str">
        <x:v>VATM-0192</x:v>
      </x:c>
      <x:c r="B193" s="14" t="str">
        <x:v>10</x:v>
      </x:c>
      <x:c r="C193" s="14" t="str">
        <x:v>Thông tư 18/2026/TT-BXD - Chương trình an toàn HKDD</x:v>
      </x:c>
      <x:c r="D193" s="14" t="str">
        <x:v>Tong_hop_nhiem_vu_TT18_2026_TT_BXD_VATM_ANSP.xlsx</x:v>
      </x:c>
      <x:c r="E193" s="14" t="str">
        <x:v>02_ANSP_VATM</x:v>
      </x:c>
      <x:c r="F193" s="56" t="n">
        <x:v>11</x:v>
      </x:c>
      <x:c r="G193" s="14" t="str">
        <x:v>Phụ lục I Điều 10</x:v>
      </x:c>
      <x:c r="H193" s="14" t="str">
        <x:v>An toàn hàng không / SMS</x:v>
      </x:c>
      <x:c r="I193" s="14" t="str">
        <x:v>Bảo đảm an toàn, giám sát và audit</x:v>
      </x:c>
      <x:c r="J193" s="14" t="str">
        <x:v>Cải tiến liên tục SMS</x:v>
      </x:c>
      <x:c r="K193" s="14" t="str">
        <x:v>Trực tiếp</x:v>
      </x:c>
      <x:c r="L193" s="14" t="str">
        <x:v>SMS/QLAT</x:v>
      </x:c>
      <x:c r="M193" s="14" t="str">
        <x:v>VATM</x:v>
      </x:c>
      <x:c r="N193" s="14" t="str">
        <x:v>Giám sát và đánh giá các quy trình SMS nhằm duy trì hoặc liên tục cải tiến hiệu lực tổng thể của SMS.</x:v>
      </x:c>
      <x:c r="O193" s="14" t="str">
        <x:v>Ưu tiên cải tiến các quy trình có điểm không phù hợp lặp lại hoặc SPI xấu đi.</x:v>
      </x:c>
      <x:c r="P193" s="14" t="str">
        <x:v>Kế hoạch cải tiến SMS; kết quả đánh giá nội bộ; bài học kinh nghiệm; hành động cải tiến.</x:v>
      </x:c>
      <x:c r="Q193" s="14" t="str">
        <x:v>Kế hoạch cải tiến SMS; kết quả đánh giá nội bộ; bài học kinh nghiệm; hành động cải tiến.</x:v>
      </x:c>
      <x:c r="R193" s="14" t="str"/>
      <x:c r="S193" s="14" t="str">
        <x:v>Ban An toàn - Chất lượng</x:v>
      </x:c>
      <x:c r="T193" s="14" t="str">
        <x:v>Các Công ty Quản lý bay khu vực Bắc/Trung/Nam; Ban An toàn - Chất lượng</x:v>
      </x:c>
      <x:c r="U193" s="14" t="str"/>
      <x:c r="V193" s="14" t="str">
        <x:v>Định kỳ hằng năm và sau sự cố/đánh giá/kiểm tra.</x:v>
      </x:c>
      <x:c r="W193" s="14" t="str">
        <x:v>P2</x:v>
      </x:c>
      <x:c r="X193" s="14" t="str"/>
      <x:c r="Y193" s="14" t="str">
        <x:v>Chưa bắt đầu</x:v>
      </x:c>
      <x:c r="Z193" s="14" t="str"/>
      <x:c r="AA193" s="14" t="str">
        <x:v>https://datafiles.chinhphu.vn/cpp/files/vbpq/2026/5/18-bxd.pdf</x:v>
      </x:c>
      <x:c r="AB193" s="14" t="str">
        <x:v>sms; an toan</x:v>
      </x:c>
    </x:row>
    <x:row r="194">
      <x:c r="A194" s="14" t="str">
        <x:v>VATM-0193</x:v>
      </x:c>
      <x:c r="B194" s="14" t="str">
        <x:v>11</x:v>
      </x:c>
      <x:c r="C194" s="14" t="str">
        <x:v>Thông tư 18/2026/TT-BXD - Chương trình an toàn HKDD</x:v>
      </x:c>
      <x:c r="D194" s="14" t="str">
        <x:v>Tong_hop_nhiem_vu_TT18_2026_TT_BXD_VATM_ANSP.xlsx</x:v>
      </x:c>
      <x:c r="E194" s="14" t="str">
        <x:v>02_ANSP_VATM</x:v>
      </x:c>
      <x:c r="F194" s="56" t="n">
        <x:v>12</x:v>
      </x:c>
      <x:c r="G194" s="14" t="str">
        <x:v>Chương trình Điều 14 khoản 2; Phụ lục I Điều 11</x:v>
      </x:c>
      <x:c r="H194" s="14" t="str">
        <x:v>An toàn hàng không / SMS</x:v>
      </x:c>
      <x:c r="I194" s="14" t="str">
        <x:v>Khung SMS và quản trị an toàn</x:v>
      </x:c>
      <x:c r="J194" s="14" t="str">
        <x:v>Đào tạo và năng lực SMS</x:v>
      </x:c>
      <x:c r="K194" s="14" t="str">
        <x:v>Trực tiếp</x:v>
      </x:c>
      <x:c r="L194" s="14" t="str">
        <x:v>SMS/QLAT</x:v>
      </x:c>
      <x:c r="M194" s="14" t="str">
        <x:v>VATM</x:v>
      </x:c>
      <x:c r="N194" s="14" t="str">
        <x:v>Xây dựng chương trình đào tạo an toàn bảo đảm nhân sự được đào tạo và có năng lực thực hiện nhiệm vụ liên quan SMS; phạm vi đào tạo phù hợp mức tham gia của từng cá nhân.</x:v>
      </x:c>
      <x:c r="O194" s="14" t="str">
        <x:v>Phân tầng: lãnh đạo, safety manager, điều hành bay, kỹ thuật CNS, MET/AIS/AIM, phân tích dữ liệu, điều tra nội bộ.</x:v>
      </x:c>
      <x:c r="P194" s="14" t="str">
        <x:v>Ma trận năng lực SMS; chương trình đào tạo; hồ sơ hoàn thành; đánh giá sau đào tạo.</x:v>
      </x:c>
      <x:c r="Q194" s="14" t="str">
        <x:v>Ma trận năng lực SMS; chương trình đào tạo; hồ sơ hoàn thành; đánh giá sau đào tạo.</x:v>
      </x:c>
      <x:c r="R194" s="14" t="str"/>
      <x:c r="S194" s="14" t="str">
        <x:v>Ban An toàn - Chất lượng</x:v>
      </x:c>
      <x:c r="T194" s="14" t="str">
        <x:v>Các Công ty Quản lý bay khu vực Bắc/Trung/Nam; Ban An toàn - Chất lượng</x:v>
      </x:c>
      <x:c r="U194" s="14" t="str"/>
      <x:c r="V194" s="14" t="str">
        <x:v>Theo kế hoạch đào tạo; đào tạo lại khi thay đổi hoặc năng lực chưa đạt.</x:v>
      </x:c>
      <x:c r="W194" s="14" t="str">
        <x:v>P2</x:v>
      </x:c>
      <x:c r="X194" s="14" t="str"/>
      <x:c r="Y194" s="14" t="str">
        <x:v>Chưa bắt đầu</x:v>
      </x:c>
      <x:c r="Z194" s="14" t="str"/>
      <x:c r="AA194" s="14" t="str">
        <x:v>https://datafiles.chinhphu.vn/cpp/files/vbpq/2026/5/18-bxd.pdf</x:v>
      </x:c>
      <x:c r="AB194" s="14" t="str">
        <x:v>sms; an toan</x:v>
      </x:c>
    </x:row>
    <x:row r="195">
      <x:c r="A195" s="14" t="str">
        <x:v>VATM-0194</x:v>
      </x:c>
      <x:c r="B195" s="14" t="str">
        <x:v>12</x:v>
      </x:c>
      <x:c r="C195" s="14" t="str">
        <x:v>Thông tư 18/2026/TT-BXD - Chương trình an toàn HKDD</x:v>
      </x:c>
      <x:c r="D195" s="14" t="str">
        <x:v>Tong_hop_nhiem_vu_TT18_2026_TT_BXD_VATM_ANSP.xlsx</x:v>
      </x:c>
      <x:c r="E195" s="14" t="str">
        <x:v>02_ANSP_VATM</x:v>
      </x:c>
      <x:c r="F195" s="56" t="n">
        <x:v>13</x:v>
      </x:c>
      <x:c r="G195" s="14" t="str">
        <x:v>Phụ lục I Điều 12; Chương trình Điều 16 khoản 2(c)</x:v>
      </x:c>
      <x:c r="H195" s="14" t="str">
        <x:v>An toàn hàng không / SMS</x:v>
      </x:c>
      <x:c r="I195" s="14" t="str">
        <x:v>Khung SMS và quản trị an toàn</x:v>
      </x:c>
      <x:c r="J195" s="14" t="str">
        <x:v>Truyền thông an toàn ANS</x:v>
      </x:c>
      <x:c r="K195" s="14" t="str">
        <x:v>Trực tiếp</x:v>
      </x:c>
      <x:c r="L195" s="14" t="str">
        <x:v>SMS/QLAT</x:v>
      </x:c>
      <x:c r="M195" s="14" t="str">
        <x:v>VATM</x:v>
      </x:c>
      <x:c r="N195" s="14" t="str">
        <x:v>Duy trì phương thức chính thức về truyền thông an toàn để nhân sự nhận thức SMS phù hợp vị trí, truyền đạt thông tin quan trọng, giải thích lý do hành động nâng cao an toàn và lý do ban hành/thay đổi quy trình/thông tin an toàn.</x:v>
      </x:c>
      <x:c r="O195" s="14" t="str">
        <x:v>Bảo đảm thông tin đến từng ca/kíp trực và các cơ sở bị ảnh hưởng.</x:v>
      </x:c>
      <x:c r="P195" s="14" t="str">
        <x:v>Bản tin an toàn; safety notice; briefing; kênh nội bộ; hồ sơ xác nhận phổ biến.</x:v>
      </x:c>
      <x:c r="Q195" s="14" t="str">
        <x:v>Bản tin an toàn; safety notice; briefing; kênh nội bộ; hồ sơ xác nhận phổ biến.</x:v>
      </x:c>
      <x:c r="R195" s="14" t="str"/>
      <x:c r="S195" s="14" t="str">
        <x:v>Ban An toàn - Chất lượng</x:v>
      </x:c>
      <x:c r="T195" s="14" t="str">
        <x:v>Các Công ty Quản lý bay khu vực Bắc/Trung/Nam; Ban An toàn - Chất lượng</x:v>
      </x:c>
      <x:c r="U195" s="14" t="str"/>
      <x:c r="V195" s="14" t="str">
        <x:v>Thường xuyên; trước/sau thay đổi, sau sự cố và theo chu kỳ.</x:v>
      </x:c>
      <x:c r="W195" s="14" t="str">
        <x:v>P2</x:v>
      </x:c>
      <x:c r="X195" s="14" t="str"/>
      <x:c r="Y195" s="14" t="str">
        <x:v>Chưa bắt đầu</x:v>
      </x:c>
      <x:c r="Z195" s="14" t="str"/>
      <x:c r="AA195" s="14" t="str">
        <x:v>https://datafiles.chinhphu.vn/cpp/files/vbpq/2026/5/18-bxd.pdf</x:v>
      </x:c>
      <x:c r="AB195" s="14" t="str">
        <x:v>sms; an toan</x:v>
      </x:c>
    </x:row>
    <x:row r="196">
      <x:c r="A196" s="14" t="str">
        <x:v>VATM-0195</x:v>
      </x:c>
      <x:c r="B196" s="14" t="str">
        <x:v>13</x:v>
      </x:c>
      <x:c r="C196" s="14" t="str">
        <x:v>Thông tư 18/2026/TT-BXD - Chương trình an toàn HKDD</x:v>
      </x:c>
      <x:c r="D196" s="14" t="str">
        <x:v>Tong_hop_nhiem_vu_TT18_2026_TT_BXD_VATM_ANSP.xlsx</x:v>
      </x:c>
      <x:c r="E196" s="14" t="str">
        <x:v>02_ANSP_VATM</x:v>
      </x:c>
      <x:c r="F196" s="56" t="n">
        <x:v>14</x:v>
      </x:c>
      <x:c r="G196" s="14" t="str">
        <x:v>Chương trình Điều 15 khoản 4, khoản 6</x:v>
      </x:c>
      <x:c r="H196" s="14" t="str">
        <x:v>An toàn hàng không / SMS</x:v>
      </x:c>
      <x:c r="I196" s="14" t="str">
        <x:v>Bảo đảm an toàn, giám sát và audit</x:v>
      </x:c>
      <x:c r="J196" s="14" t="str">
        <x:v>Bảo vệ dữ liệu ATC/ANS</x:v>
      </x:c>
      <x:c r="K196" s="14" t="str">
        <x:v>Trực tiếp</x:v>
      </x:c>
      <x:c r="L196" s="14" t="str">
        <x:v>SMS/QLAT</x:v>
      </x:c>
      <x:c r="M196" s="14" t="str">
        <x:v>VATM</x:v>
      </x:c>
      <x:c r="N196" s="14" t="str">
        <x:v>Kiểm soát chặt chẽ dữ liệu ghi âm liên lạc kiểm soát không lưu và dữ liệu ghi âm/ghi hình môi trường làm việc tương tự; việc tiếp cận, sử dụng, cung cấp, công bố chỉ theo yêu cầu cơ quan nhà nước có thẩm quyền.</x:v>
      </x:c>
      <x:c r="O196" s="14" t="str">
        <x:v>Cần kiểm soát dữ liệu thoại, radar/ADS-B/MLAT, nhật ký ATS và dữ liệu điều hành liên quan.</x:v>
      </x:c>
      <x:c r="P196" s="14" t="str">
        <x:v>Quy định quản lý dữ liệu ghi âm/giám sát; phân quyền; log truy cập; quy trình cung cấp dữ liệu; hồ sơ yêu cầu/phê duyệt.</x:v>
      </x:c>
      <x:c r="Q196" s="14" t="str">
        <x:v>Quy định quản lý dữ liệu ghi âm/giám sát; phân quyền; log truy cập; quy trình cung cấp dữ liệu; hồ sơ yêu cầu/phê duyệt.</x:v>
      </x:c>
      <x:c r="R196" s="14" t="str"/>
      <x:c r="S196" s="14" t="str">
        <x:v>Ban An toàn - Chất lượng</x:v>
      </x:c>
      <x:c r="T196" s="14" t="str">
        <x:v>Các Công ty Quản lý bay khu vực Bắc/Trung/Nam; Ban An toàn - Chất lượng</x:v>
      </x:c>
      <x:c r="U196" s="14" t="str"/>
      <x:c r="V196" s="14" t="str">
        <x:v>Thường xuyên; mỗi lần khai thác/cung cấp dữ liệu.</x:v>
      </x:c>
      <x:c r="W196" s="14" t="str">
        <x:v>P2</x:v>
      </x:c>
      <x:c r="X196" s="14" t="str"/>
      <x:c r="Y196" s="14" t="str">
        <x:v>Chưa bắt đầu</x:v>
      </x:c>
      <x:c r="Z196" s="14" t="str"/>
      <x:c r="AA196" s="14" t="str">
        <x:v>https://datafiles.chinhphu.vn/cpp/files/vbpq/2026/5/18-bxd.pdf</x:v>
      </x:c>
      <x:c r="AB196" s="14" t="str">
        <x:v>sms; an toan; du lieu</x:v>
      </x:c>
    </x:row>
    <x:row r="197">
      <x:c r="A197" s="14" t="str">
        <x:v>VATM-0196</x:v>
      </x:c>
      <x:c r="B197" s="14" t="str">
        <x:v>14</x:v>
      </x:c>
      <x:c r="C197" s="14" t="str">
        <x:v>Thông tư 18/2026/TT-BXD - Chương trình an toàn HKDD</x:v>
      </x:c>
      <x:c r="D197" s="14" t="str">
        <x:v>Tong_hop_nhiem_vu_TT18_2026_TT_BXD_VATM_ANSP.xlsx</x:v>
      </x:c>
      <x:c r="E197" s="14" t="str">
        <x:v>02_ANSP_VATM</x:v>
      </x:c>
      <x:c r="F197" s="56" t="n">
        <x:v>15</x:v>
      </x:c>
      <x:c r="G197" s="14" t="str">
        <x:v>Chương trình Điều 18 khoản 1-4</x:v>
      </x:c>
      <x:c r="H197" s="14" t="str">
        <x:v>An toàn hàng không / SMS</x:v>
      </x:c>
      <x:c r="I197" s="14" t="str">
        <x:v>Báo cáo MOR, sự cố và điều tra</x:v>
      </x:c>
      <x:c r="J197" s="14" t="str">
        <x:v>Hệ thống báo cáo an toàn ANSP</x:v>
      </x:c>
      <x:c r="K197" s="14" t="str">
        <x:v>Trực tiếp</x:v>
      </x:c>
      <x:c r="L197" s="14" t="str">
        <x:v>Báo cáo/điều tra/khắc phục</x:v>
      </x:c>
      <x:c r="M197" s="14" t="str">
        <x:v>VATM</x:v>
      </x:c>
      <x:c r="N197" s="14" t="str">
        <x:v>Thiết lập hệ thống báo cáo an toàn tới Cục HKVN, bao gồm báo cáo bắt buộc, tự nguyện, điều tra/xác minh/giảng bình, định kỳ; hình thức giấy, điện tử hoặc số.</x:v>
      </x:c>
      <x:c r="O197" s="14" t="str">
        <x:v>Thiết kế luồng báo cáo từ cơ sở ATS/CNS/MET/AIS/AIM lên đầu mối VATM và Cục HKVN.</x:v>
      </x:c>
      <x:c r="P197" s="14" t="str">
        <x:v>Quy trình MOR/VOR/giảng bình/báo cáo định kỳ; cơ sở dữ liệu báo cáo; phân quyền xử lý; mẫu biểu.</x:v>
      </x:c>
      <x:c r="Q197" s="14" t="str">
        <x:v>Quy trình MOR/VOR/giảng bình/báo cáo định kỳ; cơ sở dữ liệu báo cáo; phân quyền xử lý; mẫu biểu.</x:v>
      </x:c>
      <x:c r="R197" s="14" t="str"/>
      <x:c r="S197" s="14" t="str">
        <x:v>Ban An toàn - Chất lượng</x:v>
      </x:c>
      <x:c r="T197" s="14" t="str">
        <x:v>Các Công ty Quản lý bay khu vực Bắc/Trung/Nam; Ban An toàn - Chất lượng</x:v>
      </x:c>
      <x:c r="U197" s="14" t="str"/>
      <x:c r="V197" s="14" t="str">
        <x:v>Duy trì thường xuyên; sẵn sàng kết nối dữ liệu số theo hướng dẫn Cục HKVN.</x:v>
      </x:c>
      <x:c r="W197" s="14" t="str">
        <x:v>P2</x:v>
      </x:c>
      <x:c r="X197" s="14" t="str"/>
      <x:c r="Y197" s="14" t="str">
        <x:v>Chưa bắt đầu</x:v>
      </x:c>
      <x:c r="Z197" s="14" t="str"/>
      <x:c r="AA197" s="14" t="str">
        <x:v>https://datafiles.chinhphu.vn/cpp/files/vbpq/2026/5/18-bxd.pdf</x:v>
      </x:c>
      <x:c r="AB197" s="14" t="str">
        <x:v>sms; an toan; mor</x:v>
      </x:c>
    </x:row>
    <x:row r="198">
      <x:c r="A198" s="14" t="str">
        <x:v>VATM-0197</x:v>
      </x:c>
      <x:c r="B198" s="14" t="str">
        <x:v>15</x:v>
      </x:c>
      <x:c r="C198" s="14" t="str">
        <x:v>Thông tư 18/2026/TT-BXD - Chương trình an toàn HKDD</x:v>
      </x:c>
      <x:c r="D198" s="14" t="str">
        <x:v>Tong_hop_nhiem_vu_TT18_2026_TT_BXD_VATM_ANSP.xlsx</x:v>
      </x:c>
      <x:c r="E198" s="14" t="str">
        <x:v>02_ANSP_VATM</x:v>
      </x:c>
      <x:c r="F198" s="56" t="n">
        <x:v>16</x:v>
      </x:c>
      <x:c r="G198" s="14" t="str">
        <x:v>Chương trình Điều 19; Phụ lục III Phần I Chương III</x:v>
      </x:c>
      <x:c r="H198" s="14" t="str">
        <x:v>An toàn hàng không / SMS</x:v>
      </x:c>
      <x:c r="I198" s="14" t="str">
        <x:v>Báo cáo MOR, sự cố và điều tra</x:v>
      </x:c>
      <x:c r="J198" s="14" t="str">
        <x:v>Danh mục MOR ANSP 24h</x:v>
      </x:c>
      <x:c r="K198" s="14" t="str">
        <x:v>Trực tiếp</x:v>
      </x:c>
      <x:c r="L198" s="14" t="str">
        <x:v>Báo cáo/điều tra/khắc phục</x:v>
      </x:c>
      <x:c r="M198" s="14" t="str">
        <x:v>VATM/cơ sở BĐHĐB</x:v>
      </x:c>
      <x:c r="N198" s="14" t="str">
        <x:v>Báo cáo trong vòng 24 giờ các sự cố, vụ việc thuộc Phụ lục III Chương III: sự cố tác động trực tiếp đến tàu bay; sự cố ảnh hưởng cung cấp dịch vụ BĐHĐB; các sự cố khác.</x:v>
      </x:c>
      <x:c r="O198" s="14" t="str">
        <x:v>Xem chi tiết từng mục có cột 'Áp dụng ANSP/VATM' tại sheet 05_MOR_PL_III.</x:v>
      </x:c>
      <x:c r="P198" s="14" t="str">
        <x:v>Báo cáo MOR; phân loại theo Mục 1-3; thông báo ban đầu; điều tra/xác minh nội bộ.</x:v>
      </x:c>
      <x:c r="Q198" s="14" t="str">
        <x:v>Báo cáo MOR; phân loại theo Mục 1-3; thông báo ban đầu; điều tra/xác minh nội bộ.</x:v>
      </x:c>
      <x:c r="R198" s="14" t="str"/>
      <x:c r="S198" s="14" t="str">
        <x:v>Ban An toàn - Chất lượng</x:v>
      </x:c>
      <x:c r="T198" s="14" t="str">
        <x:v>Các Công ty Quản lý bay khu vực Bắc/Trung/Nam; Ban An toàn - Chất lượng</x:v>
      </x:c>
      <x:c r="U198" s="14" t="str"/>
      <x:c r="V198" s="14" t="str">
        <x:v>Thông báo ngay; MOR tối đa 24 giờ; kết luận/xác minh trong 30 ngày nếu thuộc sự cố/tai nạn.</x:v>
      </x:c>
      <x:c r="W198" s="14" t="str">
        <x:v>P2</x:v>
      </x:c>
      <x:c r="X198" s="14" t="str"/>
      <x:c r="Y198" s="14" t="str">
        <x:v>Chưa bắt đầu</x:v>
      </x:c>
      <x:c r="Z198" s="14" t="str"/>
      <x:c r="AA198" s="14" t="str">
        <x:v>https://datafiles.chinhphu.vn/cpp/files/vbpq/2026/5/18-bxd.pdf</x:v>
      </x:c>
      <x:c r="AB198" s="14" t="str">
        <x:v>sms; an toan; mor</x:v>
      </x:c>
    </x:row>
    <x:row r="199">
      <x:c r="A199" s="14" t="str">
        <x:v>VATM-0198</x:v>
      </x:c>
      <x:c r="B199" s="14" t="str">
        <x:v>16</x:v>
      </x:c>
      <x:c r="C199" s="14" t="str">
        <x:v>Thông tư 18/2026/TT-BXD - Chương trình an toàn HKDD</x:v>
      </x:c>
      <x:c r="D199" s="14" t="str">
        <x:v>Tong_hop_nhiem_vu_TT18_2026_TT_BXD_VATM_ANSP.xlsx</x:v>
      </x:c>
      <x:c r="E199" s="14" t="str">
        <x:v>02_ANSP_VATM</x:v>
      </x:c>
      <x:c r="F199" s="56" t="n">
        <x:v>17</x:v>
      </x:c>
      <x:c r="G199" s="14" t="str">
        <x:v>Chương trình Điều 19 khoản 2(b); Phụ lục III Phần II</x:v>
      </x:c>
      <x:c r="H199" s="14" t="str">
        <x:v>An toàn hàng không / SMS</x:v>
      </x:c>
      <x:c r="I199" s="14" t="str">
        <x:v>Quản lý rủi ro và thay đổi</x:v>
      </x:c>
      <x:c r="J199" s="14" t="str">
        <x:v>Vụ việc ANSP báo cáo 72h</x:v>
      </x:c>
      <x:c r="K199" s="14" t="str">
        <x:v>Trực tiếp</x:v>
      </x:c>
      <x:c r="L199" s="14" t="str">
        <x:v>Báo cáo/điều tra/khắc phục</x:v>
      </x:c>
      <x:c r="M199" s="14" t="str">
        <x:v>VATM/cơ sở BĐHĐB</x:v>
      </x:c>
      <x:c r="N199" s="14" t="str">
        <x:v>Báo cáo trong vòng 72 giờ các vụ việc khác không phải sự cố/tai nạn nhưng cần thống kê/phân tích để nhận diện mối nguy và kiểm soát rủi ro, nếu đã/có nguy cơ gián đoạn hoạt động bay hoặc suy giảm/gián đoạn năng lực cung cấp dịch vụ.</x:v>
      </x:c>
      <x:c r="O199" s="14" t="str">
        <x:v>Áp dụng với suy giảm năng lực ATS/CNS/MET/AIS/AIM chưa đến mức sự cố 24h nhưng có ảnh hưởng/rủi ro.</x:v>
      </x:c>
      <x:c r="P199" s="14" t="str">
        <x:v>Báo cáo vụ việc; dữ liệu thống kê; cập nhật hazard register nếu cần.</x:v>
      </x:c>
      <x:c r="Q199" s="14" t="str">
        <x:v>Báo cáo vụ việc; dữ liệu thống kê; cập nhật hazard register nếu cần.</x:v>
      </x:c>
      <x:c r="R199" s="14" t="str"/>
      <x:c r="S199" s="14" t="str">
        <x:v>Ban An toàn - Chất lượng</x:v>
      </x:c>
      <x:c r="T199" s="14" t="str">
        <x:v>Các Công ty Quản lý bay khu vực Bắc/Trung/Nam; Ban An toàn - Chất lượng</x:v>
      </x:c>
      <x:c r="U199" s="14" t="str"/>
      <x:c r="V199" s="14" t="str">
        <x:v>Tối đa 72 giờ kể từ khi phát hiện/xảy ra.</x:v>
      </x:c>
      <x:c r="W199" s="14" t="str">
        <x:v>P2</x:v>
      </x:c>
      <x:c r="X199" s="14" t="str"/>
      <x:c r="Y199" s="14" t="str">
        <x:v>Chưa bắt đầu</x:v>
      </x:c>
      <x:c r="Z199" s="14" t="str"/>
      <x:c r="AA199" s="14" t="str">
        <x:v>https://datafiles.chinhphu.vn/cpp/files/vbpq/2026/5/18-bxd.pdf</x:v>
      </x:c>
      <x:c r="AB199" s="14" t="str">
        <x:v>sms; an toan</x:v>
      </x:c>
    </x:row>
    <x:row r="200">
      <x:c r="A200" s="14" t="str">
        <x:v>VATM-0199</x:v>
      </x:c>
      <x:c r="B200" s="14" t="str">
        <x:v>17</x:v>
      </x:c>
      <x:c r="C200" s="14" t="str">
        <x:v>Thông tư 18/2026/TT-BXD - Chương trình an toàn HKDD</x:v>
      </x:c>
      <x:c r="D200" s="14" t="str">
        <x:v>Tong_hop_nhiem_vu_TT18_2026_TT_BXD_VATM_ANSP.xlsx</x:v>
      </x:c>
      <x:c r="E200" s="14" t="str">
        <x:v>02_ANSP_VATM</x:v>
      </x:c>
      <x:c r="F200" s="56" t="n">
        <x:v>18</x:v>
      </x:c>
      <x:c r="G200" s="14" t="str">
        <x:v>Thông tư Điều 2 khoản 2; Chương trình Điều 10; Phụ lục II Điều 5, Điều 8</x:v>
      </x:c>
      <x:c r="H200" s="14" t="str">
        <x:v>An toàn hàng không / SMS</x:v>
      </x:c>
      <x:c r="I200" s="14" t="str">
        <x:v>Báo cáo MOR, sự cố và điều tra</x:v>
      </x:c>
      <x:c r="J200" s="14" t="str">
        <x:v>SPI ANSP</x:v>
      </x:c>
      <x:c r="K200" s="14" t="str">
        <x:v>Trực tiếp</x:v>
      </x:c>
      <x:c r="L200" s="14" t="str">
        <x:v>Báo cáo/điều tra/khắc phục</x:v>
      </x:c>
      <x:c r="M200" s="14" t="str">
        <x:v>VATM/cơ sở BĐHĐB</x:v>
      </x:c>
      <x:c r="N200" s="14" t="str">
        <x:v>Theo dõi, phân tích, đáp ứng chỉ tiêu đối với các SPI ANS-01 đến ANS-09 và SPI chung GEN-01 đến GEN-05; xây dựng bộ SPI/SPT nội bộ và báo cáo kết quả thực hiện.</x:v>
      </x:c>
      <x:c r="O200" s="14" t="str">
        <x:v>Xem danh sách đầy đủ tại sheet 04_SPI_PL_II; lọc nhóm ANSP và GEN.</x:v>
      </x:c>
      <x:c r="P200" s="14" t="str">
        <x:v>Bảng SPI; phương pháp tính; nguồn dữ liệu; trend; ngưỡng cảnh báo; hành động cải thiện.</x:v>
      </x:c>
      <x:c r="Q200" s="14" t="str">
        <x:v>Bảng SPI; phương pháp tính; nguồn dữ liệu; trend; ngưỡng cảnh báo; hành động cải thiện.</x:v>
      </x:c>
      <x:c r="R200" s="14" t="str"/>
      <x:c r="S200" s="14" t="str">
        <x:v>Ban An toàn - Chất lượng</x:v>
      </x:c>
      <x:c r="T200" s="14" t="str">
        <x:v>Các Công ty Quản lý bay khu vực Bắc/Trung/Nam; Ban An toàn - Chất lượng</x:v>
      </x:c>
      <x:c r="U200" s="14" t="str"/>
      <x:c r="V200" s="14" t="str">
        <x:v>Theo tháng/quý/năm; quy định SPI/SPT áp dụng từ 01/01/2027; Cục HKVN công bố SPT trước 15/01 hằng năm.</x:v>
      </x:c>
      <x:c r="W200" s="14" t="str">
        <x:v>P2</x:v>
      </x:c>
      <x:c r="X200" s="14" t="str"/>
      <x:c r="Y200" s="14" t="str">
        <x:v>Chưa bắt đầu</x:v>
      </x:c>
      <x:c r="Z200" s="14" t="str"/>
      <x:c r="AA200" s="14" t="str">
        <x:v>https://datafiles.chinhphu.vn/cpp/files/vbpq/2026/5/18-bxd.pdf</x:v>
      </x:c>
      <x:c r="AB200" s="14" t="str">
        <x:v>sms; an toan; mor; ans; spi; spt</x:v>
      </x:c>
    </x:row>
    <x:row r="201">
      <x:c r="A201" s="14" t="str">
        <x:v>VATM-0200</x:v>
      </x:c>
      <x:c r="B201" s="14" t="str">
        <x:v>18</x:v>
      </x:c>
      <x:c r="C201" s="14" t="str">
        <x:v>Thông tư 18/2026/TT-BXD - Chương trình an toàn HKDD</x:v>
      </x:c>
      <x:c r="D201" s="14" t="str">
        <x:v>Tong_hop_nhiem_vu_TT18_2026_TT_BXD_VATM_ANSP.xlsx</x:v>
      </x:c>
      <x:c r="E201" s="14" t="str">
        <x:v>02_ANSP_VATM</x:v>
      </x:c>
      <x:c r="F201" s="56" t="n">
        <x:v>19</x:v>
      </x:c>
      <x:c r="G201" s="14" t="str">
        <x:v>Chương trình Điều 22</x:v>
      </x:c>
      <x:c r="H201" s="14" t="str">
        <x:v>An toàn hàng không / SMS</x:v>
      </x:c>
      <x:c r="I201" s="14" t="str">
        <x:v>Quản lý rủi ro và thay đổi</x:v>
      </x:c>
      <x:c r="J201" s="14" t="str">
        <x:v>Báo cáo an toàn định kỳ của ANSP</x:v>
      </x:c>
      <x:c r="K201" s="14" t="str">
        <x:v>Trực tiếp</x:v>
      </x:c>
      <x:c r="L201" s="14" t="str">
        <x:v>Báo cáo/điều tra/khắc phục</x:v>
      </x:c>
      <x:c r="M201" s="14" t="str">
        <x:v>VATM</x:v>
      </x:c>
      <x:c r="N201" s="14" t="str">
        <x:v>Gửi báo cáo an toàn tháng/quý/năm đến Cục HKVN với nội dung hoạt động, sự cố/tai nạn/vụ việc, SPI/SPT thực tế và xu hướng, biện pháp khi tiếp cận/vượt ngưỡng, mối nguy, kiến nghị; báo cáo năm bổ sung đánh giá SPT, danh mục mối nguy và SPT dự kiến năm sau.</x:v>
      </x:c>
      <x:c r="O201" s="14" t="str">
        <x:v>Cần khóa dữ liệu từ đơn vị cơ sở trước hạn để đảm bảo phê duyệt cấp Tổng công ty.</x:v>
      </x:c>
      <x:c r="P201" s="14" t="str">
        <x:v>Báo cáo tháng/quý/năm; phụ lục SPI ANS/GEN; hazard register; kế hoạch năm sau.</x:v>
      </x:c>
      <x:c r="Q201" s="14" t="str">
        <x:v>Báo cáo tháng/quý/năm; phụ lục SPI ANS/GEN; hazard register; kế hoạch năm sau.</x:v>
      </x:c>
      <x:c r="R201" s="14" t="str"/>
      <x:c r="S201" s="14" t="str">
        <x:v>Ban An toàn - Chất lượng</x:v>
      </x:c>
      <x:c r="T201" s="14" t="str">
        <x:v>Các Công ty Quản lý bay khu vực Bắc/Trung/Nam; Ban An toàn - Chất lượng</x:v>
      </x:c>
      <x:c r="U201" s="14" t="str"/>
      <x:c r="V201" s="14" t="str">
        <x:v>Tháng trước ngày 17; quý trước ngày 17 tháng 3/6/9; năm trước 17/12; số liệu từ ngày 16 tháng trước đến 15 tháng sau.</x:v>
      </x:c>
      <x:c r="W201" s="14" t="str">
        <x:v>P2</x:v>
      </x:c>
      <x:c r="X201" s="14" t="str"/>
      <x:c r="Y201" s="14" t="str">
        <x:v>Chưa bắt đầu</x:v>
      </x:c>
      <x:c r="Z201" s="14" t="str"/>
      <x:c r="AA201" s="14" t="str">
        <x:v>https://datafiles.chinhphu.vn/cpp/files/vbpq/2026/5/18-bxd.pdf</x:v>
      </x:c>
      <x:c r="AB201" s="14" t="str">
        <x:v>sms; an toan; spi; spt</x:v>
      </x:c>
    </x:row>
    <x:row r="202">
      <x:c r="A202" s="14" t="str">
        <x:v>VATM-0201</x:v>
      </x:c>
      <x:c r="B202" s="14" t="str">
        <x:v>19</x:v>
      </x:c>
      <x:c r="C202" s="14" t="str">
        <x:v>Thông tư 18/2026/TT-BXD - Chương trình an toàn HKDD</x:v>
      </x:c>
      <x:c r="D202" s="14" t="str">
        <x:v>Tong_hop_nhiem_vu_TT18_2026_TT_BXD_VATM_ANSP.xlsx</x:v>
      </x:c>
      <x:c r="E202" s="14" t="str">
        <x:v>02_ANSP_VATM</x:v>
      </x:c>
      <x:c r="F202" s="56" t="n">
        <x:v>20</x:v>
      </x:c>
      <x:c r="G202" s="14" t="str">
        <x:v>Chương trình Điều 12 khoản 4; Phụ lục II GEN-02, GEN-03</x:v>
      </x:c>
      <x:c r="H202" s="14" t="str">
        <x:v>An toàn hàng không / SMS</x:v>
      </x:c>
      <x:c r="I202" s="14" t="str">
        <x:v>Quản lý rủi ro và thay đổi</x:v>
      </x:c>
      <x:c r="J202" s="14" t="str">
        <x:v>Giám sát và khắc phục sau kiểm tra</x:v>
      </x:c>
      <x:c r="K202" s="14" t="str">
        <x:v>Trực tiếp</x:v>
      </x:c>
      <x:c r="L202" s="14" t="str">
        <x:v>Báo cáo/điều tra/khắc phục</x:v>
      </x:c>
      <x:c r="M202" s="14" t="str">
        <x:v>VATM</x:v>
      </x:c>
      <x:c r="N202" s="14" t="str">
        <x:v>Phối hợp, chấp hành giám sát an toàn của Nhà chức trách; thực hiện đầy đủ, đúng hạn nội dung không phù hợp, khuyến cáo an toàn, kiến nghị an toàn và biện pháp kiểm soát rủi ro.</x:v>
      </x:c>
      <x:c r="O202" s="14" t="str">
        <x:v>Thiết lập danh mục khuyến cáo/điểm không tuân thủ và cảnh báo quá hạn.</x:v>
      </x:c>
      <x:c r="P202" s="14" t="str">
        <x:v>Kế hoạch CAPA; bằng chứng đóng hành động; báo cáo tiến độ; theo dõi GEN-02/GEN-03.</x:v>
      </x:c>
      <x:c r="Q202" s="14" t="str">
        <x:v>Kế hoạch CAPA; bằng chứng đóng hành động; báo cáo tiến độ; theo dõi GEN-02/GEN-03.</x:v>
      </x:c>
      <x:c r="R202" s="14" t="str"/>
      <x:c r="S202" s="14" t="str">
        <x:v>Ban An toàn - Chất lượng</x:v>
      </x:c>
      <x:c r="T202" s="14" t="str">
        <x:v>Các Công ty Quản lý bay khu vực Bắc/Trung/Nam; Ban An toàn - Chất lượng</x:v>
      </x:c>
      <x:c r="U202" s="14" t="str"/>
      <x:c r="V202" s="14" t="str">
        <x:v>Theo thời hạn Cục HKVN/Nhà chức trách yêu cầu.</x:v>
      </x:c>
      <x:c r="W202" s="14" t="str">
        <x:v>P2</x:v>
      </x:c>
      <x:c r="X202" s="14" t="str"/>
      <x:c r="Y202" s="14" t="str">
        <x:v>Chưa bắt đầu</x:v>
      </x:c>
      <x:c r="Z202" s="14" t="str"/>
      <x:c r="AA202" s="14" t="str">
        <x:v>https://datafiles.chinhphu.vn/cpp/files/vbpq/2026/5/18-bxd.pdf</x:v>
      </x:c>
      <x:c r="AB202" s="14" t="str">
        <x:v>sms; an toan</x:v>
      </x:c>
    </x:row>
    <x:row r="203">
      <x:c r="A203" s="14" t="str">
        <x:v>VATM-0202</x:v>
      </x:c>
      <x:c r="B203" s="14" t="str">
        <x:v>20</x:v>
      </x:c>
      <x:c r="C203" s="14" t="str">
        <x:v>Thông tư 18/2026/TT-BXD - Chương trình an toàn HKDD</x:v>
      </x:c>
      <x:c r="D203" s="14" t="str">
        <x:v>Tong_hop_nhiem_vu_TT18_2026_TT_BXD_VATM_ANSP.xlsx</x:v>
      </x:c>
      <x:c r="E203" s="14" t="str">
        <x:v>02_ANSP_VATM</x:v>
      </x:c>
      <x:c r="F203" s="56" t="n">
        <x:v>21</x:v>
      </x:c>
      <x:c r="G203" s="14" t="str">
        <x:v>Chương trình Điều 16 khoản 2</x:v>
      </x:c>
      <x:c r="H203" s="14" t="str">
        <x:v>An toàn hàng không / SMS</x:v>
      </x:c>
      <x:c r="I203" s="14" t="str">
        <x:v>Khung SMS và quản trị an toàn</x:v>
      </x:c>
      <x:c r="J203" s="14" t="str">
        <x:v>Thông tin/khuyến cáo an toàn trong VATM</x:v>
      </x:c>
      <x:c r="K203" s="14" t="str">
        <x:v>Trực tiếp</x:v>
      </x:c>
      <x:c r="L203" s="14" t="str">
        <x:v>SMS/QLAT</x:v>
      </x:c>
      <x:c r="M203" s="14" t="str">
        <x:v>VATM</x:v>
      </x:c>
      <x:c r="N203" s="14" t="str">
        <x:v>Thu thập, ghi nhận, phân tích, lưu giữ, bảo mật dữ liệu an toàn; kịp thời chia sẻ/cung cấp dữ liệu cho Cục HKVN theo yêu cầu; phổ biến kịp thời khuyến cáo an toàn của Cục HKVN và thông tin an toàn nội bộ/liên quan.</x:v>
      </x:c>
      <x:c r="O203" s="14" t="str">
        <x:v>Thiết lập luồng phản hồi để bảo đảm khuyến cáo đã được tiếp nhận và thực hiện tại cơ sở.</x:v>
      </x:c>
      <x:c r="P203" s="14" t="str">
        <x:v>Cơ sở dữ liệu an toàn; bản tin/khuyến cáo; hồ sơ cung cấp dữ liệu; log phổ biến đến ca/kíp/đơn vị.</x:v>
      </x:c>
      <x:c r="Q203" s="14" t="str">
        <x:v>Cơ sở dữ liệu an toàn; bản tin/khuyến cáo; hồ sơ cung cấp dữ liệu; log phổ biến đến ca/kíp/đơn vị.</x:v>
      </x:c>
      <x:c r="R203" s="14" t="str"/>
      <x:c r="S203" s="14" t="str">
        <x:v>Ban An toàn - Chất lượng</x:v>
      </x:c>
      <x:c r="T203" s="14" t="str">
        <x:v>Các Công ty Quản lý bay khu vực Bắc/Trung/Nam; Ban An toàn - Chất lượng</x:v>
      </x:c>
      <x:c r="U203" s="14" t="str"/>
      <x:c r="V203" s="14" t="str">
        <x:v>Thường xuyên; kịp thời khi có yêu cầu hoặc thông tin mới.</x:v>
      </x:c>
      <x:c r="W203" s="14" t="str">
        <x:v>P2</x:v>
      </x:c>
      <x:c r="X203" s="14" t="str"/>
      <x:c r="Y203" s="14" t="str">
        <x:v>Chưa bắt đầu</x:v>
      </x:c>
      <x:c r="Z203" s="14" t="str"/>
      <x:c r="AA203" s="14" t="str">
        <x:v>https://datafiles.chinhphu.vn/cpp/files/vbpq/2026/5/18-bxd.pdf</x:v>
      </x:c>
      <x:c r="AB203" s="14" t="str">
        <x:v>sms; an toan; du lieu</x:v>
      </x:c>
    </x:row>
    <x:row r="204">
      <x:c r="A204" s="14" t="str">
        <x:v>VATM-0203</x:v>
      </x:c>
      <x:c r="B204" s="14" t="str">
        <x:v>1</x:v>
      </x:c>
      <x:c r="C204" s="14" t="str">
        <x:v>Thông tư 18/2026/TT-BXD - Chương trình an toàn HKDD</x:v>
      </x:c>
      <x:c r="D204" s="14" t="str">
        <x:v>Tong_hop_nhiem_vu_TT18_2026_TT_BXD_VATM_ANSP.xlsx</x:v>
      </x:c>
      <x:c r="E204" s="14" t="str">
        <x:v>03_SMS_PL_I</x:v>
      </x:c>
      <x:c r="F204" s="56" t="n">
        <x:v>2</x:v>
      </x:c>
      <x:c r="G204" s="14" t="str">
        <x:v>Điều 1 khoản 1(a)</x:v>
      </x:c>
      <x:c r="H204" s="14" t="str">
        <x:v>An toàn hàng không / SMS</x:v>
      </x:c>
      <x:c r="I204" s="14" t="str">
        <x:v>Khung SMS và quản trị an toàn</x:v>
      </x:c>
      <x:c r="J204" s="14" t="str">
        <x:v>1. Chính sách và mục tiêu - Chính sách an toàn</x:v>
      </x:c>
      <x:c r="K204" s="14" t="str">
        <x:v>Trực tiếp</x:v>
      </x:c>
      <x:c r="L204" s="14" t="str">
        <x:v>SMS/QLAT</x:v>
      </x:c>
      <x:c r="M204" s="14" t="str"/>
      <x:c r="N204" s="14" t="str">
        <x:v>Chính sách an toàn phản ánh cam kết của tổ chức đối với an toàn, bao gồm thúc đẩy văn hóa an toàn tích cực.</x:v>
      </x:c>
      <x:c r="O204" s="14" t="str"/>
      <x:c r="P204" s="14" t="str">
        <x:v>Chính sách an toàn; thông điệp/cam kết của lãnh đạo; chương trình văn hóa an toàn.</x:v>
      </x:c>
      <x:c r="Q204" s="14" t="str">
        <x:v>Chính sách an toàn; thông điệp/cam kết của lãnh đạo; chương trình văn hóa an toàn.</x:v>
      </x:c>
      <x:c r="R204" s="14" t="str"/>
      <x:c r="S204" s="14" t="str">
        <x:v>Ban An toàn - Chất lượng</x:v>
      </x:c>
      <x:c r="T204" s="14" t="str">
        <x:v>Các Công ty Quản lý bay khu vực Bắc/Trung/Nam; Ban An toàn - Chất lượng</x:v>
      </x:c>
      <x:c r="U204" s="14" t="str"/>
      <x:c r="V204" s="14" t="str">
        <x:v>Rà soát hằng năm và khi thay đổi lớn.</x:v>
      </x:c>
      <x:c r="W204" s="14" t="str">
        <x:v>P2</x:v>
      </x:c>
      <x:c r="X204" s="14" t="str"/>
      <x:c r="Y204" s="14" t="str">
        <x:v>Chưa bắt đầu</x:v>
      </x:c>
      <x:c r="Z204" s="14" t="str"/>
      <x:c r="AA204" s="14" t="str">
        <x:v>https://datafiles.chinhphu.vn/cpp/files/vbpq/2026/5/18-bxd.pdf</x:v>
      </x:c>
      <x:c r="AB204" s="14" t="str">
        <x:v>sms; an toan</x:v>
      </x:c>
    </x:row>
    <x:row r="205">
      <x:c r="A205" s="14" t="str">
        <x:v>VATM-0204</x:v>
      </x:c>
      <x:c r="B205" s="14" t="str">
        <x:v>2</x:v>
      </x:c>
      <x:c r="C205" s="14" t="str">
        <x:v>Thông tư 18/2026/TT-BXD - Chương trình an toàn HKDD</x:v>
      </x:c>
      <x:c r="D205" s="14" t="str">
        <x:v>Tong_hop_nhiem_vu_TT18_2026_TT_BXD_VATM_ANSP.xlsx</x:v>
      </x:c>
      <x:c r="E205" s="14" t="str">
        <x:v>03_SMS_PL_I</x:v>
      </x:c>
      <x:c r="F205" s="56" t="n">
        <x:v>3</x:v>
      </x:c>
      <x:c r="G205" s="14" t="str">
        <x:v>Điều 1 khoản 1(b)</x:v>
      </x:c>
      <x:c r="H205" s="14" t="str">
        <x:v>An toàn hàng không / SMS</x:v>
      </x:c>
      <x:c r="I205" s="14" t="str">
        <x:v>Khung SMS và quản trị an toàn</x:v>
      </x:c>
      <x:c r="J205" s="14" t="str">
        <x:v>1. Chính sách và mục tiêu - Nguồn lực</x:v>
      </x:c>
      <x:c r="K205" s="14" t="str">
        <x:v>Trực tiếp</x:v>
      </x:c>
      <x:c r="L205" s="14" t="str">
        <x:v>SMS/QLAT</x:v>
      </x:c>
      <x:c r="M205" s="14" t="str"/>
      <x:c r="N205" s="14" t="str">
        <x:v>Chính sách bao gồm tuyên bố rõ ràng về việc cung cấp nguồn lực cần thiết để triển khai chính sách an toàn.</x:v>
      </x:c>
      <x:c r="O205" s="14" t="str"/>
      <x:c r="P205" s="14" t="str">
        <x:v>Tuyên bố nguồn lực; kế hoạch nhân lực/tài chính/công cụ cho SMS.</x:v>
      </x:c>
      <x:c r="Q205" s="14" t="str">
        <x:v>Tuyên bố nguồn lực; kế hoạch nhân lực/tài chính/công cụ cho SMS.</x:v>
      </x:c>
      <x:c r="R205" s="14" t="str"/>
      <x:c r="S205" s="14" t="str">
        <x:v>Ban An toàn - Chất lượng</x:v>
      </x:c>
      <x:c r="T205" s="14" t="str">
        <x:v>Các Công ty Quản lý bay khu vực Bắc/Trung/Nam; Ban An toàn - Chất lượng</x:v>
      </x:c>
      <x:c r="U205" s="14" t="str"/>
      <x:c r="V205" s="14" t="str">
        <x:v>Hằng năm trong kế hoạch nguồn lực.</x:v>
      </x:c>
      <x:c r="W205" s="14" t="str">
        <x:v>P2</x:v>
      </x:c>
      <x:c r="X205" s="14" t="str"/>
      <x:c r="Y205" s="14" t="str">
        <x:v>Chưa bắt đầu</x:v>
      </x:c>
      <x:c r="Z205" s="14" t="str"/>
      <x:c r="AA205" s="14" t="str">
        <x:v>https://datafiles.chinhphu.vn/cpp/files/vbpq/2026/5/18-bxd.pdf</x:v>
      </x:c>
      <x:c r="AB205" s="14" t="str">
        <x:v>sms; an toan</x:v>
      </x:c>
    </x:row>
    <x:row r="206">
      <x:c r="A206" s="14" t="str">
        <x:v>VATM-0205</x:v>
      </x:c>
      <x:c r="B206" s="14" t="str">
        <x:v>3</x:v>
      </x:c>
      <x:c r="C206" s="14" t="str">
        <x:v>Thông tư 18/2026/TT-BXD - Chương trình an toàn HKDD</x:v>
      </x:c>
      <x:c r="D206" s="14" t="str">
        <x:v>Tong_hop_nhiem_vu_TT18_2026_TT_BXD_VATM_ANSP.xlsx</x:v>
      </x:c>
      <x:c r="E206" s="14" t="str">
        <x:v>03_SMS_PL_I</x:v>
      </x:c>
      <x:c r="F206" s="56" t="n">
        <x:v>4</x:v>
      </x:c>
      <x:c r="G206" s="14" t="str">
        <x:v>Điều 1 khoản 1(c)</x:v>
      </x:c>
      <x:c r="H206" s="14" t="str">
        <x:v>An toàn hàng không / SMS</x:v>
      </x:c>
      <x:c r="I206" s="14" t="str">
        <x:v>Khung SMS và quản trị an toàn</x:v>
      </x:c>
      <x:c r="J206" s="14" t="str">
        <x:v>1. Chính sách và mục tiêu - Báo cáo an toàn</x:v>
      </x:c>
      <x:c r="K206" s="14" t="str">
        <x:v>Trực tiếp</x:v>
      </x:c>
      <x:c r="L206" s="14" t="str">
        <x:v>Báo cáo/điều tra/khắc phục</x:v>
      </x:c>
      <x:c r="M206" s="14" t="str"/>
      <x:c r="N206" s="14" t="str">
        <x:v>Chính sách bao gồm các quy trình báo cáo an toàn.</x:v>
      </x:c>
      <x:c r="O206" s="14" t="str"/>
      <x:c r="P206" s="14" t="str">
        <x:v>Quy trình báo cáo bắt buộc/tự nguyện/giảng bình/định kỳ; kênh tiếp nhận.</x:v>
      </x:c>
      <x:c r="Q206" s="14" t="str">
        <x:v>Quy trình báo cáo bắt buộc/tự nguyện/giảng bình/định kỳ; kênh tiếp nhận.</x:v>
      </x:c>
      <x:c r="R206" s="14" t="str"/>
      <x:c r="S206" s="14" t="str">
        <x:v>Ban An toàn - Chất lượng</x:v>
      </x:c>
      <x:c r="T206" s="14" t="str">
        <x:v>Các Công ty Quản lý bay khu vực Bắc/Trung/Nam; Ban An toàn - Chất lượng</x:v>
      </x:c>
      <x:c r="U206" s="14" t="str"/>
      <x:c r="V206" s="14" t="str">
        <x:v>Duy trì; cập nhật khi thay đổi quy trình.</x:v>
      </x:c>
      <x:c r="W206" s="14" t="str">
        <x:v>P2</x:v>
      </x:c>
      <x:c r="X206" s="14" t="str"/>
      <x:c r="Y206" s="14" t="str">
        <x:v>Chưa bắt đầu</x:v>
      </x:c>
      <x:c r="Z206" s="14" t="str"/>
      <x:c r="AA206" s="14" t="str">
        <x:v>https://datafiles.chinhphu.vn/cpp/files/vbpq/2026/5/18-bxd.pdf</x:v>
      </x:c>
      <x:c r="AB206" s="14" t="str">
        <x:v>sms; an toan</x:v>
      </x:c>
    </x:row>
    <x:row r="207">
      <x:c r="A207" s="14" t="str">
        <x:v>VATM-0206</x:v>
      </x:c>
      <x:c r="B207" s="14" t="str">
        <x:v>4</x:v>
      </x:c>
      <x:c r="C207" s="14" t="str">
        <x:v>Thông tư 18/2026/TT-BXD - Chương trình an toàn HKDD</x:v>
      </x:c>
      <x:c r="D207" s="14" t="str">
        <x:v>Tong_hop_nhiem_vu_TT18_2026_TT_BXD_VATM_ANSP.xlsx</x:v>
      </x:c>
      <x:c r="E207" s="14" t="str">
        <x:v>03_SMS_PL_I</x:v>
      </x:c>
      <x:c r="F207" s="56" t="n">
        <x:v>5</x:v>
      </x:c>
      <x:c r="G207" s="14" t="str">
        <x:v>Điều 1 khoản 1(d)</x:v>
      </x:c>
      <x:c r="H207" s="14" t="str">
        <x:v>An toàn hàng không / SMS</x:v>
      </x:c>
      <x:c r="I207" s="14" t="str">
        <x:v>Khung SMS và quản trị an toàn</x:v>
      </x:c>
      <x:c r="J207" s="14" t="str">
        <x:v>1. Chính sách và mục tiêu - Hành vi không thể chấp nhận</x:v>
      </x:c>
      <x:c r="K207" s="14" t="str">
        <x:v>Trực tiếp</x:v>
      </x:c>
      <x:c r="L207" s="14" t="str">
        <x:v>SMS/QLAT</x:v>
      </x:c>
      <x:c r="M207" s="14" t="str"/>
      <x:c r="N207" s="14" t="str">
        <x:v>Chính sách nêu rõ các loại hành vi không thể chấp nhận liên quan đến hoạt động hàng không của tổ chức cung cấp dịch vụ hàng không và các trường hợp hành động kỷ luật sẽ không được áp dụng.</x:v>
      </x:c>
      <x:c r="O207" s="14" t="str"/>
      <x:c r="P207" s="14" t="str">
        <x:v>Chính sách văn hóa công bằng/just culture nội bộ; tiêu chí hành vi không chấp nhận; nguyên tắc không kỷ luật phù hợp pháp luật.</x:v>
      </x:c>
      <x:c r="Q207" s="14" t="str">
        <x:v>Chính sách văn hóa công bằng/just culture nội bộ; tiêu chí hành vi không chấp nhận; nguyên tắc không kỷ luật phù hợp pháp luật.</x:v>
      </x:c>
      <x:c r="R207" s="14" t="str"/>
      <x:c r="S207" s="14" t="str">
        <x:v>Ban An toàn - Chất lượng</x:v>
      </x:c>
      <x:c r="T207" s="14" t="str">
        <x:v>Các Công ty Quản lý bay khu vực Bắc/Trung/Nam; Ban An toàn - Chất lượng</x:v>
      </x:c>
      <x:c r="U207" s="14" t="str"/>
      <x:c r="V207" s="14" t="str">
        <x:v>Rà soát hằng năm.</x:v>
      </x:c>
      <x:c r="W207" s="14" t="str">
        <x:v>P2</x:v>
      </x:c>
      <x:c r="X207" s="14" t="str"/>
      <x:c r="Y207" s="14" t="str">
        <x:v>Chưa bắt đầu</x:v>
      </x:c>
      <x:c r="Z207" s="14" t="str"/>
      <x:c r="AA207" s="14" t="str">
        <x:v>https://datafiles.chinhphu.vn/cpp/files/vbpq/2026/5/18-bxd.pdf</x:v>
      </x:c>
      <x:c r="AB207" s="14" t="str">
        <x:v>sms; an toan</x:v>
      </x:c>
    </x:row>
    <x:row r="208">
      <x:c r="A208" s="14" t="str">
        <x:v>VATM-0207</x:v>
      </x:c>
      <x:c r="B208" s="14" t="str">
        <x:v>5</x:v>
      </x:c>
      <x:c r="C208" s="14" t="str">
        <x:v>Thông tư 18/2026/TT-BXD - Chương trình an toàn HKDD</x:v>
      </x:c>
      <x:c r="D208" s="14" t="str">
        <x:v>Tong_hop_nhiem_vu_TT18_2026_TT_BXD_VATM_ANSP.xlsx</x:v>
      </x:c>
      <x:c r="E208" s="14" t="str">
        <x:v>03_SMS_PL_I</x:v>
      </x:c>
      <x:c r="F208" s="56" t="n">
        <x:v>6</x:v>
      </x:c>
      <x:c r="G208" s="14" t="str">
        <x:v>Điều 1 khoản 1(đ)</x:v>
      </x:c>
      <x:c r="H208" s="14" t="str">
        <x:v>An toàn hàng không / SMS</x:v>
      </x:c>
      <x:c r="I208" s="14" t="str">
        <x:v>Khung SMS và quản trị an toàn</x:v>
      </x:c>
      <x:c r="J208" s="14" t="str">
        <x:v>1. Chính sách và mục tiêu - Ký ban hành</x:v>
      </x:c>
      <x:c r="K208" s="14" t="str">
        <x:v>Trực tiếp</x:v>
      </x:c>
      <x:c r="L208" s="14" t="str">
        <x:v>SMS/QLAT</x:v>
      </x:c>
      <x:c r="M208" s="14" t="str"/>
      <x:c r="N208" s="14" t="str">
        <x:v>Chính sách an toàn được ký bởi người đứng đầu tổ chức theo quy định pháp luật.</x:v>
      </x:c>
      <x:c r="O208" s="14" t="str"/>
      <x:c r="P208" s="14" t="str">
        <x:v>Bản chính sách có chữ ký/chữ ký số hợp lệ.</x:v>
      </x:c>
      <x:c r="Q208" s="14" t="str">
        <x:v>Bản chính sách có chữ ký/chữ ký số hợp lệ.</x:v>
      </x:c>
      <x:c r="R208" s="14" t="str"/>
      <x:c r="S208" s="14" t="str">
        <x:v>Ban An toàn - Chất lượng</x:v>
      </x:c>
      <x:c r="T208" s="14" t="str">
        <x:v>Các Công ty Quản lý bay khu vực Bắc/Trung/Nam; Ban An toàn - Chất lượng</x:v>
      </x:c>
      <x:c r="U208" s="14" t="str"/>
      <x:c r="V208" s="14" t="str">
        <x:v>Khi ban hành/cập nhật.</x:v>
      </x:c>
      <x:c r="W208" s="14" t="str">
        <x:v>P2</x:v>
      </x:c>
      <x:c r="X208" s="14" t="str"/>
      <x:c r="Y208" s="14" t="str">
        <x:v>Chưa bắt đầu</x:v>
      </x:c>
      <x:c r="Z208" s="14" t="str"/>
      <x:c r="AA208" s="14" t="str">
        <x:v>https://datafiles.chinhphu.vn/cpp/files/vbpq/2026/5/18-bxd.pdf</x:v>
      </x:c>
      <x:c r="AB208" s="14" t="str">
        <x:v>sms; an toan</x:v>
      </x:c>
    </x:row>
    <x:row r="209">
      <x:c r="A209" s="14" t="str">
        <x:v>VATM-0208</x:v>
      </x:c>
      <x:c r="B209" s="14" t="str">
        <x:v>6</x:v>
      </x:c>
      <x:c r="C209" s="14" t="str">
        <x:v>Thông tư 18/2026/TT-BXD - Chương trình an toàn HKDD</x:v>
      </x:c>
      <x:c r="D209" s="14" t="str">
        <x:v>Tong_hop_nhiem_vu_TT18_2026_TT_BXD_VATM_ANSP.xlsx</x:v>
      </x:c>
      <x:c r="E209" s="14" t="str">
        <x:v>03_SMS_PL_I</x:v>
      </x:c>
      <x:c r="F209" s="56" t="n">
        <x:v>7</x:v>
      </x:c>
      <x:c r="G209" s="14" t="str">
        <x:v>Điều 1 khoản 1(e)</x:v>
      </x:c>
      <x:c r="H209" s="14" t="str">
        <x:v>An toàn hàng không / SMS</x:v>
      </x:c>
      <x:c r="I209" s="14" t="str">
        <x:v>Khung SMS và quản trị an toàn</x:v>
      </x:c>
      <x:c r="J209" s="14" t="str">
        <x:v>1. Chính sách và mục tiêu - Phổ biến/rà soát</x:v>
      </x:c>
      <x:c r="K209" s="14" t="str">
        <x:v>Trực tiếp</x:v>
      </x:c>
      <x:c r="L209" s="14" t="str">
        <x:v>SMS/QLAT</x:v>
      </x:c>
      <x:c r="M209" s="14" t="str"/>
      <x:c r="N209" s="14" t="str">
        <x:v>Chính sách được phổ biến trong toàn bộ tổ chức và rà soát định kỳ hằng năm để bảo đảm phù hợp hoạt động.</x:v>
      </x:c>
      <x:c r="O209" s="14" t="str"/>
      <x:c r="P209" s="14" t="str">
        <x:v>Bằng chứng phổ biến; biên bản rà soát; phiên bản chính sách.</x:v>
      </x:c>
      <x:c r="Q209" s="14" t="str">
        <x:v>Bằng chứng phổ biến; biên bản rà soát; phiên bản chính sách.</x:v>
      </x:c>
      <x:c r="R209" s="14" t="str"/>
      <x:c r="S209" s="14" t="str">
        <x:v>Ban An toàn - Chất lượng</x:v>
      </x:c>
      <x:c r="T209" s="14" t="str">
        <x:v>Các Công ty Quản lý bay khu vực Bắc/Trung/Nam; Ban An toàn - Chất lượng</x:v>
      </x:c>
      <x:c r="U209" s="14" t="str"/>
      <x:c r="V209" s="14" t="str">
        <x:v>Hằng năm và khi có thay đổi.</x:v>
      </x:c>
      <x:c r="W209" s="14" t="str">
        <x:v>P2</x:v>
      </x:c>
      <x:c r="X209" s="14" t="str"/>
      <x:c r="Y209" s="14" t="str">
        <x:v>Chưa bắt đầu</x:v>
      </x:c>
      <x:c r="Z209" s="14" t="str"/>
      <x:c r="AA209" s="14" t="str">
        <x:v>https://datafiles.chinhphu.vn/cpp/files/vbpq/2026/5/18-bxd.pdf</x:v>
      </x:c>
      <x:c r="AB209" s="14" t="str">
        <x:v>sms; an toan</x:v>
      </x:c>
    </x:row>
    <x:row r="210">
      <x:c r="A210" s="14" t="str">
        <x:v>VATM-0209</x:v>
      </x:c>
      <x:c r="B210" s="14" t="str">
        <x:v>7</x:v>
      </x:c>
      <x:c r="C210" s="14" t="str">
        <x:v>Thông tư 18/2026/TT-BXD - Chương trình an toàn HKDD</x:v>
      </x:c>
      <x:c r="D210" s="14" t="str">
        <x:v>Tong_hop_nhiem_vu_TT18_2026_TT_BXD_VATM_ANSP.xlsx</x:v>
      </x:c>
      <x:c r="E210" s="14" t="str">
        <x:v>03_SMS_PL_I</x:v>
      </x:c>
      <x:c r="F210" s="56" t="n">
        <x:v>8</x:v>
      </x:c>
      <x:c r="G210" s="14" t="str">
        <x:v>Điều 1 khoản 2(a)</x:v>
      </x:c>
      <x:c r="H210" s="14" t="str">
        <x:v>An toàn hàng không / SMS</x:v>
      </x:c>
      <x:c r="I210" s="14" t="str">
        <x:v>Khung SMS và quản trị an toàn</x:v>
      </x:c>
      <x:c r="J210" s="14" t="str">
        <x:v>1. Chính sách và mục tiêu - Mục tiêu đo lường</x:v>
      </x:c>
      <x:c r="K210" s="14" t="str">
        <x:v>Trực tiếp</x:v>
      </x:c>
      <x:c r="L210" s="14" t="str">
        <x:v>SMS/QLAT</x:v>
      </x:c>
      <x:c r="M210" s="14" t="str"/>
      <x:c r="N210" s="14" t="str">
        <x:v>Mục tiêu an toàn làm cơ sở cho việc đo lường và giám sát hiệu quả an toàn.</x:v>
      </x:c>
      <x:c r="O210" s="14" t="str"/>
      <x:c r="P210" s="14" t="str">
        <x:v>Mục tiêu an toàn gắn với SPI/SPT; tiêu chí đo lường.</x:v>
      </x:c>
      <x:c r="Q210" s="14" t="str">
        <x:v>Mục tiêu an toàn gắn với SPI/SPT; tiêu chí đo lường.</x:v>
      </x:c>
      <x:c r="R210" s="14" t="str"/>
      <x:c r="S210" s="14" t="str">
        <x:v>Ban An toàn - Chất lượng</x:v>
      </x:c>
      <x:c r="T210" s="14" t="str">
        <x:v>Các Công ty Quản lý bay khu vực Bắc/Trung/Nam; Ban An toàn - Chất lượng</x:v>
      </x:c>
      <x:c r="U210" s="14" t="str"/>
      <x:c r="V210" s="14" t="str">
        <x:v>Hằng năm/giai đoạn.</x:v>
      </x:c>
      <x:c r="W210" s="14" t="str">
        <x:v>P2</x:v>
      </x:c>
      <x:c r="X210" s="14" t="str"/>
      <x:c r="Y210" s="14" t="str">
        <x:v>Chưa bắt đầu</x:v>
      </x:c>
      <x:c r="Z210" s="14" t="str"/>
      <x:c r="AA210" s="14" t="str">
        <x:v>https://datafiles.chinhphu.vn/cpp/files/vbpq/2026/5/18-bxd.pdf</x:v>
      </x:c>
      <x:c r="AB210" s="14" t="str">
        <x:v>sms; an toan</x:v>
      </x:c>
    </x:row>
    <x:row r="211">
      <x:c r="A211" s="14" t="str">
        <x:v>VATM-0210</x:v>
      </x:c>
      <x:c r="B211" s="14" t="str">
        <x:v>8</x:v>
      </x:c>
      <x:c r="C211" s="14" t="str">
        <x:v>Thông tư 18/2026/TT-BXD - Chương trình an toàn HKDD</x:v>
      </x:c>
      <x:c r="D211" s="14" t="str">
        <x:v>Tong_hop_nhiem_vu_TT18_2026_TT_BXD_VATM_ANSP.xlsx</x:v>
      </x:c>
      <x:c r="E211" s="14" t="str">
        <x:v>03_SMS_PL_I</x:v>
      </x:c>
      <x:c r="F211" s="56" t="n">
        <x:v>9</x:v>
      </x:c>
      <x:c r="G211" s="14" t="str">
        <x:v>Điều 1 khoản 2(b)</x:v>
      </x:c>
      <x:c r="H211" s="14" t="str">
        <x:v>An toàn hàng không / SMS</x:v>
      </x:c>
      <x:c r="I211" s="14" t="str">
        <x:v>Khung SMS và quản trị an toàn</x:v>
      </x:c>
      <x:c r="J211" s="14" t="str">
        <x:v>1. Chính sách và mục tiêu - Cải tiến SMS</x:v>
      </x:c>
      <x:c r="K211" s="14" t="str">
        <x:v>Trực tiếp</x:v>
      </x:c>
      <x:c r="L211" s="14" t="str">
        <x:v>SMS/QLAT</x:v>
      </x:c>
      <x:c r="M211" s="14" t="str"/>
      <x:c r="N211" s="14" t="str">
        <x:v>Mục tiêu phản ánh cam kết duy trì hoặc liên tục cải tiến hiệu lực tổng thể của SMS.</x:v>
      </x:c>
      <x:c r="O211" s="14" t="str"/>
      <x:c r="P211" s="14" t="str">
        <x:v>Mục tiêu cải tiến SMS; chỉ tiêu/hoạt động cải tiến.</x:v>
      </x:c>
      <x:c r="Q211" s="14" t="str">
        <x:v>Mục tiêu cải tiến SMS; chỉ tiêu/hoạt động cải tiến.</x:v>
      </x:c>
      <x:c r="R211" s="14" t="str"/>
      <x:c r="S211" s="14" t="str">
        <x:v>Ban An toàn - Chất lượng</x:v>
      </x:c>
      <x:c r="T211" s="14" t="str">
        <x:v>Các Công ty Quản lý bay khu vực Bắc/Trung/Nam; Ban An toàn - Chất lượng</x:v>
      </x:c>
      <x:c r="U211" s="14" t="str"/>
      <x:c r="V211" s="14" t="str">
        <x:v>Hằng năm.</x:v>
      </x:c>
      <x:c r="W211" s="14" t="str">
        <x:v>P2</x:v>
      </x:c>
      <x:c r="X211" s="14" t="str"/>
      <x:c r="Y211" s="14" t="str">
        <x:v>Chưa bắt đầu</x:v>
      </x:c>
      <x:c r="Z211" s="14" t="str"/>
      <x:c r="AA211" s="14" t="str">
        <x:v>https://datafiles.chinhphu.vn/cpp/files/vbpq/2026/5/18-bxd.pdf</x:v>
      </x:c>
      <x:c r="AB211" s="14" t="str">
        <x:v>sms; an toan</x:v>
      </x:c>
    </x:row>
    <x:row r="212">
      <x:c r="A212" s="14" t="str">
        <x:v>VATM-0211</x:v>
      </x:c>
      <x:c r="B212" s="14" t="str">
        <x:v>9</x:v>
      </x:c>
      <x:c r="C212" s="14" t="str">
        <x:v>Thông tư 18/2026/TT-BXD - Chương trình an toàn HKDD</x:v>
      </x:c>
      <x:c r="D212" s="14" t="str">
        <x:v>Tong_hop_nhiem_vu_TT18_2026_TT_BXD_VATM_ANSP.xlsx</x:v>
      </x:c>
      <x:c r="E212" s="14" t="str">
        <x:v>03_SMS_PL_I</x:v>
      </x:c>
      <x:c r="F212" s="56" t="n">
        <x:v>10</x:v>
      </x:c>
      <x:c r="G212" s="14" t="str">
        <x:v>Điều 1 khoản 2(c)</x:v>
      </x:c>
      <x:c r="H212" s="14" t="str">
        <x:v>An toàn hàng không / SMS</x:v>
      </x:c>
      <x:c r="I212" s="14" t="str">
        <x:v>Khung SMS và quản trị an toàn</x:v>
      </x:c>
      <x:c r="J212" s="14" t="str">
        <x:v>1. Chính sách và mục tiêu - Phổ biến mục tiêu</x:v>
      </x:c>
      <x:c r="K212" s="14" t="str">
        <x:v>Trực tiếp</x:v>
      </x:c>
      <x:c r="L212" s="14" t="str">
        <x:v>SMS/QLAT</x:v>
      </x:c>
      <x:c r="M212" s="14" t="str"/>
      <x:c r="N212" s="14" t="str">
        <x:v>Mục tiêu an toàn được phổ biến trong toàn bộ tổ chức và rà soát hằng năm để bảo đảm phù hợp.</x:v>
      </x:c>
      <x:c r="O212" s="14" t="str"/>
      <x:c r="P212" s="14" t="str">
        <x:v>Bằng chứng phổ biến mục tiêu; biên bản rà soát.</x:v>
      </x:c>
      <x:c r="Q212" s="14" t="str">
        <x:v>Bằng chứng phổ biến mục tiêu; biên bản rà soát.</x:v>
      </x:c>
      <x:c r="R212" s="14" t="str"/>
      <x:c r="S212" s="14" t="str">
        <x:v>Ban An toàn - Chất lượng</x:v>
      </x:c>
      <x:c r="T212" s="14" t="str">
        <x:v>Các Công ty Quản lý bay khu vực Bắc/Trung/Nam; Ban An toàn - Chất lượng</x:v>
      </x:c>
      <x:c r="U212" s="14" t="str"/>
      <x:c r="V212" s="14" t="str">
        <x:v>Hằng năm.</x:v>
      </x:c>
      <x:c r="W212" s="14" t="str">
        <x:v>P2</x:v>
      </x:c>
      <x:c r="X212" s="14" t="str"/>
      <x:c r="Y212" s="14" t="str">
        <x:v>Chưa bắt đầu</x:v>
      </x:c>
      <x:c r="Z212" s="14" t="str"/>
      <x:c r="AA212" s="14" t="str">
        <x:v>https://datafiles.chinhphu.vn/cpp/files/vbpq/2026/5/18-bxd.pdf</x:v>
      </x:c>
      <x:c r="AB212" s="14" t="str">
        <x:v>sms; an toan</x:v>
      </x:c>
    </x:row>
    <x:row r="213">
      <x:c r="A213" s="14" t="str">
        <x:v>VATM-0212</x:v>
      </x:c>
      <x:c r="B213" s="14" t="str">
        <x:v>10</x:v>
      </x:c>
      <x:c r="C213" s="14" t="str">
        <x:v>Thông tư 18/2026/TT-BXD - Chương trình an toàn HKDD</x:v>
      </x:c>
      <x:c r="D213" s="14" t="str">
        <x:v>Tong_hop_nhiem_vu_TT18_2026_TT_BXD_VATM_ANSP.xlsx</x:v>
      </x:c>
      <x:c r="E213" s="14" t="str">
        <x:v>03_SMS_PL_I</x:v>
      </x:c>
      <x:c r="F213" s="56" t="n">
        <x:v>11</x:v>
      </x:c>
      <x:c r="G213" s="14" t="str">
        <x:v>Điều 2 khoản 1</x:v>
      </x:c>
      <x:c r="H213" s="14" t="str">
        <x:v>An toàn hàng không / SMS</x:v>
      </x:c>
      <x:c r="I213" s="14" t="str">
        <x:v>Khung SMS và quản trị an toàn</x:v>
      </x:c>
      <x:c r="J213" s="14" t="str">
        <x:v>1. Trách nhiệm giải trình</x:v>
      </x:c>
      <x:c r="K213" s="14" t="str">
        <x:v>Trực tiếp</x:v>
      </x:c>
      <x:c r="L213" s="14" t="str">
        <x:v>SMS/QLAT</x:v>
      </x:c>
      <x:c r="M213" s="14" t="str"/>
      <x:c r="N213" s="14" t="str">
        <x:v>Xác định trách nhiệm của người đứng đầu tổ chức, chịu trách nhiệm pháp lý cao nhất và cuối cùng đối với triển khai và duy trì hiệu quả SMS.</x:v>
      </x:c>
      <x:c r="O213" s="14" t="str"/>
      <x:c r="P213" s="14" t="str">
        <x:v>Quy định trách nhiệm người đứng đầu; cam kết SMS; mô tả thẩm quyền.</x:v>
      </x:c>
      <x:c r="Q213" s="14" t="str">
        <x:v>Quy định trách nhiệm người đứng đầu; cam kết SMS; mô tả thẩm quyền.</x:v>
      </x:c>
      <x:c r="R213" s="14" t="str"/>
      <x:c r="S213" s="14" t="str">
        <x:v>Ban An toàn - Chất lượng</x:v>
      </x:c>
      <x:c r="T213" s="14" t="str">
        <x:v>Các Công ty Quản lý bay khu vực Bắc/Trung/Nam; Ban An toàn - Chất lượng</x:v>
      </x:c>
      <x:c r="U213" s="14" t="str"/>
      <x:c r="V213" s="14" t="str">
        <x:v>Duy trì; cập nhật khi thay đổi lãnh đạo/tổ chức.</x:v>
      </x:c>
      <x:c r="W213" s="14" t="str">
        <x:v>P2</x:v>
      </x:c>
      <x:c r="X213" s="14" t="str"/>
      <x:c r="Y213" s="14" t="str">
        <x:v>Chưa bắt đầu</x:v>
      </x:c>
      <x:c r="Z213" s="14" t="str"/>
      <x:c r="AA213" s="14" t="str">
        <x:v>https://datafiles.chinhphu.vn/cpp/files/vbpq/2026/5/18-bxd.pdf</x:v>
      </x:c>
      <x:c r="AB213" s="14" t="str">
        <x:v>sms; an toan</x:v>
      </x:c>
    </x:row>
    <x:row r="214">
      <x:c r="A214" s="14" t="str">
        <x:v>VATM-0213</x:v>
      </x:c>
      <x:c r="B214" s="14" t="str">
        <x:v>11</x:v>
      </x:c>
      <x:c r="C214" s="14" t="str">
        <x:v>Thông tư 18/2026/TT-BXD - Chương trình an toàn HKDD</x:v>
      </x:c>
      <x:c r="D214" s="14" t="str">
        <x:v>Tong_hop_nhiem_vu_TT18_2026_TT_BXD_VATM_ANSP.xlsx</x:v>
      </x:c>
      <x:c r="E214" s="14" t="str">
        <x:v>03_SMS_PL_I</x:v>
      </x:c>
      <x:c r="F214" s="56" t="n">
        <x:v>12</x:v>
      </x:c>
      <x:c r="G214" s="14" t="str">
        <x:v>Điều 2 khoản 2</x:v>
      </x:c>
      <x:c r="H214" s="14" t="str">
        <x:v>An toàn hàng không / SMS</x:v>
      </x:c>
      <x:c r="I214" s="14" t="str">
        <x:v>Khung SMS và quản trị an toàn</x:v>
      </x:c>
      <x:c r="J214" s="14" t="str">
        <x:v>1. Trách nhiệm về an toàn</x:v>
      </x:c>
      <x:c r="K214" s="14" t="str">
        <x:v>Trực tiếp</x:v>
      </x:c>
      <x:c r="L214" s="14" t="str">
        <x:v>SMS/QLAT</x:v>
      </x:c>
      <x:c r="M214" s="14" t="str"/>
      <x:c r="N214" s="14" t="str">
        <x:v>Xác định đầy đủ chức năng, nhiệm vụ, quyền hạn bằng văn bản về an toàn và phổ biến trong toàn bộ tổ chức.</x:v>
      </x:c>
      <x:c r="O214" s="14" t="str"/>
      <x:c r="P214" s="14" t="str">
        <x:v>Ma trận trách nhiệm/authority; mô tả chức năng an toàn; bằng chứng phổ biến.</x:v>
      </x:c>
      <x:c r="Q214" s="14" t="str">
        <x:v>Ma trận trách nhiệm/authority; mô tả chức năng an toàn; bằng chứng phổ biến.</x:v>
      </x:c>
      <x:c r="R214" s="14" t="str"/>
      <x:c r="S214" s="14" t="str">
        <x:v>Ban An toàn - Chất lượng</x:v>
      </x:c>
      <x:c r="T214" s="14" t="str">
        <x:v>Các Công ty Quản lý bay khu vực Bắc/Trung/Nam; Ban An toàn - Chất lượng</x:v>
      </x:c>
      <x:c r="U214" s="14" t="str"/>
      <x:c r="V214" s="14" t="str">
        <x:v>Duy trì; cập nhật khi thay đổi.</x:v>
      </x:c>
      <x:c r="W214" s="14" t="str">
        <x:v>P2</x:v>
      </x:c>
      <x:c r="X214" s="14" t="str"/>
      <x:c r="Y214" s="14" t="str">
        <x:v>Chưa bắt đầu</x:v>
      </x:c>
      <x:c r="Z214" s="14" t="str"/>
      <x:c r="AA214" s="14" t="str">
        <x:v>https://datafiles.chinhphu.vn/cpp/files/vbpq/2026/5/18-bxd.pdf</x:v>
      </x:c>
      <x:c r="AB214" s="14" t="str">
        <x:v>sms; an toan</x:v>
      </x:c>
    </x:row>
    <x:row r="215">
      <x:c r="A215" s="14" t="str">
        <x:v>VATM-0214</x:v>
      </x:c>
      <x:c r="B215" s="14" t="str">
        <x:v>12</x:v>
      </x:c>
      <x:c r="C215" s="14" t="str">
        <x:v>Thông tư 18/2026/TT-BXD - Chương trình an toàn HKDD</x:v>
      </x:c>
      <x:c r="D215" s="14" t="str">
        <x:v>Tong_hop_nhiem_vu_TT18_2026_TT_BXD_VATM_ANSP.xlsx</x:v>
      </x:c>
      <x:c r="E215" s="14" t="str">
        <x:v>03_SMS_PL_I</x:v>
      </x:c>
      <x:c r="F215" s="56" t="n">
        <x:v>13</x:v>
      </x:c>
      <x:c r="G215" s="14" t="str">
        <x:v>Điều 2 khoản 3</x:v>
      </x:c>
      <x:c r="H215" s="14" t="str">
        <x:v>An toàn hàng không / SMS</x:v>
      </x:c>
      <x:c r="I215" s="14" t="str">
        <x:v>Khung SMS và quản trị an toàn</x:v>
      </x:c>
      <x:c r="J215" s="14" t="str">
        <x:v>1. Thẩm quyền chấp nhận rủi ro</x:v>
      </x:c>
      <x:c r="K215" s="14" t="str">
        <x:v>Trực tiếp</x:v>
      </x:c>
      <x:c r="L215" s="14" t="str">
        <x:v>SMS/QLAT</x:v>
      </x:c>
      <x:c r="M215" s="14" t="str"/>
      <x:c r="N215" s="14" t="str">
        <x:v>Xác định các cấp quản lý có thẩm quyền ra quyết định liên quan đến mức độ chấp nhận rủi ro an toàn.</x:v>
      </x:c>
      <x:c r="O215" s="14" t="str"/>
      <x:c r="P215" s="14" t="str">
        <x:v>Ma trận chấp nhận rủi ro; quy trình phê duyệt rủi ro.</x:v>
      </x:c>
      <x:c r="Q215" s="14" t="str">
        <x:v>Ma trận chấp nhận rủi ro; quy trình phê duyệt rủi ro.</x:v>
      </x:c>
      <x:c r="R215" s="14" t="str"/>
      <x:c r="S215" s="14" t="str">
        <x:v>Ban An toàn - Chất lượng</x:v>
      </x:c>
      <x:c r="T215" s="14" t="str">
        <x:v>Các Công ty Quản lý bay khu vực Bắc/Trung/Nam; Ban An toàn - Chất lượng</x:v>
      </x:c>
      <x:c r="U215" s="14" t="str"/>
      <x:c r="V215" s="14" t="str">
        <x:v>Duy trì; áp dụng mỗi đánh giá rủi ro.</x:v>
      </x:c>
      <x:c r="W215" s="14" t="str">
        <x:v>P2</x:v>
      </x:c>
      <x:c r="X215" s="14" t="str"/>
      <x:c r="Y215" s="14" t="str">
        <x:v>Chưa bắt đầu</x:v>
      </x:c>
      <x:c r="Z215" s="14" t="str"/>
      <x:c r="AA215" s="14" t="str">
        <x:v>https://datafiles.chinhphu.vn/cpp/files/vbpq/2026/5/18-bxd.pdf</x:v>
      </x:c>
      <x:c r="AB215" s="14" t="str">
        <x:v>sms; an toan</x:v>
      </x:c>
    </x:row>
    <x:row r="216">
      <x:c r="A216" s="14" t="str">
        <x:v>VATM-0215</x:v>
      </x:c>
      <x:c r="B216" s="14" t="str">
        <x:v>13</x:v>
      </x:c>
      <x:c r="C216" s="14" t="str">
        <x:v>Thông tư 18/2026/TT-BXD - Chương trình an toàn HKDD</x:v>
      </x:c>
      <x:c r="D216" s="14" t="str">
        <x:v>Tong_hop_nhiem_vu_TT18_2026_TT_BXD_VATM_ANSP.xlsx</x:v>
      </x:c>
      <x:c r="E216" s="14" t="str">
        <x:v>03_SMS_PL_I</x:v>
      </x:c>
      <x:c r="F216" s="56" t="n">
        <x:v>14</x:v>
      </x:c>
      <x:c r="G216" s="14" t="str">
        <x:v>Điều 3 khoản 1</x:v>
      </x:c>
      <x:c r="H216" s="14" t="str">
        <x:v>An toàn hàng không / SMS</x:v>
      </x:c>
      <x:c r="I216" s="14" t="str">
        <x:v>Khung SMS và quản trị an toàn</x:v>
      </x:c>
      <x:c r="J216" s="14" t="str">
        <x:v>1. Nhân sự an toàn chủ chốt</x:v>
      </x:c>
      <x:c r="K216" s="14" t="str">
        <x:v>Trực tiếp</x:v>
      </x:c>
      <x:c r="L216" s="14" t="str">
        <x:v>SMS/QLAT</x:v>
      </x:c>
      <x:c r="M216" s="14" t="str"/>
      <x:c r="N216" s="14" t="str">
        <x:v>Bổ nhiệm người chịu trách nhiệm chính về quản lý an toàn chịu trách nhiệm triển khai và duy trì SMS.</x:v>
      </x:c>
      <x:c r="O216" s="14" t="str"/>
      <x:c r="P216" s="14" t="str">
        <x:v>Quyết định bổ nhiệm; mô tả nhiệm vụ; tiêu chuẩn năng lực.</x:v>
      </x:c>
      <x:c r="Q216" s="14" t="str">
        <x:v>Quyết định bổ nhiệm; mô tả nhiệm vụ; tiêu chuẩn năng lực.</x:v>
      </x:c>
      <x:c r="R216" s="14" t="str"/>
      <x:c r="S216" s="14" t="str">
        <x:v>Ban An toàn - Chất lượng</x:v>
      </x:c>
      <x:c r="T216" s="14" t="str">
        <x:v>Các Công ty Quản lý bay khu vực Bắc/Trung/Nam; Ban An toàn - Chất lượng</x:v>
      </x:c>
      <x:c r="U216" s="14" t="str"/>
      <x:c r="V216" s="14" t="str">
        <x:v>Khi thiết lập/điều chỉnh nhân sự.</x:v>
      </x:c>
      <x:c r="W216" s="14" t="str">
        <x:v>P2</x:v>
      </x:c>
      <x:c r="X216" s="14" t="str"/>
      <x:c r="Y216" s="14" t="str">
        <x:v>Chưa bắt đầu</x:v>
      </x:c>
      <x:c r="Z216" s="14" t="str"/>
      <x:c r="AA216" s="14" t="str">
        <x:v>https://datafiles.chinhphu.vn/cpp/files/vbpq/2026/5/18-bxd.pdf</x:v>
      </x:c>
      <x:c r="AB216" s="14" t="str">
        <x:v>sms; an toan</x:v>
      </x:c>
    </x:row>
    <x:row r="217">
      <x:c r="A217" s="14" t="str">
        <x:v>VATM-0216</x:v>
      </x:c>
      <x:c r="B217" s="14" t="str">
        <x:v>14</x:v>
      </x:c>
      <x:c r="C217" s="14" t="str">
        <x:v>Thông tư 18/2026/TT-BXD - Chương trình an toàn HKDD</x:v>
      </x:c>
      <x:c r="D217" s="14" t="str">
        <x:v>Tong_hop_nhiem_vu_TT18_2026_TT_BXD_VATM_ANSP.xlsx</x:v>
      </x:c>
      <x:c r="E217" s="14" t="str">
        <x:v>03_SMS_PL_I</x:v>
      </x:c>
      <x:c r="F217" s="56" t="n">
        <x:v>15</x:v>
      </x:c>
      <x:c r="G217" s="14" t="str">
        <x:v>Điều 3 khoản 2</x:v>
      </x:c>
      <x:c r="H217" s="14" t="str">
        <x:v>An toàn hàng không / SMS</x:v>
      </x:c>
      <x:c r="I217" s="14" t="str">
        <x:v>Khung SMS và quản trị an toàn</x:v>
      </x:c>
      <x:c r="J217" s="14" t="str">
        <x:v>1. Tránh xung đột lợi ích</x:v>
      </x:c>
      <x:c r="K217" s="14" t="str">
        <x:v>Trực tiếp</x:v>
      </x:c>
      <x:c r="L217" s="14" t="str">
        <x:v>SMS/QLAT</x:v>
      </x:c>
      <x:c r="M217" s="14" t="str"/>
      <x:c r="N217" s="14" t="str">
        <x:v>Nếu người chịu trách nhiệm chính về quản lý an toàn kiêm nhiệm nhiệm vụ khác, phải đáp ứng điều kiện không dẫn đến xung đột lợi ích theo ICAO Doc 9859.</x:v>
      </x:c>
      <x:c r="O217" s="14" t="str"/>
      <x:c r="P217" s="14" t="str">
        <x:v>Đánh giá xung đột lợi ích; quyết định phân công/kiêm nhiệm.</x:v>
      </x:c>
      <x:c r="Q217" s="14" t="str">
        <x:v>Đánh giá xung đột lợi ích; quyết định phân công/kiêm nhiệm.</x:v>
      </x:c>
      <x:c r="R217" s="14" t="str"/>
      <x:c r="S217" s="14" t="str">
        <x:v>Ban An toàn - Chất lượng</x:v>
      </x:c>
      <x:c r="T217" s="14" t="str">
        <x:v>Các Công ty Quản lý bay khu vực Bắc/Trung/Nam; Ban An toàn - Chất lượng</x:v>
      </x:c>
      <x:c r="U217" s="14" t="str"/>
      <x:c r="V217" s="14" t="str">
        <x:v>Khi phân công/kiêm nhiệm thay đổi.</x:v>
      </x:c>
      <x:c r="W217" s="14" t="str">
        <x:v>P2</x:v>
      </x:c>
      <x:c r="X217" s="14" t="str"/>
      <x:c r="Y217" s="14" t="str">
        <x:v>Chưa bắt đầu</x:v>
      </x:c>
      <x:c r="Z217" s="14" t="str"/>
      <x:c r="AA217" s="14" t="str">
        <x:v>https://datafiles.chinhphu.vn/cpp/files/vbpq/2026/5/18-bxd.pdf</x:v>
      </x:c>
      <x:c r="AB217" s="14" t="str">
        <x:v>sms; an toan</x:v>
      </x:c>
    </x:row>
    <x:row r="218">
      <x:c r="A218" s="14" t="str">
        <x:v>VATM-0217</x:v>
      </x:c>
      <x:c r="B218" s="14" t="str">
        <x:v>15</x:v>
      </x:c>
      <x:c r="C218" s="14" t="str">
        <x:v>Thông tư 18/2026/TT-BXD - Chương trình an toàn HKDD</x:v>
      </x:c>
      <x:c r="D218" s="14" t="str">
        <x:v>Tong_hop_nhiem_vu_TT18_2026_TT_BXD_VATM_ANSP.xlsx</x:v>
      </x:c>
      <x:c r="E218" s="14" t="str">
        <x:v>03_SMS_PL_I</x:v>
      </x:c>
      <x:c r="F218" s="56" t="n">
        <x:v>16</x:v>
      </x:c>
      <x:c r="G218" s="14" t="str">
        <x:v>Điều 4</x:v>
      </x:c>
      <x:c r="H218" s="14" t="str">
        <x:v>An toàn hàng không / SMS</x:v>
      </x:c>
      <x:c r="I218" s="14" t="str">
        <x:v>Khung SMS và quản trị an toàn</x:v>
      </x:c>
      <x:c r="J218" s="14" t="str">
        <x:v>1. Ứng phó khẩn nguy</x:v>
      </x:c>
      <x:c r="K218" s="14" t="str">
        <x:v>Trực tiếp</x:v>
      </x:c>
      <x:c r="L218" s="14" t="str">
        <x:v>Báo cáo/điều tra/khắc phục</x:v>
      </x:c>
      <x:c r="M218" s="14" t="str"/>
      <x:c r="N218" s="14" t="str">
        <x:v>Thiết lập và duy trì kế hoạch ứng phó khẩn nguy đối với tai nạn, sự cố và tình huống khẩn nguy hàng không; bảo đảm đồng bộ với kế hoạch ứng phó của các tổ chức cần phối hợp.</x:v>
      </x:c>
      <x:c r="O218" s="14" t="str"/>
      <x:c r="P218" s="14" t="str">
        <x:v>Kế hoạch ERP; danh bạ phối hợp; kịch bản diễn tập; biên bản kiểm tra/diễn tập.</x:v>
      </x:c>
      <x:c r="Q218" s="14" t="str">
        <x:v>Kế hoạch ERP; danh bạ phối hợp; kịch bản diễn tập; biên bản kiểm tra/diễn tập.</x:v>
      </x:c>
      <x:c r="R218" s="14" t="str"/>
      <x:c r="S218" s="14" t="str">
        <x:v>Ban An toàn - Chất lượng</x:v>
      </x:c>
      <x:c r="T218" s="14" t="str">
        <x:v>Các Công ty Quản lý bay khu vực Bắc/Trung/Nam; Ban An toàn - Chất lượng</x:v>
      </x:c>
      <x:c r="U218" s="14" t="str"/>
      <x:c r="V218" s="14" t="str">
        <x:v>Duy trì; kiểm tra/diễn tập định kỳ; cập nhật khi thay đổi giao diện.</x:v>
      </x:c>
      <x:c r="W218" s="14" t="str">
        <x:v>P2</x:v>
      </x:c>
      <x:c r="X218" s="14" t="str"/>
      <x:c r="Y218" s="14" t="str">
        <x:v>Chưa bắt đầu</x:v>
      </x:c>
      <x:c r="Z218" s="14" t="str"/>
      <x:c r="AA218" s="14" t="str">
        <x:v>https://datafiles.chinhphu.vn/cpp/files/vbpq/2026/5/18-bxd.pdf</x:v>
      </x:c>
      <x:c r="AB218" s="14" t="str">
        <x:v>sms; an toan</x:v>
      </x:c>
    </x:row>
    <x:row r="219">
      <x:c r="A219" s="14" t="str">
        <x:v>VATM-0218</x:v>
      </x:c>
      <x:c r="B219" s="14" t="str">
        <x:v>16</x:v>
      </x:c>
      <x:c r="C219" s="14" t="str">
        <x:v>Thông tư 18/2026/TT-BXD - Chương trình an toàn HKDD</x:v>
      </x:c>
      <x:c r="D219" s="14" t="str">
        <x:v>Tong_hop_nhiem_vu_TT18_2026_TT_BXD_VATM_ANSP.xlsx</x:v>
      </x:c>
      <x:c r="E219" s="14" t="str">
        <x:v>03_SMS_PL_I</x:v>
      </x:c>
      <x:c r="F219" s="56" t="n">
        <x:v>17</x:v>
      </x:c>
      <x:c r="G219" s="14" t="str">
        <x:v>Điều 5 khoản 1(a)-(d)</x:v>
      </x:c>
      <x:c r="H219" s="14" t="str">
        <x:v>An toàn hàng không / SMS</x:v>
      </x:c>
      <x:c r="I219" s="14" t="str">
        <x:v>Khung SMS và quản trị an toàn</x:v>
      </x:c>
      <x:c r="J219" s="14" t="str">
        <x:v>1. Tài liệu SMS - Nội dung</x:v>
      </x:c>
      <x:c r="K219" s="14" t="str">
        <x:v>Trực tiếp</x:v>
      </x:c>
      <x:c r="L219" s="14" t="str">
        <x:v>SMS/QLAT</x:v>
      </x:c>
      <x:c r="M219" s="14" t="str"/>
      <x:c r="N219" s="14" t="str">
        <x:v>Xây dựng và duy trì tài liệu hướng dẫn SMS mô tả chính sách, mục tiêu, nguồn lực; yêu cầu SMS đối với quản lý rủi ro, bảo đảm an toàn và thúc đẩy an toàn; quy trình/thủ tục SMS; trách nhiệm giải trình, trách nhiệm và thẩm quyền đối với các quy trình/thủ tục SMS.</x:v>
      </x:c>
      <x:c r="O219" s="14" t="str"/>
      <x:c r="P219" s="14" t="str">
        <x:v>SMS Manual; quy trình/thủ tục SMS; ma trận trách nhiệm; kiểm soát phiên bản.</x:v>
      </x:c>
      <x:c r="Q219" s="14" t="str">
        <x:v>SMS Manual; quy trình/thủ tục SMS; ma trận trách nhiệm; kiểm soát phiên bản.</x:v>
      </x:c>
      <x:c r="R219" s="14" t="str"/>
      <x:c r="S219" s="14" t="str">
        <x:v>Ban An toàn - Chất lượng</x:v>
      </x:c>
      <x:c r="T219" s="14" t="str">
        <x:v>Các Công ty Quản lý bay khu vực Bắc/Trung/Nam; Ban An toàn - Chất lượng</x:v>
      </x:c>
      <x:c r="U219" s="14" t="str"/>
      <x:c r="V219" s="14" t="str">
        <x:v>Duy trì thường xuyên.</x:v>
      </x:c>
      <x:c r="W219" s="14" t="str">
        <x:v>P2</x:v>
      </x:c>
      <x:c r="X219" s="14" t="str"/>
      <x:c r="Y219" s="14" t="str">
        <x:v>Chưa bắt đầu</x:v>
      </x:c>
      <x:c r="Z219" s="14" t="str"/>
      <x:c r="AA219" s="14" t="str">
        <x:v>https://datafiles.chinhphu.vn/cpp/files/vbpq/2026/5/18-bxd.pdf</x:v>
      </x:c>
      <x:c r="AB219" s="14" t="str">
        <x:v>sms; an toan</x:v>
      </x:c>
    </x:row>
    <x:row r="220">
      <x:c r="A220" s="14" t="str">
        <x:v>VATM-0219</x:v>
      </x:c>
      <x:c r="B220" s="14" t="str">
        <x:v>17</x:v>
      </x:c>
      <x:c r="C220" s="14" t="str">
        <x:v>Thông tư 18/2026/TT-BXD - Chương trình an toàn HKDD</x:v>
      </x:c>
      <x:c r="D220" s="14" t="str">
        <x:v>Tong_hop_nhiem_vu_TT18_2026_TT_BXD_VATM_ANSP.xlsx</x:v>
      </x:c>
      <x:c r="E220" s="14" t="str">
        <x:v>03_SMS_PL_I</x:v>
      </x:c>
      <x:c r="F220" s="56" t="n">
        <x:v>18</x:v>
      </x:c>
      <x:c r="G220" s="14" t="str">
        <x:v>Điều 5 khoản 2</x:v>
      </x:c>
      <x:c r="H220" s="14" t="str">
        <x:v>An toàn hàng không / SMS</x:v>
      </x:c>
      <x:c r="I220" s="14" t="str">
        <x:v>Khung SMS và quản trị an toàn</x:v>
      </x:c>
      <x:c r="J220" s="14" t="str">
        <x:v>1. Tài liệu SMS - Hồ sơ vận hành</x:v>
      </x:c>
      <x:c r="K220" s="14" t="str">
        <x:v>Trực tiếp</x:v>
      </x:c>
      <x:c r="L220" s="14" t="str">
        <x:v>Báo cáo/điều tra/khắc phục</x:v>
      </x:c>
      <x:c r="M220" s="14" t="str"/>
      <x:c r="N220" s="14" t="str">
        <x:v>Xây dựng và duy trì các hồ sơ vận hành SMS như một phần của tài liệu SMS.</x:v>
      </x:c>
      <x:c r="O220" s="14" t="str"/>
      <x:c r="P220" s="14" t="str">
        <x:v>Hồ sơ đánh giá rủi ro, kiểm soát thay đổi, đào tạo, truyền thông, báo cáo, cuộc họp, kiểm tra/đánh giá.</x:v>
      </x:c>
      <x:c r="Q220" s="14" t="str">
        <x:v>Hồ sơ đánh giá rủi ro, kiểm soát thay đổi, đào tạo, truyền thông, báo cáo, cuộc họp, kiểm tra/đánh giá.</x:v>
      </x:c>
      <x:c r="R220" s="14" t="str"/>
      <x:c r="S220" s="14" t="str">
        <x:v>Ban An toàn - Chất lượng</x:v>
      </x:c>
      <x:c r="T220" s="14" t="str">
        <x:v>Các Công ty Quản lý bay khu vực Bắc/Trung/Nam; Ban An toàn - Chất lượng</x:v>
      </x:c>
      <x:c r="U220" s="14" t="str"/>
      <x:c r="V220" s="14" t="str">
        <x:v>Thường xuyên; lưu trữ theo quy định nội bộ/pháp luật.</x:v>
      </x:c>
      <x:c r="W220" s="14" t="str">
        <x:v>P2</x:v>
      </x:c>
      <x:c r="X220" s="14" t="str"/>
      <x:c r="Y220" s="14" t="str">
        <x:v>Chưa bắt đầu</x:v>
      </x:c>
      <x:c r="Z220" s="14" t="str"/>
      <x:c r="AA220" s="14" t="str">
        <x:v>https://datafiles.chinhphu.vn/cpp/files/vbpq/2026/5/18-bxd.pdf</x:v>
      </x:c>
      <x:c r="AB220" s="14" t="str">
        <x:v>sms; an toan</x:v>
      </x:c>
    </x:row>
    <x:row r="221">
      <x:c r="A221" s="14" t="str">
        <x:v>VATM-0220</x:v>
      </x:c>
      <x:c r="B221" s="14" t="str">
        <x:v>18</x:v>
      </x:c>
      <x:c r="C221" s="14" t="str">
        <x:v>Thông tư 18/2026/TT-BXD - Chương trình an toàn HKDD</x:v>
      </x:c>
      <x:c r="D221" s="14" t="str">
        <x:v>Tong_hop_nhiem_vu_TT18_2026_TT_BXD_VATM_ANSP.xlsx</x:v>
      </x:c>
      <x:c r="E221" s="14" t="str">
        <x:v>03_SMS_PL_I</x:v>
      </x:c>
      <x:c r="F221" s="56" t="n">
        <x:v>19</x:v>
      </x:c>
      <x:c r="G221" s="14" t="str">
        <x:v>Điều 6 khoản 1</x:v>
      </x:c>
      <x:c r="H221" s="14" t="str">
        <x:v>An toàn hàng không / SMS</x:v>
      </x:c>
      <x:c r="I221" s="14" t="str">
        <x:v>Khung SMS và quản trị an toàn</x:v>
      </x:c>
      <x:c r="J221" s="14" t="str">
        <x:v>2. Quản lý rủi ro - Nhận diện mối nguy</x:v>
      </x:c>
      <x:c r="K221" s="14" t="str">
        <x:v>Trực tiếp</x:v>
      </x:c>
      <x:c r="L221" s="14" t="str">
        <x:v>SMS/QLAT</x:v>
      </x:c>
      <x:c r="M221" s="14" t="str"/>
      <x:c r="N221" s="14" t="str">
        <x:v>Xây dựng và duy trì quy trình nhận diện mối nguy, bao gồm mối nguy liên quan đến giao diện nội bộ và bên ngoài, gắn với sản phẩm/dịch vụ hàng không của tổ chức.</x:v>
      </x:c>
      <x:c r="O221" s="14" t="str"/>
      <x:c r="P221" s="14" t="str">
        <x:v>Quy trình hazard identification; hazard register; danh mục giao diện nội bộ/bên ngoài.</x:v>
      </x:c>
      <x:c r="Q221" s="14" t="str">
        <x:v>Quy trình hazard identification; hazard register; danh mục giao diện nội bộ/bên ngoài.</x:v>
      </x:c>
      <x:c r="R221" s="14" t="str"/>
      <x:c r="S221" s="14" t="str">
        <x:v>Ban An toàn - Chất lượng</x:v>
      </x:c>
      <x:c r="T221" s="14" t="str">
        <x:v>Các Công ty Quản lý bay khu vực Bắc/Trung/Nam; Ban An toàn - Chất lượng</x:v>
      </x:c>
      <x:c r="U221" s="14" t="str"/>
      <x:c r="V221" s="14" t="str">
        <x:v>Thường xuyên; cập nhật khi có thay đổi/sự cố/thông tin mới.</x:v>
      </x:c>
      <x:c r="W221" s="14" t="str">
        <x:v>P2</x:v>
      </x:c>
      <x:c r="X221" s="14" t="str"/>
      <x:c r="Y221" s="14" t="str">
        <x:v>Chưa bắt đầu</x:v>
      </x:c>
      <x:c r="Z221" s="14" t="str"/>
      <x:c r="AA221" s="14" t="str">
        <x:v>https://datafiles.chinhphu.vn/cpp/files/vbpq/2026/5/18-bxd.pdf</x:v>
      </x:c>
      <x:c r="AB221" s="14" t="str">
        <x:v>sms; an toan</x:v>
      </x:c>
    </x:row>
    <x:row r="222">
      <x:c r="A222" s="14" t="str">
        <x:v>VATM-0221</x:v>
      </x:c>
      <x:c r="B222" s="14" t="str">
        <x:v>19</x:v>
      </x:c>
      <x:c r="C222" s="14" t="str">
        <x:v>Thông tư 18/2026/TT-BXD - Chương trình an toàn HKDD</x:v>
      </x:c>
      <x:c r="D222" s="14" t="str">
        <x:v>Tong_hop_nhiem_vu_TT18_2026_TT_BXD_VATM_ANSP.xlsx</x:v>
      </x:c>
      <x:c r="E222" s="14" t="str">
        <x:v>03_SMS_PL_I</x:v>
      </x:c>
      <x:c r="F222" s="56" t="n">
        <x:v>20</x:v>
      </x:c>
      <x:c r="G222" s="14" t="str">
        <x:v>Điều 6 khoản 2</x:v>
      </x:c>
      <x:c r="H222" s="14" t="str">
        <x:v>An toàn hàng không / SMS</x:v>
      </x:c>
      <x:c r="I222" s="14" t="str">
        <x:v>Khung SMS và quản trị an toàn</x:v>
      </x:c>
      <x:c r="J222" s="14" t="str">
        <x:v>2. Quản lý rủi ro - Phương pháp</x:v>
      </x:c>
      <x:c r="K222" s="14" t="str">
        <x:v>Trực tiếp</x:v>
      </x:c>
      <x:c r="L222" s="14" t="str">
        <x:v>Báo cáo/điều tra/khắc phục</x:v>
      </x:c>
      <x:c r="M222" s="14" t="str"/>
      <x:c r="N222" s="14" t="str">
        <x:v>Nhận diện mối nguy dựa trên kết hợp phương pháp phản ứng và chủ động.</x:v>
      </x:c>
      <x:c r="O222" s="14" t="str"/>
      <x:c r="P222" s="14" t="str">
        <x:v>Nguồn nhận diện từ sự cố/MOR/VOR, kiểm tra, audit, thay đổi, dữ liệu SPI, khảo sát, safety review.</x:v>
      </x:c>
      <x:c r="Q222" s="14" t="str">
        <x:v>Nguồn nhận diện từ sự cố/MOR/VOR, kiểm tra, audit, thay đổi, dữ liệu SPI, khảo sát, safety review.</x:v>
      </x:c>
      <x:c r="R222" s="14" t="str"/>
      <x:c r="S222" s="14" t="str">
        <x:v>Ban An toàn - Chất lượng</x:v>
      </x:c>
      <x:c r="T222" s="14" t="str">
        <x:v>Các Công ty Quản lý bay khu vực Bắc/Trung/Nam; Ban An toàn - Chất lượng</x:v>
      </x:c>
      <x:c r="U222" s="14" t="str"/>
      <x:c r="V222" s="14" t="str">
        <x:v>Thường xuyên.</x:v>
      </x:c>
      <x:c r="W222" s="14" t="str">
        <x:v>P2</x:v>
      </x:c>
      <x:c r="X222" s="14" t="str"/>
      <x:c r="Y222" s="14" t="str">
        <x:v>Chưa bắt đầu</x:v>
      </x:c>
      <x:c r="Z222" s="14" t="str"/>
      <x:c r="AA222" s="14" t="str">
        <x:v>https://datafiles.chinhphu.vn/cpp/files/vbpq/2026/5/18-bxd.pdf</x:v>
      </x:c>
      <x:c r="AB222" s="14" t="str">
        <x:v>sms; an toan</x:v>
      </x:c>
    </x:row>
    <x:row r="223">
      <x:c r="A223" s="14" t="str">
        <x:v>VATM-0222</x:v>
      </x:c>
      <x:c r="B223" s="14" t="str">
        <x:v>20</x:v>
      </x:c>
      <x:c r="C223" s="14" t="str">
        <x:v>Thông tư 18/2026/TT-BXD - Chương trình an toàn HKDD</x:v>
      </x:c>
      <x:c r="D223" s="14" t="str">
        <x:v>Tong_hop_nhiem_vu_TT18_2026_TT_BXD_VATM_ANSP.xlsx</x:v>
      </x:c>
      <x:c r="E223" s="14" t="str">
        <x:v>03_SMS_PL_I</x:v>
      </x:c>
      <x:c r="F223" s="56" t="n">
        <x:v>21</x:v>
      </x:c>
      <x:c r="G223" s="14" t="str">
        <x:v>Điều 7</x:v>
      </x:c>
      <x:c r="H223" s="14" t="str">
        <x:v>An toàn hàng không / SMS</x:v>
      </x:c>
      <x:c r="I223" s="14" t="str">
        <x:v>Khung SMS và quản trị an toàn</x:v>
      </x:c>
      <x:c r="J223" s="14" t="str">
        <x:v>2. Quản lý rủi ro - Đánh giá/giảm thiểu</x:v>
      </x:c>
      <x:c r="K223" s="14" t="str">
        <x:v>Trực tiếp</x:v>
      </x:c>
      <x:c r="L223" s="14" t="str">
        <x:v>SMS/QLAT</x:v>
      </x:c>
      <x:c r="M223" s="14" t="str"/>
      <x:c r="N223" s="14" t="str">
        <x:v>Xây dựng và duy trì quy trình bảo đảm phân tích, đánh giá và kiểm soát rủi ro an toàn liên quan đến các mối nguy đã nhận diện.</x:v>
      </x:c>
      <x:c r="O223" s="14" t="str"/>
      <x:c r="P223" s="14" t="str">
        <x:v>Risk matrix; hồ sơ đánh giá; biện pháp kiểm soát; theo dõi hiệu lực.</x:v>
      </x:c>
      <x:c r="Q223" s="14" t="str">
        <x:v>Risk matrix; hồ sơ đánh giá; biện pháp kiểm soát; theo dõi hiệu lực.</x:v>
      </x:c>
      <x:c r="R223" s="14" t="str"/>
      <x:c r="S223" s="14" t="str">
        <x:v>Ban An toàn - Chất lượng</x:v>
      </x:c>
      <x:c r="T223" s="14" t="str">
        <x:v>Các Công ty Quản lý bay khu vực Bắc/Trung/Nam; Ban An toàn - Chất lượng</x:v>
      </x:c>
      <x:c r="U223" s="14" t="str"/>
      <x:c r="V223" s="14" t="str">
        <x:v>Áp dụng với từng mối nguy/thay đổi/sự cố.</x:v>
      </x:c>
      <x:c r="W223" s="14" t="str">
        <x:v>P2</x:v>
      </x:c>
      <x:c r="X223" s="14" t="str"/>
      <x:c r="Y223" s="14" t="str">
        <x:v>Chưa bắt đầu</x:v>
      </x:c>
      <x:c r="Z223" s="14" t="str"/>
      <x:c r="AA223" s="14" t="str">
        <x:v>https://datafiles.chinhphu.vn/cpp/files/vbpq/2026/5/18-bxd.pdf</x:v>
      </x:c>
      <x:c r="AB223" s="14" t="str">
        <x:v>sms; an toan</x:v>
      </x:c>
    </x:row>
    <x:row r="224">
      <x:c r="A224" s="14" t="str">
        <x:v>VATM-0223</x:v>
      </x:c>
      <x:c r="B224" s="14" t="str">
        <x:v>21</x:v>
      </x:c>
      <x:c r="C224" s="14" t="str">
        <x:v>Thông tư 18/2026/TT-BXD - Chương trình an toàn HKDD</x:v>
      </x:c>
      <x:c r="D224" s="14" t="str">
        <x:v>Tong_hop_nhiem_vu_TT18_2026_TT_BXD_VATM_ANSP.xlsx</x:v>
      </x:c>
      <x:c r="E224" s="14" t="str">
        <x:v>03_SMS_PL_I</x:v>
      </x:c>
      <x:c r="F224" s="56" t="n">
        <x:v>22</x:v>
      </x:c>
      <x:c r="G224" s="14" t="str">
        <x:v>Điều 8 khoản 1</x:v>
      </x:c>
      <x:c r="H224" s="14" t="str">
        <x:v>An toàn hàng không / SMS</x:v>
      </x:c>
      <x:c r="I224" s="14" t="str">
        <x:v>Khung SMS và quản trị an toàn</x:v>
      </x:c>
      <x:c r="J224" s="14" t="str">
        <x:v>3. Bảo đảm an toàn - Giám sát hiệu quả</x:v>
      </x:c>
      <x:c r="K224" s="14" t="str">
        <x:v>Trực tiếp</x:v>
      </x:c>
      <x:c r="L224" s="14" t="str">
        <x:v>SMS/QLAT</x:v>
      </x:c>
      <x:c r="M224" s="14" t="str"/>
      <x:c r="N224" s="14" t="str">
        <x:v>Xây dựng và duy trì phương thức đánh giá hiệu quả an toàn của tổ chức và đánh giá tính hiệu lực của biện pháp kiểm soát, giảm thiểu rủi ro.</x:v>
      </x:c>
      <x:c r="O224" s="14" t="str"/>
      <x:c r="P224" s="14" t="str">
        <x:v>Chương trình giám sát an toàn; dashboard; audit/inspection; safety review; đánh giá hiệu quả CAPA.</x:v>
      </x:c>
      <x:c r="Q224" s="14" t="str">
        <x:v>Chương trình giám sát an toàn; dashboard; audit/inspection; safety review; đánh giá hiệu quả CAPA.</x:v>
      </x:c>
      <x:c r="R224" s="14" t="str"/>
      <x:c r="S224" s="14" t="str">
        <x:v>Ban An toàn - Chất lượng</x:v>
      </x:c>
      <x:c r="T224" s="14" t="str">
        <x:v>Các Công ty Quản lý bay khu vực Bắc/Trung/Nam; Ban An toàn - Chất lượng</x:v>
      </x:c>
      <x:c r="U224" s="14" t="str"/>
      <x:c r="V224" s="14" t="str">
        <x:v>Định kỳ và sau khi triển khai biện pháp.</x:v>
      </x:c>
      <x:c r="W224" s="14" t="str">
        <x:v>P2</x:v>
      </x:c>
      <x:c r="X224" s="14" t="str"/>
      <x:c r="Y224" s="14" t="str">
        <x:v>Chưa bắt đầu</x:v>
      </x:c>
      <x:c r="Z224" s="14" t="str"/>
      <x:c r="AA224" s="14" t="str">
        <x:v>https://datafiles.chinhphu.vn/cpp/files/vbpq/2026/5/18-bxd.pdf</x:v>
      </x:c>
      <x:c r="AB224" s="14" t="str">
        <x:v>sms; an toan</x:v>
      </x:c>
    </x:row>
    <x:row r="225">
      <x:c r="A225" s="14" t="str">
        <x:v>VATM-0224</x:v>
      </x:c>
      <x:c r="B225" s="14" t="str">
        <x:v>22</x:v>
      </x:c>
      <x:c r="C225" s="14" t="str">
        <x:v>Thông tư 18/2026/TT-BXD - Chương trình an toàn HKDD</x:v>
      </x:c>
      <x:c r="D225" s="14" t="str">
        <x:v>Tong_hop_nhiem_vu_TT18_2026_TT_BXD_VATM_ANSP.xlsx</x:v>
      </x:c>
      <x:c r="E225" s="14" t="str">
        <x:v>03_SMS_PL_I</x:v>
      </x:c>
      <x:c r="F225" s="56" t="n">
        <x:v>23</x:v>
      </x:c>
      <x:c r="G225" s="14" t="str">
        <x:v>Điều 8 khoản 2</x:v>
      </x:c>
      <x:c r="H225" s="14" t="str">
        <x:v>An toàn hàng không / SMS</x:v>
      </x:c>
      <x:c r="I225" s="14" t="str">
        <x:v>Khung SMS và quản trị an toàn</x:v>
      </x:c>
      <x:c r="J225" s="14" t="str">
        <x:v>3. Bảo đảm an toàn - SPI/SPT</x:v>
      </x:c>
      <x:c r="K225" s="14" t="str">
        <x:v>Trực tiếp</x:v>
      </x:c>
      <x:c r="L225" s="14" t="str">
        <x:v>Báo cáo/điều tra/khắc phục</x:v>
      </x:c>
      <x:c r="M225" s="14" t="str"/>
      <x:c r="N225" s="14" t="str">
        <x:v>Xác minh hiệu quả an toàn dựa trên SPI và SPT của SMS nhằm hỗ trợ mục tiêu an toàn của tổ chức.</x:v>
      </x:c>
      <x:c r="O225" s="14" t="str"/>
      <x:c r="P225" s="14" t="str">
        <x:v>Danh mục SPI/SPT SMS; trend; ngưỡng cảnh báo; báo cáo đánh giá.</x:v>
      </x:c>
      <x:c r="Q225" s="14" t="str">
        <x:v>Danh mục SPI/SPT SMS; trend; ngưỡng cảnh báo; báo cáo đánh giá.</x:v>
      </x:c>
      <x:c r="R225" s="14" t="str"/>
      <x:c r="S225" s="14" t="str">
        <x:v>Ban An toàn - Chất lượng</x:v>
      </x:c>
      <x:c r="T225" s="14" t="str">
        <x:v>Các Công ty Quản lý bay khu vực Bắc/Trung/Nam; Ban An toàn - Chất lượng</x:v>
      </x:c>
      <x:c r="U225" s="14" t="str"/>
      <x:c r="V225" s="14" t="str">
        <x:v>Theo kỳ tháng/quý/năm.</x:v>
      </x:c>
      <x:c r="W225" s="14" t="str">
        <x:v>P2</x:v>
      </x:c>
      <x:c r="X225" s="14" t="str"/>
      <x:c r="Y225" s="14" t="str">
        <x:v>Chưa bắt đầu</x:v>
      </x:c>
      <x:c r="Z225" s="14" t="str"/>
      <x:c r="AA225" s="14" t="str">
        <x:v>https://datafiles.chinhphu.vn/cpp/files/vbpq/2026/5/18-bxd.pdf</x:v>
      </x:c>
      <x:c r="AB225" s="14" t="str">
        <x:v>sms; an toan; spi; spt</x:v>
      </x:c>
    </x:row>
    <x:row r="226">
      <x:c r="A226" s="14" t="str">
        <x:v>VATM-0225</x:v>
      </x:c>
      <x:c r="B226" s="14" t="str">
        <x:v>23</x:v>
      </x:c>
      <x:c r="C226" s="14" t="str">
        <x:v>Thông tư 18/2026/TT-BXD - Chương trình an toàn HKDD</x:v>
      </x:c>
      <x:c r="D226" s="14" t="str">
        <x:v>Tong_hop_nhiem_vu_TT18_2026_TT_BXD_VATM_ANSP.xlsx</x:v>
      </x:c>
      <x:c r="E226" s="14" t="str">
        <x:v>03_SMS_PL_I</x:v>
      </x:c>
      <x:c r="F226" s="56" t="n">
        <x:v>24</x:v>
      </x:c>
      <x:c r="G226" s="14" t="str">
        <x:v>Điều 9</x:v>
      </x:c>
      <x:c r="H226" s="14" t="str">
        <x:v>An toàn hàng không / SMS</x:v>
      </x:c>
      <x:c r="I226" s="14" t="str">
        <x:v>Khung SMS và quản trị an toàn</x:v>
      </x:c>
      <x:c r="J226" s="14" t="str">
        <x:v>3. Bảo đảm an toàn - Quản lý thay đổi</x:v>
      </x:c>
      <x:c r="K226" s="14" t="str">
        <x:v>Trực tiếp</x:v>
      </x:c>
      <x:c r="L226" s="14" t="str">
        <x:v>SMS/QLAT</x:v>
      </x:c>
      <x:c r="M226" s="14" t="str"/>
      <x:c r="N226" s="14" t="str">
        <x:v>Xây dựng và duy trì quy trình nhận diện thay đổi có thể ảnh hưởng mức độ rủi ro an toàn liên quan đến sản phẩm/dịch vụ hàng không; nhận diện và quản lý rủi ro phát sinh từ thay đổi đó.</x:v>
      </x:c>
      <x:c r="O226" s="14" t="str"/>
      <x:c r="P226" s="14" t="str">
        <x:v>Change management procedure; safety assessment; phê duyệt thay đổi; kiểm tra sau triển khai.</x:v>
      </x:c>
      <x:c r="Q226" s="14" t="str">
        <x:v>Change management procedure; safety assessment; phê duyệt thay đổi; kiểm tra sau triển khai.</x:v>
      </x:c>
      <x:c r="R226" s="14" t="str"/>
      <x:c r="S226" s="14" t="str">
        <x:v>Ban An toàn - Chất lượng</x:v>
      </x:c>
      <x:c r="T226" s="14" t="str">
        <x:v>Các Công ty Quản lý bay khu vực Bắc/Trung/Nam; Ban An toàn - Chất lượng</x:v>
      </x:c>
      <x:c r="U226" s="14" t="str"/>
      <x:c r="V226" s="14" t="str">
        <x:v>Trước, trong và sau mỗi thay đổi có ảnh hưởng an toàn.</x:v>
      </x:c>
      <x:c r="W226" s="14" t="str">
        <x:v>P2</x:v>
      </x:c>
      <x:c r="X226" s="14" t="str"/>
      <x:c r="Y226" s="14" t="str">
        <x:v>Chưa bắt đầu</x:v>
      </x:c>
      <x:c r="Z226" s="14" t="str"/>
      <x:c r="AA226" s="14" t="str">
        <x:v>https://datafiles.chinhphu.vn/cpp/files/vbpq/2026/5/18-bxd.pdf</x:v>
      </x:c>
      <x:c r="AB226" s="14" t="str">
        <x:v>sms; an toan</x:v>
      </x:c>
    </x:row>
    <x:row r="227">
      <x:c r="A227" s="14" t="str">
        <x:v>VATM-0226</x:v>
      </x:c>
      <x:c r="B227" s="14" t="str">
        <x:v>24</x:v>
      </x:c>
      <x:c r="C227" s="14" t="str">
        <x:v>Thông tư 18/2026/TT-BXD - Chương trình an toàn HKDD</x:v>
      </x:c>
      <x:c r="D227" s="14" t="str">
        <x:v>Tong_hop_nhiem_vu_TT18_2026_TT_BXD_VATM_ANSP.xlsx</x:v>
      </x:c>
      <x:c r="E227" s="14" t="str">
        <x:v>03_SMS_PL_I</x:v>
      </x:c>
      <x:c r="F227" s="56" t="n">
        <x:v>25</x:v>
      </x:c>
      <x:c r="G227" s="14" t="str">
        <x:v>Điều 10</x:v>
      </x:c>
      <x:c r="H227" s="14" t="str">
        <x:v>An toàn hàng không / SMS</x:v>
      </x:c>
      <x:c r="I227" s="14" t="str">
        <x:v>Khung SMS và quản trị an toàn</x:v>
      </x:c>
      <x:c r="J227" s="14" t="str">
        <x:v>3. Bảo đảm an toàn - Cải tiến liên tục</x:v>
      </x:c>
      <x:c r="K227" s="14" t="str">
        <x:v>Trực tiếp</x:v>
      </x:c>
      <x:c r="L227" s="14" t="str">
        <x:v>SMS/QLAT</x:v>
      </x:c>
      <x:c r="M227" s="14" t="str"/>
      <x:c r="N227" s="14" t="str">
        <x:v>Giám sát và đánh giá các quy trình SMS nhằm duy trì hoặc liên tục cải tiến hiệu lực tổng thể của SMS.</x:v>
      </x:c>
      <x:c r="O227" s="14" t="str"/>
      <x:c r="P227" s="14" t="str">
        <x:v>Kế hoạch cải tiến; kết quả tự đánh giá; hành động cải tiến.</x:v>
      </x:c>
      <x:c r="Q227" s="14" t="str">
        <x:v>Kế hoạch cải tiến; kết quả tự đánh giá; hành động cải tiến.</x:v>
      </x:c>
      <x:c r="R227" s="14" t="str"/>
      <x:c r="S227" s="14" t="str">
        <x:v>Ban An toàn - Chất lượng</x:v>
      </x:c>
      <x:c r="T227" s="14" t="str">
        <x:v>Các Công ty Quản lý bay khu vực Bắc/Trung/Nam; Ban An toàn - Chất lượng</x:v>
      </x:c>
      <x:c r="U227" s="14" t="str"/>
      <x:c r="V227" s="14" t="str">
        <x:v>Định kỳ hằng năm và sau audit/sự cố/thay đổi.</x:v>
      </x:c>
      <x:c r="W227" s="14" t="str">
        <x:v>P2</x:v>
      </x:c>
      <x:c r="X227" s="14" t="str"/>
      <x:c r="Y227" s="14" t="str">
        <x:v>Chưa bắt đầu</x:v>
      </x:c>
      <x:c r="Z227" s="14" t="str"/>
      <x:c r="AA227" s="14" t="str">
        <x:v>https://datafiles.chinhphu.vn/cpp/files/vbpq/2026/5/18-bxd.pdf</x:v>
      </x:c>
      <x:c r="AB227" s="14" t="str">
        <x:v>sms; an toan</x:v>
      </x:c>
    </x:row>
    <x:row r="228">
      <x:c r="A228" s="14" t="str">
        <x:v>VATM-0227</x:v>
      </x:c>
      <x:c r="B228" s="14" t="str">
        <x:v>25</x:v>
      </x:c>
      <x:c r="C228" s="14" t="str">
        <x:v>Thông tư 18/2026/TT-BXD - Chương trình an toàn HKDD</x:v>
      </x:c>
      <x:c r="D228" s="14" t="str">
        <x:v>Tong_hop_nhiem_vu_TT18_2026_TT_BXD_VATM_ANSP.xlsx</x:v>
      </x:c>
      <x:c r="E228" s="14" t="str">
        <x:v>03_SMS_PL_I</x:v>
      </x:c>
      <x:c r="F228" s="56" t="n">
        <x:v>26</x:v>
      </x:c>
      <x:c r="G228" s="14" t="str">
        <x:v>Điều 11 khoản 1</x:v>
      </x:c>
      <x:c r="H228" s="14" t="str">
        <x:v>An toàn hàng không / SMS</x:v>
      </x:c>
      <x:c r="I228" s="14" t="str">
        <x:v>Khung SMS và quản trị an toàn</x:v>
      </x:c>
      <x:c r="J228" s="14" t="str">
        <x:v>4. Thúc đẩy an toàn - Đào tạo</x:v>
      </x:c>
      <x:c r="K228" s="14" t="str">
        <x:v>Trực tiếp</x:v>
      </x:c>
      <x:c r="L228" s="14" t="str">
        <x:v>SMS/QLAT</x:v>
      </x:c>
      <x:c r="M228" s="14" t="str"/>
      <x:c r="N228" s="14" t="str">
        <x:v>Xây dựng và duy trì chương trình đào tạo an toàn bảo đảm nhân sự được đào tạo và có năng lực để thực hiện nhiệm vụ liên quan SMS.</x:v>
      </x:c>
      <x:c r="O228" s="14" t="str"/>
      <x:c r="P228" s="14" t="str">
        <x:v>Chương trình đào tạo; ma trận năng lực; hồ sơ đào tạo; kết quả đánh giá.</x:v>
      </x:c>
      <x:c r="Q228" s="14" t="str">
        <x:v>Chương trình đào tạo; ma trận năng lực; hồ sơ đào tạo; kết quả đánh giá.</x:v>
      </x:c>
      <x:c r="R228" s="14" t="str"/>
      <x:c r="S228" s="14" t="str">
        <x:v>Ban An toàn - Chất lượng</x:v>
      </x:c>
      <x:c r="T228" s="14" t="str">
        <x:v>Các Công ty Quản lý bay khu vực Bắc/Trung/Nam; Ban An toàn - Chất lượng</x:v>
      </x:c>
      <x:c r="U228" s="14" t="str"/>
      <x:c r="V228" s="14" t="str">
        <x:v>Theo kế hoạch đào tạo và khi thay đổi nhiệm vụ/hệ thống.</x:v>
      </x:c>
      <x:c r="W228" s="14" t="str">
        <x:v>P2</x:v>
      </x:c>
      <x:c r="X228" s="14" t="str"/>
      <x:c r="Y228" s="14" t="str">
        <x:v>Chưa bắt đầu</x:v>
      </x:c>
      <x:c r="Z228" s="14" t="str"/>
      <x:c r="AA228" s="14" t="str">
        <x:v>https://datafiles.chinhphu.vn/cpp/files/vbpq/2026/5/18-bxd.pdf</x:v>
      </x:c>
      <x:c r="AB228" s="14" t="str">
        <x:v>sms; an toan</x:v>
      </x:c>
    </x:row>
    <x:row r="229">
      <x:c r="A229" s="14" t="str">
        <x:v>VATM-0228</x:v>
      </x:c>
      <x:c r="B229" s="14" t="str">
        <x:v>26</x:v>
      </x:c>
      <x:c r="C229" s="14" t="str">
        <x:v>Thông tư 18/2026/TT-BXD - Chương trình an toàn HKDD</x:v>
      </x:c>
      <x:c r="D229" s="14" t="str">
        <x:v>Tong_hop_nhiem_vu_TT18_2026_TT_BXD_VATM_ANSP.xlsx</x:v>
      </x:c>
      <x:c r="E229" s="14" t="str">
        <x:v>03_SMS_PL_I</x:v>
      </x:c>
      <x:c r="F229" s="56" t="n">
        <x:v>27</x:v>
      </x:c>
      <x:c r="G229" s="14" t="str">
        <x:v>Điều 11 khoản 2</x:v>
      </x:c>
      <x:c r="H229" s="14" t="str">
        <x:v>An toàn hàng không / SMS</x:v>
      </x:c>
      <x:c r="I229" s="14" t="str">
        <x:v>Khung SMS và quản trị an toàn</x:v>
      </x:c>
      <x:c r="J229" s="14" t="str">
        <x:v>4. Thúc đẩy an toàn - Phạm vi đào tạo</x:v>
      </x:c>
      <x:c r="K229" s="14" t="str">
        <x:v>Trực tiếp</x:v>
      </x:c>
      <x:c r="L229" s="14" t="str">
        <x:v>SMS/QLAT</x:v>
      </x:c>
      <x:c r="M229" s="14" t="str"/>
      <x:c r="N229" s="14" t="str">
        <x:v>Phạm vi chương trình đào tạo an toàn phù hợp với mức độ tham gia của từng cá nhân vào SMS.</x:v>
      </x:c>
      <x:c r="O229" s="14" t="str"/>
      <x:c r="P229" s="14" t="str">
        <x:v>Ma trận đối tượng đào tạo; nội dung theo vai trò; tiêu chuẩn năng lực.</x:v>
      </x:c>
      <x:c r="Q229" s="14" t="str">
        <x:v>Ma trận đối tượng đào tạo; nội dung theo vai trò; tiêu chuẩn năng lực.</x:v>
      </x:c>
      <x:c r="R229" s="14" t="str"/>
      <x:c r="S229" s="14" t="str">
        <x:v>Ban An toàn - Chất lượng</x:v>
      </x:c>
      <x:c r="T229" s="14" t="str">
        <x:v>Các Công ty Quản lý bay khu vực Bắc/Trung/Nam; Ban An toàn - Chất lượng</x:v>
      </x:c>
      <x:c r="U229" s="14" t="str"/>
      <x:c r="V229" s="14" t="str">
        <x:v>Cập nhật khi thay đổi vai trò/nhân sự.</x:v>
      </x:c>
      <x:c r="W229" s="14" t="str">
        <x:v>P2</x:v>
      </x:c>
      <x:c r="X229" s="14" t="str"/>
      <x:c r="Y229" s="14" t="str">
        <x:v>Chưa bắt đầu</x:v>
      </x:c>
      <x:c r="Z229" s="14" t="str"/>
      <x:c r="AA229" s="14" t="str">
        <x:v>https://datafiles.chinhphu.vn/cpp/files/vbpq/2026/5/18-bxd.pdf</x:v>
      </x:c>
      <x:c r="AB229" s="14" t="str">
        <x:v>sms; an toan</x:v>
      </x:c>
    </x:row>
    <x:row r="230">
      <x:c r="A230" s="14" t="str">
        <x:v>VATM-0229</x:v>
      </x:c>
      <x:c r="B230" s="14" t="str">
        <x:v>27</x:v>
      </x:c>
      <x:c r="C230" s="14" t="str">
        <x:v>Thông tư 18/2026/TT-BXD - Chương trình an toàn HKDD</x:v>
      </x:c>
      <x:c r="D230" s="14" t="str">
        <x:v>Tong_hop_nhiem_vu_TT18_2026_TT_BXD_VATM_ANSP.xlsx</x:v>
      </x:c>
      <x:c r="E230" s="14" t="str">
        <x:v>03_SMS_PL_I</x:v>
      </x:c>
      <x:c r="F230" s="56" t="n">
        <x:v>28</x:v>
      </x:c>
      <x:c r="G230" s="14" t="str">
        <x:v>Điều 12</x:v>
      </x:c>
      <x:c r="H230" s="14" t="str">
        <x:v>An toàn hàng không / SMS</x:v>
      </x:c>
      <x:c r="I230" s="14" t="str">
        <x:v>Khung SMS và quản trị an toàn</x:v>
      </x:c>
      <x:c r="J230" s="14" t="str">
        <x:v>4. Thúc đẩy an toàn - Truyền thông</x:v>
      </x:c>
      <x:c r="K230" s="14" t="str">
        <x:v>Trực tiếp</x:v>
      </x:c>
      <x:c r="L230" s="14" t="str">
        <x:v>SMS/QLAT</x:v>
      </x:c>
      <x:c r="M230" s="14" t="str"/>
      <x:c r="N230" s="14" t="str">
        <x:v>Xây dựng và duy trì phương thức chính thức về truyền thông an toàn để bảo đảm nhân sự nhận thức SMS phù hợp vị trí; truyền đạt thông tin quan trọng; giải thích lý do hành động nâng cao an toàn; giải thích lý do ban hành/thay đổi quy trình, thông tin an toàn.</x:v>
      </x:c>
      <x:c r="O230" s="14" t="str"/>
      <x:c r="P230" s="14" t="str">
        <x:v>Bản tin an toàn; safety briefing; thông báo thay đổi; lưu vết phổ biến/nhận biết.</x:v>
      </x:c>
      <x:c r="Q230" s="14" t="str">
        <x:v>Bản tin an toàn; safety briefing; thông báo thay đổi; lưu vết phổ biến/nhận biết.</x:v>
      </x:c>
      <x:c r="R230" s="14" t="str"/>
      <x:c r="S230" s="14" t="str">
        <x:v>Ban An toàn - Chất lượng</x:v>
      </x:c>
      <x:c r="T230" s="14" t="str">
        <x:v>Các Công ty Quản lý bay khu vực Bắc/Trung/Nam; Ban An toàn - Chất lượng</x:v>
      </x:c>
      <x:c r="U230" s="14" t="str"/>
      <x:c r="V230" s="14" t="str">
        <x:v>Thường xuyên; trước/sau thay đổi và sau sự cố.</x:v>
      </x:c>
      <x:c r="W230" s="14" t="str">
        <x:v>P2</x:v>
      </x:c>
      <x:c r="X230" s="14" t="str"/>
      <x:c r="Y230" s="14" t="str">
        <x:v>Chưa bắt đầu</x:v>
      </x:c>
      <x:c r="Z230" s="14" t="str"/>
      <x:c r="AA230" s="14" t="str">
        <x:v>https://datafiles.chinhphu.vn/cpp/files/vbpq/2026/5/18-bxd.pdf</x:v>
      </x:c>
      <x:c r="AB230" s="14" t="str">
        <x:v>sms; an toan</x:v>
      </x:c>
    </x:row>
    <x:row r="231">
      <x:c r="A231" s="14" t="str">
        <x:v>VATM-0230</x:v>
      </x:c>
      <x:c r="B231" s="14" t="str">
        <x:v>AOC-01</x:v>
      </x:c>
      <x:c r="C231" s="14" t="str">
        <x:v>Thông tư 18/2026/TT-BXD - Chương trình an toàn HKDD</x:v>
      </x:c>
      <x:c r="D231" s="14" t="str">
        <x:v>Tong_hop_nhiem_vu_TT18_2026_TT_BXD_VATM_ANSP.xlsx</x:v>
      </x:c>
      <x:c r="E231" s="14" t="str">
        <x:v>04_SPI_PL_II</x:v>
      </x:c>
      <x:c r="F231" s="56" t="n">
        <x:v>2</x:v>
      </x:c>
      <x:c r="G231" s="14" t="str">
        <x:v>Phụ lục II Điều 1</x:v>
      </x:c>
      <x:c r="H231" s="14" t="str">
        <x:v>An toàn hàng không / SMS</x:v>
      </x:c>
      <x:c r="I231" s="14" t="str">
        <x:v>SPI/SPT và chỉ số an toàn</x:v>
      </x:c>
      <x:c r="J231" s="14" t="str">
        <x:v>Người khai thác tàu bay cánh bằng</x:v>
      </x:c>
      <x:c r="K231" s="14" t="str">
        <x:v>Phối hợp/Gián tiếp</x:v>
      </x:c>
      <x:c r="L231" s="14" t="str">
        <x:v>Báo cáo/điều tra/khắc phục</x:v>
      </x:c>
      <x:c r="M231" s="14" t="str"/>
      <x:c r="N231" s="14" t="str">
        <x:v>Tai nạn máy bay: Số vụ tai nạn máy bay.</x:v>
      </x:c>
      <x:c r="O231" s="14" t="str">
        <x:v>Thu thập dữ liệu, phân tích xu hướng, so sánh SPT/ngưỡng cảnh báo, triển khai biện pháp khi cần và đưa vào báo cáo định kỳ.</x:v>
      </x:c>
      <x:c r="P231" s="14" t="str"/>
      <x:c r="Q231" s="14" t="str"/>
      <x:c r="R231" s="14" t="str"/>
      <x:c r="S231" s="14" t="str">
        <x:v>Ban An toàn - Chất lượng</x:v>
      </x:c>
      <x:c r="T231" s="14" t="str">
        <x:v>Các Công ty Quản lý bay khu vực Bắc/Trung/Nam; Ban An toàn - Chất lượng</x:v>
      </x:c>
      <x:c r="U231" s="14" t="str"/>
      <x:c r="V231" s="14" t="str">
        <x:v>Trên 1000 chuyến bay</x:v>
      </x:c>
      <x:c r="W231" s="14" t="str">
        <x:v>P2</x:v>
      </x:c>
      <x:c r="X231" s="14" t="str"/>
      <x:c r="Y231" s="14" t="str">
        <x:v>Chưa bắt đầu</x:v>
      </x:c>
      <x:c r="Z231" s="14" t="str"/>
      <x:c r="AA231" s="14" t="str">
        <x:v>https://datafiles.chinhphu.vn/cpp/files/vbpq/2026/5/18-bxd.pdf</x:v>
      </x:c>
      <x:c r="AB231" s="14" t="str">
        <x:v>sms; an toan; spi; spt</x:v>
      </x:c>
    </x:row>
    <x:row r="232">
      <x:c r="A232" s="14" t="str">
        <x:v>VATM-0231</x:v>
      </x:c>
      <x:c r="B232" s="14" t="str">
        <x:v>AOC-10</x:v>
      </x:c>
      <x:c r="C232" s="14" t="str">
        <x:v>Thông tư 18/2026/TT-BXD - Chương trình an toàn HKDD</x:v>
      </x:c>
      <x:c r="D232" s="14" t="str">
        <x:v>Tong_hop_nhiem_vu_TT18_2026_TT_BXD_VATM_ANSP.xlsx</x:v>
      </x:c>
      <x:c r="E232" s="14" t="str">
        <x:v>04_SPI_PL_II</x:v>
      </x:c>
      <x:c r="F232" s="56" t="n">
        <x:v>11</x:v>
      </x:c>
      <x:c r="G232" s="14" t="str">
        <x:v>Phụ lục II Điều 1</x:v>
      </x:c>
      <x:c r="H232" s="14" t="str">
        <x:v>An toàn hàng không / SMS</x:v>
      </x:c>
      <x:c r="I232" s="14" t="str">
        <x:v>SPI/SPT và chỉ số an toàn</x:v>
      </x:c>
      <x:c r="J232" s="14" t="str">
        <x:v>Người khai thác tàu bay cánh bằng</x:v>
      </x:c>
      <x:c r="K232" s="14" t="str">
        <x:v>Phối hợp/Gián tiếp</x:v>
      </x:c>
      <x:c r="L232" s="14" t="str">
        <x:v>Báo cáo/điều tra/khắc phục</x:v>
      </x:c>
      <x:c r="M232" s="14" t="str"/>
      <x:c r="N232" s="14" t="str">
        <x:v>Lăn nhầm đường lăn: Số lần tàu bay lăn không theo chỉ lệnh của kiểm soát viên không lưu.</x:v>
      </x:c>
      <x:c r="O232" s="14" t="str">
        <x:v>Thu thập dữ liệu, phân tích xu hướng, so sánh SPT/ngưỡng cảnh báo, triển khai biện pháp khi cần và đưa vào báo cáo định kỳ.</x:v>
      </x:c>
      <x:c r="P232" s="14" t="str"/>
      <x:c r="Q232" s="14" t="str"/>
      <x:c r="R232" s="14" t="str"/>
      <x:c r="S232" s="14" t="str">
        <x:v>Ban An toàn - Chất lượng</x:v>
      </x:c>
      <x:c r="T232" s="14" t="str">
        <x:v>Các Công ty Quản lý bay khu vực Bắc/Trung/Nam; Ban An toàn - Chất lượng</x:v>
      </x:c>
      <x:c r="U232" s="14" t="str"/>
      <x:c r="V232" s="14" t="str">
        <x:v>Trên 1000 chuyển động tàu bay</x:v>
      </x:c>
      <x:c r="W232" s="14" t="str">
        <x:v>P2</x:v>
      </x:c>
      <x:c r="X232" s="14" t="str"/>
      <x:c r="Y232" s="14" t="str">
        <x:v>Chưa bắt đầu</x:v>
      </x:c>
      <x:c r="Z232" s="14" t="str"/>
      <x:c r="AA232" s="14" t="str">
        <x:v>https://datafiles.chinhphu.vn/cpp/files/vbpq/2026/5/18-bxd.pdf</x:v>
      </x:c>
      <x:c r="AB232" s="14" t="str">
        <x:v>sms; an toan; spi; spt</x:v>
      </x:c>
    </x:row>
    <x:row r="233">
      <x:c r="A233" s="14" t="str">
        <x:v>VATM-0232</x:v>
      </x:c>
      <x:c r="B233" s="14" t="str">
        <x:v>AOC-11</x:v>
      </x:c>
      <x:c r="C233" s="14" t="str">
        <x:v>Thông tư 18/2026/TT-BXD - Chương trình an toàn HKDD</x:v>
      </x:c>
      <x:c r="D233" s="14" t="str">
        <x:v>Tong_hop_nhiem_vu_TT18_2026_TT_BXD_VATM_ANSP.xlsx</x:v>
      </x:c>
      <x:c r="E233" s="14" t="str">
        <x:v>04_SPI_PL_II</x:v>
      </x:c>
      <x:c r="F233" s="56" t="n">
        <x:v>12</x:v>
      </x:c>
      <x:c r="G233" s="14" t="str">
        <x:v>Phụ lục II Điều 1</x:v>
      </x:c>
      <x:c r="H233" s="14" t="str">
        <x:v>An toàn hàng không / SMS</x:v>
      </x:c>
      <x:c r="I233" s="14" t="str">
        <x:v>SPI/SPT và chỉ số an toàn</x:v>
      </x:c>
      <x:c r="J233" s="14" t="str">
        <x:v>Người khai thác tàu bay cánh bằng</x:v>
      </x:c>
      <x:c r="K233" s="14" t="str">
        <x:v>Phối hợp/Gián tiếp</x:v>
      </x:c>
      <x:c r="L233" s="14" t="str">
        <x:v>Báo cáo/điều tra/khắc phục</x:v>
      </x:c>
      <x:c r="M233" s="14" t="str"/>
      <x:c r="N233" s="14" t="str">
        <x:v>Xâm nhập đường cất hạ cánh: Số lần máy bay xâm nhập trái phép đường cất hạ cánh.</x:v>
      </x:c>
      <x:c r="O233" s="14" t="str">
        <x:v>Thu thập dữ liệu, phân tích xu hướng, so sánh SPT/ngưỡng cảnh báo, triển khai biện pháp khi cần và đưa vào báo cáo định kỳ.</x:v>
      </x:c>
      <x:c r="P233" s="14" t="str"/>
      <x:c r="Q233" s="14" t="str"/>
      <x:c r="R233" s="14" t="str"/>
      <x:c r="S233" s="14" t="str">
        <x:v>Ban An toàn - Chất lượng</x:v>
      </x:c>
      <x:c r="T233" s="14" t="str">
        <x:v>Các Công ty Quản lý bay khu vực Bắc/Trung/Nam; Ban An toàn - Chất lượng</x:v>
      </x:c>
      <x:c r="U233" s="14" t="str"/>
      <x:c r="V233" s="14" t="str">
        <x:v>Trên 1000 chuyển động tàu bay</x:v>
      </x:c>
      <x:c r="W233" s="14" t="str">
        <x:v>P2</x:v>
      </x:c>
      <x:c r="X233" s="14" t="str"/>
      <x:c r="Y233" s="14" t="str">
        <x:v>Chưa bắt đầu</x:v>
      </x:c>
      <x:c r="Z233" s="14" t="str"/>
      <x:c r="AA233" s="14" t="str">
        <x:v>https://datafiles.chinhphu.vn/cpp/files/vbpq/2026/5/18-bxd.pdf</x:v>
      </x:c>
      <x:c r="AB233" s="14" t="str">
        <x:v>sms; an toan; spi; spt</x:v>
      </x:c>
    </x:row>
    <x:row r="234">
      <x:c r="A234" s="14" t="str">
        <x:v>VATM-0233</x:v>
      </x:c>
      <x:c r="B234" s="14" t="str">
        <x:v>AOC-12</x:v>
      </x:c>
      <x:c r="C234" s="14" t="str">
        <x:v>Thông tư 18/2026/TT-BXD - Chương trình an toàn HKDD</x:v>
      </x:c>
      <x:c r="D234" s="14" t="str">
        <x:v>Tong_hop_nhiem_vu_TT18_2026_TT_BXD_VATM_ANSP.xlsx</x:v>
      </x:c>
      <x:c r="E234" s="14" t="str">
        <x:v>04_SPI_PL_II</x:v>
      </x:c>
      <x:c r="F234" s="56" t="n">
        <x:v>13</x:v>
      </x:c>
      <x:c r="G234" s="14" t="str">
        <x:v>Phụ lục II Điều 1</x:v>
      </x:c>
      <x:c r="H234" s="14" t="str">
        <x:v>An toàn hàng không / SMS</x:v>
      </x:c>
      <x:c r="I234" s="14" t="str">
        <x:v>SPI/SPT và chỉ số an toàn</x:v>
      </x:c>
      <x:c r="J234" s="14" t="str">
        <x:v>Người khai thác tàu bay cánh bằng</x:v>
      </x:c>
      <x:c r="K234" s="14" t="str">
        <x:v>Phối hợp/Gián tiếp</x:v>
      </x:c>
      <x:c r="L234" s="14" t="str">
        <x:v>Báo cáo/điều tra/khắc phục</x:v>
      </x:c>
      <x:c r="M234" s="14" t="str"/>
      <x:c r="N234" s="14" t="str">
        <x:v>Nguy cơ va chạm trên không: Số lần tàu bay gần xảy ra va chạm với tàu bay khác dẫn đến kích hoạt hệ thống cảnh báo chống va chạm trên không.</x:v>
      </x:c>
      <x:c r="O234" s="14" t="str">
        <x:v>Thu thập dữ liệu, phân tích xu hướng, so sánh SPT/ngưỡng cảnh báo, triển khai biện pháp khi cần và đưa vào báo cáo định kỳ.</x:v>
      </x:c>
      <x:c r="P234" s="14" t="str"/>
      <x:c r="Q234" s="14" t="str"/>
      <x:c r="R234" s="14" t="str"/>
      <x:c r="S234" s="14" t="str">
        <x:v>Ban An toàn - Chất lượng</x:v>
      </x:c>
      <x:c r="T234" s="14" t="str">
        <x:v>Các Công ty Quản lý bay khu vực Bắc/Trung/Nam; Ban An toàn - Chất lượng</x:v>
      </x:c>
      <x:c r="U234" s="14" t="str"/>
      <x:c r="V234" s="14" t="str">
        <x:v>Trên 1000 chuyến bay</x:v>
      </x:c>
      <x:c r="W234" s="14" t="str">
        <x:v>P2</x:v>
      </x:c>
      <x:c r="X234" s="14" t="str"/>
      <x:c r="Y234" s="14" t="str">
        <x:v>Chưa bắt đầu</x:v>
      </x:c>
      <x:c r="Z234" s="14" t="str"/>
      <x:c r="AA234" s="14" t="str">
        <x:v>https://datafiles.chinhphu.vn/cpp/files/vbpq/2026/5/18-bxd.pdf</x:v>
      </x:c>
      <x:c r="AB234" s="14" t="str">
        <x:v>sms; an toan; spi; spt</x:v>
      </x:c>
    </x:row>
    <x:row r="235">
      <x:c r="A235" s="14" t="str">
        <x:v>VATM-0234</x:v>
      </x:c>
      <x:c r="B235" s="14" t="str">
        <x:v>AOC-13</x:v>
      </x:c>
      <x:c r="C235" s="14" t="str">
        <x:v>Thông tư 18/2026/TT-BXD - Chương trình an toàn HKDD</x:v>
      </x:c>
      <x:c r="D235" s="14" t="str">
        <x:v>Tong_hop_nhiem_vu_TT18_2026_TT_BXD_VATM_ANSP.xlsx</x:v>
      </x:c>
      <x:c r="E235" s="14" t="str">
        <x:v>04_SPI_PL_II</x:v>
      </x:c>
      <x:c r="F235" s="56" t="n">
        <x:v>14</x:v>
      </x:c>
      <x:c r="G235" s="14" t="str">
        <x:v>Phụ lục II Điều 1</x:v>
      </x:c>
      <x:c r="H235" s="14" t="str">
        <x:v>An toàn hàng không / SMS</x:v>
      </x:c>
      <x:c r="I235" s="14" t="str">
        <x:v>SPI/SPT và chỉ số an toàn</x:v>
      </x:c>
      <x:c r="J235" s="14" t="str">
        <x:v>Người khai thác tàu bay cánh bằng</x:v>
      </x:c>
      <x:c r="K235" s="14" t="str">
        <x:v>Phối hợp/Gián tiếp</x:v>
      </x:c>
      <x:c r="L235" s="14" t="str">
        <x:v>Báo cáo/điều tra/khắc phục</x:v>
      </x:c>
      <x:c r="M235" s="14" t="str"/>
      <x:c r="N235" s="14" t="str">
        <x:v>Sai lệch mực bay: Số lần tàu bay sai lệch mực bay so với mực bay được kiểm soát viên không lưu chỉ định.</x:v>
      </x:c>
      <x:c r="O235" s="14" t="str">
        <x:v>Thu thập dữ liệu, phân tích xu hướng, so sánh SPT/ngưỡng cảnh báo, triển khai biện pháp khi cần và đưa vào báo cáo định kỳ.</x:v>
      </x:c>
      <x:c r="P235" s="14" t="str"/>
      <x:c r="Q235" s="14" t="str"/>
      <x:c r="R235" s="14" t="str"/>
      <x:c r="S235" s="14" t="str">
        <x:v>Ban An toàn - Chất lượng</x:v>
      </x:c>
      <x:c r="T235" s="14" t="str">
        <x:v>Các Công ty Quản lý bay khu vực Bắc/Trung/Nam; Ban An toàn - Chất lượng</x:v>
      </x:c>
      <x:c r="U235" s="14" t="str"/>
      <x:c r="V235" s="14" t="str">
        <x:v>Trên 1000 chuyến bay</x:v>
      </x:c>
      <x:c r="W235" s="14" t="str">
        <x:v>P2</x:v>
      </x:c>
      <x:c r="X235" s="14" t="str"/>
      <x:c r="Y235" s="14" t="str">
        <x:v>Chưa bắt đầu</x:v>
      </x:c>
      <x:c r="Z235" s="14" t="str"/>
      <x:c r="AA235" s="14" t="str">
        <x:v>https://datafiles.chinhphu.vn/cpp/files/vbpq/2026/5/18-bxd.pdf</x:v>
      </x:c>
      <x:c r="AB235" s="14" t="str">
        <x:v>sms; an toan; spi; spt</x:v>
      </x:c>
    </x:row>
    <x:row r="236">
      <x:c r="A236" s="14" t="str">
        <x:v>VATM-0235</x:v>
      </x:c>
      <x:c r="B236" s="14" t="str">
        <x:v>AOC-14</x:v>
      </x:c>
      <x:c r="C236" s="14" t="str">
        <x:v>Thông tư 18/2026/TT-BXD - Chương trình an toàn HKDD</x:v>
      </x:c>
      <x:c r="D236" s="14" t="str">
        <x:v>Tong_hop_nhiem_vu_TT18_2026_TT_BXD_VATM_ANSP.xlsx</x:v>
      </x:c>
      <x:c r="E236" s="14" t="str">
        <x:v>04_SPI_PL_II</x:v>
      </x:c>
      <x:c r="F236" s="56" t="n">
        <x:v>15</x:v>
      </x:c>
      <x:c r="G236" s="14" t="str">
        <x:v>Phụ lục II Điều 1</x:v>
      </x:c>
      <x:c r="H236" s="14" t="str">
        <x:v>An toàn hàng không / SMS</x:v>
      </x:c>
      <x:c r="I236" s="14" t="str">
        <x:v>SPI/SPT và chỉ số an toàn</x:v>
      </x:c>
      <x:c r="J236" s="14" t="str">
        <x:v>Người khai thác tàu bay cánh bằng</x:v>
      </x:c>
      <x:c r="K236" s="14" t="str">
        <x:v>Phối hợp/Gián tiếp</x:v>
      </x:c>
      <x:c r="L236" s="14" t="str">
        <x:v>Báo cáo/điều tra/khắc phục</x:v>
      </x:c>
      <x:c r="M236" s="14" t="str"/>
      <x:c r="N236" s="14" t="str">
        <x:v>Vi phạm không phận: Số lần máy bay bay vào khu vực không phận khi chưa được phép bởi cơ sở điều hành không lưu hoặc cơ quan có thẩm quyền.</x:v>
      </x:c>
      <x:c r="O236" s="14" t="str">
        <x:v>Thu thập dữ liệu, phân tích xu hướng, so sánh SPT/ngưỡng cảnh báo, triển khai biện pháp khi cần và đưa vào báo cáo định kỳ.</x:v>
      </x:c>
      <x:c r="P236" s="14" t="str"/>
      <x:c r="Q236" s="14" t="str"/>
      <x:c r="R236" s="14" t="str"/>
      <x:c r="S236" s="14" t="str">
        <x:v>Ban An toàn - Chất lượng</x:v>
      </x:c>
      <x:c r="T236" s="14" t="str">
        <x:v>Các Công ty Quản lý bay khu vực Bắc/Trung/Nam; Ban An toàn - Chất lượng</x:v>
      </x:c>
      <x:c r="U236" s="14" t="str"/>
      <x:c r="V236" s="14" t="str">
        <x:v>Trên 1000 chuyến bay</x:v>
      </x:c>
      <x:c r="W236" s="14" t="str">
        <x:v>P2</x:v>
      </x:c>
      <x:c r="X236" s="14" t="str"/>
      <x:c r="Y236" s="14" t="str">
        <x:v>Chưa bắt đầu</x:v>
      </x:c>
      <x:c r="Z236" s="14" t="str"/>
      <x:c r="AA236" s="14" t="str">
        <x:v>https://datafiles.chinhphu.vn/cpp/files/vbpq/2026/5/18-bxd.pdf</x:v>
      </x:c>
      <x:c r="AB236" s="14" t="str">
        <x:v>sms; an toan; spi; spt</x:v>
      </x:c>
    </x:row>
    <x:row r="237">
      <x:c r="A237" s="14" t="str">
        <x:v>VATM-0236</x:v>
      </x:c>
      <x:c r="B237" s="14" t="str">
        <x:v>AOC-16</x:v>
      </x:c>
      <x:c r="C237" s="14" t="str">
        <x:v>Thông tư 18/2026/TT-BXD - Chương trình an toàn HKDD</x:v>
      </x:c>
      <x:c r="D237" s="14" t="str">
        <x:v>Tong_hop_nhiem_vu_TT18_2026_TT_BXD_VATM_ANSP.xlsx</x:v>
      </x:c>
      <x:c r="E237" s="14" t="str">
        <x:v>04_SPI_PL_II</x:v>
      </x:c>
      <x:c r="F237" s="56" t="n">
        <x:v>17</x:v>
      </x:c>
      <x:c r="G237" s="14" t="str">
        <x:v>Phụ lục II Điều 1</x:v>
      </x:c>
      <x:c r="H237" s="14" t="str">
        <x:v>An toàn hàng không / SMS</x:v>
      </x:c>
      <x:c r="I237" s="14" t="str">
        <x:v>SPI/SPT và chỉ số an toàn</x:v>
      </x:c>
      <x:c r="J237" s="14" t="str">
        <x:v>Người khai thác tàu bay cánh bằng</x:v>
      </x:c>
      <x:c r="K237" s="14" t="str">
        <x:v>Phối hợp/Gián tiếp</x:v>
      </x:c>
      <x:c r="L237" s="14" t="str">
        <x:v>Báo cáo/điều tra/khắc phục</x:v>
      </x:c>
      <x:c r="M237" s="14" t="str"/>
      <x:c r="N237" s="14" t="str">
        <x:v>Va chạm vào địa hình: Số lần máy bay đang trong trạng thái được kiểm soát va chạm với địa hình, mặt nước hoặc chướng ngại vật.</x:v>
      </x:c>
      <x:c r="O237" s="14" t="str">
        <x:v>Thu thập dữ liệu, phân tích xu hướng, so sánh SPT/ngưỡng cảnh báo, triển khai biện pháp khi cần và đưa vào báo cáo định kỳ.</x:v>
      </x:c>
      <x:c r="P237" s="14" t="str"/>
      <x:c r="Q237" s="14" t="str"/>
      <x:c r="R237" s="14" t="str"/>
      <x:c r="S237" s="14" t="str">
        <x:v>Ban An toàn - Chất lượng</x:v>
      </x:c>
      <x:c r="T237" s="14" t="str">
        <x:v>Các Công ty Quản lý bay khu vực Bắc/Trung/Nam; Ban An toàn - Chất lượng</x:v>
      </x:c>
      <x:c r="U237" s="14" t="str"/>
      <x:c r="V237" s="14" t="str">
        <x:v>Trên 1000 chuyến bay</x:v>
      </x:c>
      <x:c r="W237" s="14" t="str">
        <x:v>P2</x:v>
      </x:c>
      <x:c r="X237" s="14" t="str"/>
      <x:c r="Y237" s="14" t="str">
        <x:v>Chưa bắt đầu</x:v>
      </x:c>
      <x:c r="Z237" s="14" t="str"/>
      <x:c r="AA237" s="14" t="str">
        <x:v>https://datafiles.chinhphu.vn/cpp/files/vbpq/2026/5/18-bxd.pdf</x:v>
      </x:c>
      <x:c r="AB237" s="14" t="str">
        <x:v>sms; an toan; spi; spt</x:v>
      </x:c>
    </x:row>
    <x:row r="238">
      <x:c r="A238" s="14" t="str">
        <x:v>VATM-0237</x:v>
      </x:c>
      <x:c r="B238" s="14" t="str">
        <x:v>AOC-17</x:v>
      </x:c>
      <x:c r="C238" s="14" t="str">
        <x:v>Thông tư 18/2026/TT-BXD - Chương trình an toàn HKDD</x:v>
      </x:c>
      <x:c r="D238" s="14" t="str">
        <x:v>Tong_hop_nhiem_vu_TT18_2026_TT_BXD_VATM_ANSP.xlsx</x:v>
      </x:c>
      <x:c r="E238" s="14" t="str">
        <x:v>04_SPI_PL_II</x:v>
      </x:c>
      <x:c r="F238" s="56" t="n">
        <x:v>18</x:v>
      </x:c>
      <x:c r="G238" s="14" t="str">
        <x:v>Phụ lục II Điều 1</x:v>
      </x:c>
      <x:c r="H238" s="14" t="str">
        <x:v>An toàn hàng không / SMS</x:v>
      </x:c>
      <x:c r="I238" s="14" t="str">
        <x:v>SPI/SPT và chỉ số an toàn</x:v>
      </x:c>
      <x:c r="J238" s="14" t="str">
        <x:v>Người khai thác tàu bay cánh bằng</x:v>
      </x:c>
      <x:c r="K238" s="14" t="str">
        <x:v>Phối hợp/Gián tiếp</x:v>
      </x:c>
      <x:c r="L238" s="14" t="str">
        <x:v>Báo cáo/điều tra/khắc phục</x:v>
      </x:c>
      <x:c r="M238" s="14" t="str"/>
      <x:c r="N238" s="14" t="str">
        <x:v>Nguy cơ va chạm địa hình: Số lần máy bay có cảnh báo va chạm địa hình.</x:v>
      </x:c>
      <x:c r="O238" s="14" t="str">
        <x:v>Thu thập dữ liệu, phân tích xu hướng, so sánh SPT/ngưỡng cảnh báo, triển khai biện pháp khi cần và đưa vào báo cáo định kỳ.</x:v>
      </x:c>
      <x:c r="P238" s="14" t="str"/>
      <x:c r="Q238" s="14" t="str"/>
      <x:c r="R238" s="14" t="str"/>
      <x:c r="S238" s="14" t="str">
        <x:v>Ban An toàn - Chất lượng</x:v>
      </x:c>
      <x:c r="T238" s="14" t="str">
        <x:v>Các Công ty Quản lý bay khu vực Bắc/Trung/Nam; Ban An toàn - Chất lượng</x:v>
      </x:c>
      <x:c r="U238" s="14" t="str"/>
      <x:c r="V238" s="14" t="str">
        <x:v>Trên 1000 chuyến bay</x:v>
      </x:c>
      <x:c r="W238" s="14" t="str">
        <x:v>P2</x:v>
      </x:c>
      <x:c r="X238" s="14" t="str"/>
      <x:c r="Y238" s="14" t="str">
        <x:v>Chưa bắt đầu</x:v>
      </x:c>
      <x:c r="Z238" s="14" t="str"/>
      <x:c r="AA238" s="14" t="str">
        <x:v>https://datafiles.chinhphu.vn/cpp/files/vbpq/2026/5/18-bxd.pdf</x:v>
      </x:c>
      <x:c r="AB238" s="14" t="str">
        <x:v>sms; an toan; spi; spt</x:v>
      </x:c>
    </x:row>
    <x:row r="239">
      <x:c r="A239" s="14" t="str">
        <x:v>VATM-0238</x:v>
      </x:c>
      <x:c r="B239" s="14" t="str">
        <x:v>HEL-07</x:v>
      </x:c>
      <x:c r="C239" s="14" t="str">
        <x:v>Thông tư 18/2026/TT-BXD - Chương trình an toàn HKDD</x:v>
      </x:c>
      <x:c r="D239" s="14" t="str">
        <x:v>Tong_hop_nhiem_vu_TT18_2026_TT_BXD_VATM_ANSP.xlsx</x:v>
      </x:c>
      <x:c r="E239" s="14" t="str">
        <x:v>04_SPI_PL_II</x:v>
      </x:c>
      <x:c r="F239" s="56" t="n">
        <x:v>28</x:v>
      </x:c>
      <x:c r="G239" s="14" t="str">
        <x:v>Phụ lục II Điều 2</x:v>
      </x:c>
      <x:c r="H239" s="14" t="str">
        <x:v>An toàn hàng không / SMS</x:v>
      </x:c>
      <x:c r="I239" s="14" t="str">
        <x:v>SPI/SPT và chỉ số an toàn</x:v>
      </x:c>
      <x:c r="J239" s="14" t="str">
        <x:v>Người khai thác trực thăng</x:v>
      </x:c>
      <x:c r="K239" s="14" t="str">
        <x:v>Phối hợp/Gián tiếp</x:v>
      </x:c>
      <x:c r="L239" s="14" t="str">
        <x:v>Báo cáo/điều tra/khắc phục</x:v>
      </x:c>
      <x:c r="M239" s="14" t="str"/>
      <x:c r="N239" s="14" t="str">
        <x:v>Sai lệch mực bay: Số lần tàu bay sai lệch mực bay so với mực bay được kiểm soát viên không lưu chỉ định.</x:v>
      </x:c>
      <x:c r="O239" s="14" t="str">
        <x:v>Thu thập dữ liệu, phân tích xu hướng, so sánh SPT/ngưỡng cảnh báo, triển khai biện pháp khi cần và đưa vào báo cáo định kỳ.</x:v>
      </x:c>
      <x:c r="P239" s="14" t="str"/>
      <x:c r="Q239" s="14" t="str"/>
      <x:c r="R239" s="14" t="str"/>
      <x:c r="S239" s="14" t="str">
        <x:v>Ban An toàn - Chất lượng</x:v>
      </x:c>
      <x:c r="T239" s="14" t="str">
        <x:v>Các Công ty Quản lý bay khu vực Bắc/Trung/Nam; Ban An toàn - Chất lượng</x:v>
      </x:c>
      <x:c r="U239" s="14" t="str"/>
      <x:c r="V239" s="14" t="str">
        <x:v>Trên 1000 chuyến bay</x:v>
      </x:c>
      <x:c r="W239" s="14" t="str">
        <x:v>P2</x:v>
      </x:c>
      <x:c r="X239" s="14" t="str"/>
      <x:c r="Y239" s="14" t="str">
        <x:v>Chưa bắt đầu</x:v>
      </x:c>
      <x:c r="Z239" s="14" t="str"/>
      <x:c r="AA239" s="14" t="str">
        <x:v>https://datafiles.chinhphu.vn/cpp/files/vbpq/2026/5/18-bxd.pdf</x:v>
      </x:c>
      <x:c r="AB239" s="14" t="str">
        <x:v>sms; an toan; spi; spt</x:v>
      </x:c>
    </x:row>
    <x:row r="240">
      <x:c r="A240" s="14" t="str">
        <x:v>VATM-0239</x:v>
      </x:c>
      <x:c r="B240" s="14" t="str">
        <x:v>HEL-08</x:v>
      </x:c>
      <x:c r="C240" s="14" t="str">
        <x:v>Thông tư 18/2026/TT-BXD - Chương trình an toàn HKDD</x:v>
      </x:c>
      <x:c r="D240" s="14" t="str">
        <x:v>Tong_hop_nhiem_vu_TT18_2026_TT_BXD_VATM_ANSP.xlsx</x:v>
      </x:c>
      <x:c r="E240" s="14" t="str">
        <x:v>04_SPI_PL_II</x:v>
      </x:c>
      <x:c r="F240" s="56" t="n">
        <x:v>29</x:v>
      </x:c>
      <x:c r="G240" s="14" t="str">
        <x:v>Phụ lục II Điều 2</x:v>
      </x:c>
      <x:c r="H240" s="14" t="str">
        <x:v>An toàn hàng không / SMS</x:v>
      </x:c>
      <x:c r="I240" s="14" t="str">
        <x:v>SPI/SPT và chỉ số an toàn</x:v>
      </x:c>
      <x:c r="J240" s="14" t="str">
        <x:v>Người khai thác trực thăng</x:v>
      </x:c>
      <x:c r="K240" s="14" t="str">
        <x:v>Phối hợp/Gián tiếp</x:v>
      </x:c>
      <x:c r="L240" s="14" t="str">
        <x:v>Báo cáo/điều tra/khắc phục</x:v>
      </x:c>
      <x:c r="M240" s="14" t="str"/>
      <x:c r="N240" s="14" t="str">
        <x:v>Bay vào khu vực thời tiết bất lợi: Số lần trực thăng bay vào khu vực thời tiết bất lợi vượt quá tiêu chuẩn khai thác.</x:v>
      </x:c>
      <x:c r="O240" s="14" t="str">
        <x:v>Thu thập dữ liệu, phân tích xu hướng, so sánh SPT/ngưỡng cảnh báo, triển khai biện pháp khi cần và đưa vào báo cáo định kỳ.</x:v>
      </x:c>
      <x:c r="P240" s="14" t="str"/>
      <x:c r="Q240" s="14" t="str"/>
      <x:c r="R240" s="14" t="str"/>
      <x:c r="S240" s="14" t="str">
        <x:v>Ban An toàn - Chất lượng</x:v>
      </x:c>
      <x:c r="T240" s="14" t="str">
        <x:v>Các Công ty Quản lý bay khu vực Bắc/Trung/Nam; Ban An toàn - Chất lượng</x:v>
      </x:c>
      <x:c r="U240" s="14" t="str"/>
      <x:c r="V240" s="14" t="str">
        <x:v>Trên 1000 chuyến bay</x:v>
      </x:c>
      <x:c r="W240" s="14" t="str">
        <x:v>P2</x:v>
      </x:c>
      <x:c r="X240" s="14" t="str"/>
      <x:c r="Y240" s="14" t="str">
        <x:v>Chưa bắt đầu</x:v>
      </x:c>
      <x:c r="Z240" s="14" t="str"/>
      <x:c r="AA240" s="14" t="str">
        <x:v>https://datafiles.chinhphu.vn/cpp/files/vbpq/2026/5/18-bxd.pdf</x:v>
      </x:c>
      <x:c r="AB240" s="14" t="str">
        <x:v>sms; an toan; spi; spt</x:v>
      </x:c>
    </x:row>
    <x:row r="241">
      <x:c r="A241" s="14" t="str">
        <x:v>VATM-0240</x:v>
      </x:c>
      <x:c r="B241" s="14" t="str">
        <x:v>HEL-09</x:v>
      </x:c>
      <x:c r="C241" s="14" t="str">
        <x:v>Thông tư 18/2026/TT-BXD - Chương trình an toàn HKDD</x:v>
      </x:c>
      <x:c r="D241" s="14" t="str">
        <x:v>Tong_hop_nhiem_vu_TT18_2026_TT_BXD_VATM_ANSP.xlsx</x:v>
      </x:c>
      <x:c r="E241" s="14" t="str">
        <x:v>04_SPI_PL_II</x:v>
      </x:c>
      <x:c r="F241" s="56" t="n">
        <x:v>30</x:v>
      </x:c>
      <x:c r="G241" s="14" t="str">
        <x:v>Phụ lục II Điều 2</x:v>
      </x:c>
      <x:c r="H241" s="14" t="str">
        <x:v>An toàn hàng không / SMS</x:v>
      </x:c>
      <x:c r="I241" s="14" t="str">
        <x:v>SPI/SPT và chỉ số an toàn</x:v>
      </x:c>
      <x:c r="J241" s="14" t="str">
        <x:v>Người khai thác trực thăng</x:v>
      </x:c>
      <x:c r="K241" s="14" t="str">
        <x:v>Phối hợp/Gián tiếp</x:v>
      </x:c>
      <x:c r="L241" s="14" t="str">
        <x:v>Báo cáo/điều tra/khắc phục</x:v>
      </x:c>
      <x:c r="M241" s="14" t="str"/>
      <x:c r="N241" s="14" t="str">
        <x:v>Nguy cơ va chạm trên không: Số lần trực thăng gần xảy ra va chạm với tàu bay khác dẫn đến kích hoạt chỉ dẫn hành động của hệ thống cảnh báo chống va chạm trên không; nếu không có hệ thống tránh va chạm thì không áp dụng.</x:v>
      </x:c>
      <x:c r="O241" s="14" t="str">
        <x:v>Thu thập dữ liệu, phân tích xu hướng, so sánh SPT/ngưỡng cảnh báo, triển khai biện pháp khi cần và đưa vào báo cáo định kỳ.</x:v>
      </x:c>
      <x:c r="P241" s="14" t="str"/>
      <x:c r="Q241" s="14" t="str"/>
      <x:c r="R241" s="14" t="str"/>
      <x:c r="S241" s="14" t="str">
        <x:v>Ban An toàn - Chất lượng</x:v>
      </x:c>
      <x:c r="T241" s="14" t="str">
        <x:v>Các Công ty Quản lý bay khu vực Bắc/Trung/Nam; Ban An toàn - Chất lượng</x:v>
      </x:c>
      <x:c r="U241" s="14" t="str"/>
      <x:c r="V241" s="14" t="str">
        <x:v>Trên 1000 chuyến bay</x:v>
      </x:c>
      <x:c r="W241" s="14" t="str">
        <x:v>P2</x:v>
      </x:c>
      <x:c r="X241" s="14" t="str"/>
      <x:c r="Y241" s="14" t="str">
        <x:v>Chưa bắt đầu</x:v>
      </x:c>
      <x:c r="Z241" s="14" t="str"/>
      <x:c r="AA241" s="14" t="str">
        <x:v>https://datafiles.chinhphu.vn/cpp/files/vbpq/2026/5/18-bxd.pdf</x:v>
      </x:c>
      <x:c r="AB241" s="14" t="str">
        <x:v>sms; an toan; spi; spt</x:v>
      </x:c>
    </x:row>
    <x:row r="242">
      <x:c r="A242" s="14" t="str">
        <x:v>VATM-0241</x:v>
      </x:c>
      <x:c r="B242" s="14" t="str">
        <x:v>HEL-10</x:v>
      </x:c>
      <x:c r="C242" s="14" t="str">
        <x:v>Thông tư 18/2026/TT-BXD - Chương trình an toàn HKDD</x:v>
      </x:c>
      <x:c r="D242" s="14" t="str">
        <x:v>Tong_hop_nhiem_vu_TT18_2026_TT_BXD_VATM_ANSP.xlsx</x:v>
      </x:c>
      <x:c r="E242" s="14" t="str">
        <x:v>04_SPI_PL_II</x:v>
      </x:c>
      <x:c r="F242" s="56" t="n">
        <x:v>31</x:v>
      </x:c>
      <x:c r="G242" s="14" t="str">
        <x:v>Phụ lục II Điều 2</x:v>
      </x:c>
      <x:c r="H242" s="14" t="str">
        <x:v>An toàn hàng không / SMS</x:v>
      </x:c>
      <x:c r="I242" s="14" t="str">
        <x:v>SPI/SPT và chỉ số an toàn</x:v>
      </x:c>
      <x:c r="J242" s="14" t="str">
        <x:v>Người khai thác trực thăng</x:v>
      </x:c>
      <x:c r="K242" s="14" t="str">
        <x:v>Phối hợp/Gián tiếp</x:v>
      </x:c>
      <x:c r="L242" s="14" t="str">
        <x:v>Báo cáo/điều tra/khắc phục</x:v>
      </x:c>
      <x:c r="M242" s="14" t="str"/>
      <x:c r="N242" s="14" t="str">
        <x:v>Vi phạm không phận: Số lần trực thăng bay vào khu vực không phận khi chưa được phép bởi cơ sở điều hành không lưu hoặc cơ quan có thẩm quyền.</x:v>
      </x:c>
      <x:c r="O242" s="14" t="str">
        <x:v>Thu thập dữ liệu, phân tích xu hướng, so sánh SPT/ngưỡng cảnh báo, triển khai biện pháp khi cần và đưa vào báo cáo định kỳ.</x:v>
      </x:c>
      <x:c r="P242" s="14" t="str"/>
      <x:c r="Q242" s="14" t="str"/>
      <x:c r="R242" s="14" t="str"/>
      <x:c r="S242" s="14" t="str">
        <x:v>Ban An toàn - Chất lượng</x:v>
      </x:c>
      <x:c r="T242" s="14" t="str">
        <x:v>Các Công ty Quản lý bay khu vực Bắc/Trung/Nam; Ban An toàn - Chất lượng</x:v>
      </x:c>
      <x:c r="U242" s="14" t="str"/>
      <x:c r="V242" s="14" t="str">
        <x:v>Trên 1000 chuyến bay</x:v>
      </x:c>
      <x:c r="W242" s="14" t="str">
        <x:v>P2</x:v>
      </x:c>
      <x:c r="X242" s="14" t="str"/>
      <x:c r="Y242" s="14" t="str">
        <x:v>Chưa bắt đầu</x:v>
      </x:c>
      <x:c r="Z242" s="14" t="str"/>
      <x:c r="AA242" s="14" t="str">
        <x:v>https://datafiles.chinhphu.vn/cpp/files/vbpq/2026/5/18-bxd.pdf</x:v>
      </x:c>
      <x:c r="AB242" s="14" t="str">
        <x:v>sms; an toan; spi; spt</x:v>
      </x:c>
    </x:row>
    <x:row r="243">
      <x:c r="A243" s="14" t="str">
        <x:v>VATM-0242</x:v>
      </x:c>
      <x:c r="B243" s="14" t="str">
        <x:v>HEL-12</x:v>
      </x:c>
      <x:c r="C243" s="14" t="str">
        <x:v>Thông tư 18/2026/TT-BXD - Chương trình an toàn HKDD</x:v>
      </x:c>
      <x:c r="D243" s="14" t="str">
        <x:v>Tong_hop_nhiem_vu_TT18_2026_TT_BXD_VATM_ANSP.xlsx</x:v>
      </x:c>
      <x:c r="E243" s="14" t="str">
        <x:v>04_SPI_PL_II</x:v>
      </x:c>
      <x:c r="F243" s="56" t="n">
        <x:v>33</x:v>
      </x:c>
      <x:c r="G243" s="14" t="str">
        <x:v>Phụ lục II Điều 2</x:v>
      </x:c>
      <x:c r="H243" s="14" t="str">
        <x:v>An toàn hàng không / SMS</x:v>
      </x:c>
      <x:c r="I243" s="14" t="str">
        <x:v>SPI/SPT và chỉ số an toàn</x:v>
      </x:c>
      <x:c r="J243" s="14" t="str">
        <x:v>Người khai thác trực thăng</x:v>
      </x:c>
      <x:c r="K243" s="14" t="str">
        <x:v>Phối hợp/Gián tiếp</x:v>
      </x:c>
      <x:c r="L243" s="14" t="str">
        <x:v>Báo cáo/điều tra/khắc phục</x:v>
      </x:c>
      <x:c r="M243" s="14" t="str"/>
      <x:c r="N243" s="14" t="str">
        <x:v>Va chạm vào địa hình: Số lần trực thăng đang trong trạng thái được kiểm soát va chạm với địa hình, mặt nước hoặc chướng ngại vật.</x:v>
      </x:c>
      <x:c r="O243" s="14" t="str">
        <x:v>Thu thập dữ liệu, phân tích xu hướng, so sánh SPT/ngưỡng cảnh báo, triển khai biện pháp khi cần và đưa vào báo cáo định kỳ.</x:v>
      </x:c>
      <x:c r="P243" s="14" t="str"/>
      <x:c r="Q243" s="14" t="str"/>
      <x:c r="R243" s="14" t="str"/>
      <x:c r="S243" s="14" t="str">
        <x:v>Ban An toàn - Chất lượng</x:v>
      </x:c>
      <x:c r="T243" s="14" t="str">
        <x:v>Các Công ty Quản lý bay khu vực Bắc/Trung/Nam; Ban An toàn - Chất lượng</x:v>
      </x:c>
      <x:c r="U243" s="14" t="str"/>
      <x:c r="V243" s="14" t="str">
        <x:v>Trên 1000 chuyến bay</x:v>
      </x:c>
      <x:c r="W243" s="14" t="str">
        <x:v>P2</x:v>
      </x:c>
      <x:c r="X243" s="14" t="str"/>
      <x:c r="Y243" s="14" t="str">
        <x:v>Chưa bắt đầu</x:v>
      </x:c>
      <x:c r="Z243" s="14" t="str"/>
      <x:c r="AA243" s="14" t="str">
        <x:v>https://datafiles.chinhphu.vn/cpp/files/vbpq/2026/5/18-bxd.pdf</x:v>
      </x:c>
      <x:c r="AB243" s="14" t="str">
        <x:v>sms; an toan; spi; spt</x:v>
      </x:c>
    </x:row>
    <x:row r="244">
      <x:c r="A244" s="14" t="str">
        <x:v>VATM-0243</x:v>
      </x:c>
      <x:c r="B244" s="14" t="str">
        <x:v>ATO-06</x:v>
      </x:c>
      <x:c r="C244" s="14" t="str">
        <x:v>Thông tư 18/2026/TT-BXD - Chương trình an toàn HKDD</x:v>
      </x:c>
      <x:c r="D244" s="14" t="str">
        <x:v>Tong_hop_nhiem_vu_TT18_2026_TT_BXD_VATM_ANSP.xlsx</x:v>
      </x:c>
      <x:c r="E244" s="14" t="str">
        <x:v>04_SPI_PL_II</x:v>
      </x:c>
      <x:c r="F244" s="56" t="n">
        <x:v>40</x:v>
      </x:c>
      <x:c r="G244" s="14" t="str">
        <x:v>Phụ lục II Điều 3</x:v>
      </x:c>
      <x:c r="H244" s="14" t="str">
        <x:v>An toàn hàng không / SMS</x:v>
      </x:c>
      <x:c r="I244" s="14" t="str">
        <x:v>SPI/SPT và chỉ số an toàn</x:v>
      </x:c>
      <x:c r="J244" s="14" t="str">
        <x:v>Tổ chức huấn luyện trên tàu bay</x:v>
      </x:c>
      <x:c r="K244" s="14" t="str">
        <x:v>Phối hợp/Gián tiếp</x:v>
      </x:c>
      <x:c r="L244" s="14" t="str">
        <x:v>Báo cáo/điều tra/khắc phục</x:v>
      </x:c>
      <x:c r="M244" s="14" t="str"/>
      <x:c r="N244" s="14" t="str">
        <x:v>Xâm nhập đường cất hạ cánh: Số lần tàu bay xâm nhập trái phép đường cất hạ cánh.</x:v>
      </x:c>
      <x:c r="O244" s="14" t="str">
        <x:v>Thu thập dữ liệu, phân tích xu hướng, so sánh SPT/ngưỡng cảnh báo, triển khai biện pháp khi cần và đưa vào báo cáo định kỳ.</x:v>
      </x:c>
      <x:c r="P244" s="14" t="str"/>
      <x:c r="Q244" s="14" t="str"/>
      <x:c r="R244" s="14" t="str"/>
      <x:c r="S244" s="14" t="str">
        <x:v>Ban An toàn - Chất lượng</x:v>
      </x:c>
      <x:c r="T244" s="14" t="str">
        <x:v>Các Công ty Quản lý bay khu vực Bắc/Trung/Nam; Ban An toàn - Chất lượng</x:v>
      </x:c>
      <x:c r="U244" s="14" t="str"/>
      <x:c r="V244" s="14" t="str">
        <x:v>Trên 100 chuyển động tàu bay</x:v>
      </x:c>
      <x:c r="W244" s="14" t="str">
        <x:v>P2</x:v>
      </x:c>
      <x:c r="X244" s="14" t="str"/>
      <x:c r="Y244" s="14" t="str">
        <x:v>Chưa bắt đầu</x:v>
      </x:c>
      <x:c r="Z244" s="14" t="str"/>
      <x:c r="AA244" s="14" t="str">
        <x:v>https://datafiles.chinhphu.vn/cpp/files/vbpq/2026/5/18-bxd.pdf</x:v>
      </x:c>
      <x:c r="AB244" s="14" t="str">
        <x:v>sms; an toan; spi; spt</x:v>
      </x:c>
    </x:row>
    <x:row r="245">
      <x:c r="A245" s="14" t="str">
        <x:v>VATM-0244</x:v>
      </x:c>
      <x:c r="B245" s="14" t="str">
        <x:v>ATO-07</x:v>
      </x:c>
      <x:c r="C245" s="14" t="str">
        <x:v>Thông tư 18/2026/TT-BXD - Chương trình an toàn HKDD</x:v>
      </x:c>
      <x:c r="D245" s="14" t="str">
        <x:v>Tong_hop_nhiem_vu_TT18_2026_TT_BXD_VATM_ANSP.xlsx</x:v>
      </x:c>
      <x:c r="E245" s="14" t="str">
        <x:v>04_SPI_PL_II</x:v>
      </x:c>
      <x:c r="F245" s="56" t="n">
        <x:v>41</x:v>
      </x:c>
      <x:c r="G245" s="14" t="str">
        <x:v>Phụ lục II Điều 3</x:v>
      </x:c>
      <x:c r="H245" s="14" t="str">
        <x:v>An toàn hàng không / SMS</x:v>
      </x:c>
      <x:c r="I245" s="14" t="str">
        <x:v>SPI/SPT và chỉ số an toàn</x:v>
      </x:c>
      <x:c r="J245" s="14" t="str">
        <x:v>Tổ chức huấn luyện trên tàu bay</x:v>
      </x:c>
      <x:c r="K245" s="14" t="str">
        <x:v>Phối hợp/Gián tiếp</x:v>
      </x:c>
      <x:c r="L245" s="14" t="str">
        <x:v>Báo cáo/điều tra/khắc phục</x:v>
      </x:c>
      <x:c r="M245" s="14" t="str"/>
      <x:c r="N245" s="14" t="str">
        <x:v>Bay vào khu vực thời tiết bất lợi: Số lần tàu bay bay vào khu vực có thời tiết bất lợi vượt quá tiêu chuẩn khai thác.</x:v>
      </x:c>
      <x:c r="O245" s="14" t="str">
        <x:v>Thu thập dữ liệu, phân tích xu hướng, so sánh SPT/ngưỡng cảnh báo, triển khai biện pháp khi cần và đưa vào báo cáo định kỳ.</x:v>
      </x:c>
      <x:c r="P245" s="14" t="str"/>
      <x:c r="Q245" s="14" t="str"/>
      <x:c r="R245" s="14" t="str"/>
      <x:c r="S245" s="14" t="str">
        <x:v>Ban An toàn - Chất lượng</x:v>
      </x:c>
      <x:c r="T245" s="14" t="str">
        <x:v>Các Công ty Quản lý bay khu vực Bắc/Trung/Nam; Ban An toàn - Chất lượng</x:v>
      </x:c>
      <x:c r="U245" s="14" t="str"/>
      <x:c r="V245" s="14" t="str">
        <x:v>Trên 100 chuyến bay</x:v>
      </x:c>
      <x:c r="W245" s="14" t="str">
        <x:v>P2</x:v>
      </x:c>
      <x:c r="X245" s="14" t="str"/>
      <x:c r="Y245" s="14" t="str">
        <x:v>Chưa bắt đầu</x:v>
      </x:c>
      <x:c r="Z245" s="14" t="str"/>
      <x:c r="AA245" s="14" t="str">
        <x:v>https://datafiles.chinhphu.vn/cpp/files/vbpq/2026/5/18-bxd.pdf</x:v>
      </x:c>
      <x:c r="AB245" s="14" t="str">
        <x:v>sms; an toan; spi; spt</x:v>
      </x:c>
    </x:row>
    <x:row r="246">
      <x:c r="A246" s="14" t="str">
        <x:v>VATM-0245</x:v>
      </x:c>
      <x:c r="B246" s="14" t="str">
        <x:v>ATO-08</x:v>
      </x:c>
      <x:c r="C246" s="14" t="str">
        <x:v>Thông tư 18/2026/TT-BXD - Chương trình an toàn HKDD</x:v>
      </x:c>
      <x:c r="D246" s="14" t="str">
        <x:v>Tong_hop_nhiem_vu_TT18_2026_TT_BXD_VATM_ANSP.xlsx</x:v>
      </x:c>
      <x:c r="E246" s="14" t="str">
        <x:v>04_SPI_PL_II</x:v>
      </x:c>
      <x:c r="F246" s="56" t="n">
        <x:v>42</x:v>
      </x:c>
      <x:c r="G246" s="14" t="str">
        <x:v>Phụ lục II Điều 3</x:v>
      </x:c>
      <x:c r="H246" s="14" t="str">
        <x:v>An toàn hàng không / SMS</x:v>
      </x:c>
      <x:c r="I246" s="14" t="str">
        <x:v>SPI/SPT và chỉ số an toàn</x:v>
      </x:c>
      <x:c r="J246" s="14" t="str">
        <x:v>Tổ chức huấn luyện trên tàu bay</x:v>
      </x:c>
      <x:c r="K246" s="14" t="str">
        <x:v>Phối hợp/Gián tiếp</x:v>
      </x:c>
      <x:c r="L246" s="14" t="str">
        <x:v>Báo cáo/điều tra/khắc phục</x:v>
      </x:c>
      <x:c r="M246" s="14" t="str"/>
      <x:c r="N246" s="14" t="str">
        <x:v>Sai lệch mực bay: Số lần tàu bay sai lệch quá 200 ft so với mực bay được kiểm soát viên không lưu chỉ định.</x:v>
      </x:c>
      <x:c r="O246" s="14" t="str">
        <x:v>Thu thập dữ liệu, phân tích xu hướng, so sánh SPT/ngưỡng cảnh báo, triển khai biện pháp khi cần và đưa vào báo cáo định kỳ.</x:v>
      </x:c>
      <x:c r="P246" s="14" t="str"/>
      <x:c r="Q246" s="14" t="str"/>
      <x:c r="R246" s="14" t="str"/>
      <x:c r="S246" s="14" t="str">
        <x:v>Ban An toàn - Chất lượng</x:v>
      </x:c>
      <x:c r="T246" s="14" t="str">
        <x:v>Các Công ty Quản lý bay khu vực Bắc/Trung/Nam; Ban An toàn - Chất lượng</x:v>
      </x:c>
      <x:c r="U246" s="14" t="str"/>
      <x:c r="V246" s="14" t="str">
        <x:v>Trên 100 chuyến bay</x:v>
      </x:c>
      <x:c r="W246" s="14" t="str">
        <x:v>P2</x:v>
      </x:c>
      <x:c r="X246" s="14" t="str"/>
      <x:c r="Y246" s="14" t="str">
        <x:v>Chưa bắt đầu</x:v>
      </x:c>
      <x:c r="Z246" s="14" t="str"/>
      <x:c r="AA246" s="14" t="str">
        <x:v>https://datafiles.chinhphu.vn/cpp/files/vbpq/2026/5/18-bxd.pdf</x:v>
      </x:c>
      <x:c r="AB246" s="14" t="str">
        <x:v>sms; an toan; spi; spt</x:v>
      </x:c>
    </x:row>
    <x:row r="247">
      <x:c r="A247" s="14" t="str">
        <x:v>VATM-0246</x:v>
      </x:c>
      <x:c r="B247" s="14" t="str">
        <x:v>ATO-09</x:v>
      </x:c>
      <x:c r="C247" s="14" t="str">
        <x:v>Thông tư 18/2026/TT-BXD - Chương trình an toàn HKDD</x:v>
      </x:c>
      <x:c r="D247" s="14" t="str">
        <x:v>Tong_hop_nhiem_vu_TT18_2026_TT_BXD_VATM_ANSP.xlsx</x:v>
      </x:c>
      <x:c r="E247" s="14" t="str">
        <x:v>04_SPI_PL_II</x:v>
      </x:c>
      <x:c r="F247" s="56" t="n">
        <x:v>43</x:v>
      </x:c>
      <x:c r="G247" s="14" t="str">
        <x:v>Phụ lục II Điều 3</x:v>
      </x:c>
      <x:c r="H247" s="14" t="str">
        <x:v>An toàn hàng không / SMS</x:v>
      </x:c>
      <x:c r="I247" s="14" t="str">
        <x:v>SPI/SPT và chỉ số an toàn</x:v>
      </x:c>
      <x:c r="J247" s="14" t="str">
        <x:v>Tổ chức huấn luyện trên tàu bay</x:v>
      </x:c>
      <x:c r="K247" s="14" t="str">
        <x:v>Phối hợp/Gián tiếp</x:v>
      </x:c>
      <x:c r="L247" s="14" t="str">
        <x:v>Báo cáo/điều tra/khắc phục</x:v>
      </x:c>
      <x:c r="M247" s="14" t="str"/>
      <x:c r="N247" s="14" t="str">
        <x:v>Vi phạm không phận: Số lần tàu bay bay vào khu vực không phận khi chưa được phép bởi cơ sở điều hành không lưu.</x:v>
      </x:c>
      <x:c r="O247" s="14" t="str">
        <x:v>Thu thập dữ liệu, phân tích xu hướng, so sánh SPT/ngưỡng cảnh báo, triển khai biện pháp khi cần và đưa vào báo cáo định kỳ.</x:v>
      </x:c>
      <x:c r="P247" s="14" t="str"/>
      <x:c r="Q247" s="14" t="str"/>
      <x:c r="R247" s="14" t="str"/>
      <x:c r="S247" s="14" t="str">
        <x:v>Ban An toàn - Chất lượng</x:v>
      </x:c>
      <x:c r="T247" s="14" t="str">
        <x:v>Các Công ty Quản lý bay khu vực Bắc/Trung/Nam; Ban An toàn - Chất lượng</x:v>
      </x:c>
      <x:c r="U247" s="14" t="str"/>
      <x:c r="V247" s="14" t="str">
        <x:v>Trên 100 chuyến bay</x:v>
      </x:c>
      <x:c r="W247" s="14" t="str">
        <x:v>P2</x:v>
      </x:c>
      <x:c r="X247" s="14" t="str"/>
      <x:c r="Y247" s="14" t="str">
        <x:v>Chưa bắt đầu</x:v>
      </x:c>
      <x:c r="Z247" s="14" t="str"/>
      <x:c r="AA247" s="14" t="str">
        <x:v>https://datafiles.chinhphu.vn/cpp/files/vbpq/2026/5/18-bxd.pdf</x:v>
      </x:c>
      <x:c r="AB247" s="14" t="str">
        <x:v>sms; an toan; spi; spt</x:v>
      </x:c>
    </x:row>
    <x:row r="248">
      <x:c r="A248" s="14" t="str">
        <x:v>VATM-0247</x:v>
      </x:c>
      <x:c r="B248" s="14" t="str">
        <x:v>ANS-01</x:v>
      </x:c>
      <x:c r="C248" s="14" t="str">
        <x:v>Thông tư 18/2026/TT-BXD - Chương trình an toàn HKDD</x:v>
      </x:c>
      <x:c r="D248" s="14" t="str">
        <x:v>Tong_hop_nhiem_vu_TT18_2026_TT_BXD_VATM_ANSP.xlsx</x:v>
      </x:c>
      <x:c r="E248" s="14" t="str">
        <x:v>04_SPI_PL_II</x:v>
      </x:c>
      <x:c r="F248" s="56" t="n">
        <x:v>49</x:v>
      </x:c>
      <x:c r="G248" s="14" t="str">
        <x:v>Phụ lục II Điều 5</x:v>
      </x:c>
      <x:c r="H248" s="14" t="str">
        <x:v>An toàn hàng không / SMS</x:v>
      </x:c>
      <x:c r="I248" s="14" t="str">
        <x:v>SPI/SPT và chỉ số an toàn</x:v>
      </x:c>
      <x:c r="J248" s="14" t="str">
        <x:v>Cơ sở/doanh nghiệp cung cấp dịch vụ bảo đảm hoạt động bay</x:v>
      </x:c>
      <x:c r="K248" s="14" t="str">
        <x:v>Trực tiếp</x:v>
      </x:c>
      <x:c r="L248" s="14" t="str">
        <x:v>Báo cáo/điều tra/khắc phục</x:v>
      </x:c>
      <x:c r="M248" s="14" t="str"/>
      <x:c r="N248" s="14" t="str">
        <x:v>Tai nạn tàu bay liên quan đến điều hành bay: Số vụ tai nạn tàu bay được xác định có liên quan đến công tác điều hành bay.</x:v>
      </x:c>
      <x:c r="O248" s="14" t="str">
        <x:v>Thu thập dữ liệu, phân tích xu hướng, so sánh SPT/ngưỡng cảnh báo, triển khai biện pháp khi cần và đưa vào báo cáo định kỳ.</x:v>
      </x:c>
      <x:c r="P248" s="14" t="str"/>
      <x:c r="Q248" s="14" t="str"/>
      <x:c r="R248" s="14" t="str"/>
      <x:c r="S248" s="14" t="str">
        <x:v>Ban An toàn - Chất lượng</x:v>
      </x:c>
      <x:c r="T248" s="14" t="str">
        <x:v>Các Công ty Quản lý bay khu vực Bắc/Trung/Nam; Ban An toàn - Chất lượng</x:v>
      </x:c>
      <x:c r="U248" s="14" t="str"/>
      <x:c r="V248" s="14" t="str">
        <x:v>Trên 10000 chuyến bay</x:v>
      </x:c>
      <x:c r="W248" s="14" t="str">
        <x:v>P2</x:v>
      </x:c>
      <x:c r="X248" s="14" t="str"/>
      <x:c r="Y248" s="14" t="str">
        <x:v>Chưa bắt đầu</x:v>
      </x:c>
      <x:c r="Z248" s="14" t="str"/>
      <x:c r="AA248" s="14" t="str">
        <x:v>https://datafiles.chinhphu.vn/cpp/files/vbpq/2026/5/18-bxd.pdf</x:v>
      </x:c>
      <x:c r="AB248" s="14" t="str">
        <x:v>sms; an toan; spi; spt</x:v>
      </x:c>
    </x:row>
    <x:row r="249">
      <x:c r="A249" s="14" t="str">
        <x:v>VATM-0248</x:v>
      </x:c>
      <x:c r="B249" s="14" t="str">
        <x:v>ANS-02</x:v>
      </x:c>
      <x:c r="C249" s="14" t="str">
        <x:v>Thông tư 18/2026/TT-BXD - Chương trình an toàn HKDD</x:v>
      </x:c>
      <x:c r="D249" s="14" t="str">
        <x:v>Tong_hop_nhiem_vu_TT18_2026_TT_BXD_VATM_ANSP.xlsx</x:v>
      </x:c>
      <x:c r="E249" s="14" t="str">
        <x:v>04_SPI_PL_II</x:v>
      </x:c>
      <x:c r="F249" s="56" t="n">
        <x:v>50</x:v>
      </x:c>
      <x:c r="G249" s="14" t="str">
        <x:v>Phụ lục II Điều 5</x:v>
      </x:c>
      <x:c r="H249" s="14" t="str">
        <x:v>An toàn hàng không / SMS</x:v>
      </x:c>
      <x:c r="I249" s="14" t="str">
        <x:v>SPI/SPT và chỉ số an toàn</x:v>
      </x:c>
      <x:c r="J249" s="14" t="str">
        <x:v>Cơ sở/doanh nghiệp cung cấp dịch vụ bảo đảm hoạt động bay</x:v>
      </x:c>
      <x:c r="K249" s="14" t="str">
        <x:v>Trực tiếp</x:v>
      </x:c>
      <x:c r="L249" s="14" t="str">
        <x:v>Báo cáo/điều tra/khắc phục</x:v>
      </x:c>
      <x:c r="M249" s="14" t="str"/>
      <x:c r="N249" s="14" t="str">
        <x:v>Các sự cố nghiêm trọng: Số lượng sự cố nghiêm trọng được xác định có liên quan đến công tác điều hành bay.</x:v>
      </x:c>
      <x:c r="O249" s="14" t="str">
        <x:v>Thu thập dữ liệu, phân tích xu hướng, so sánh SPT/ngưỡng cảnh báo, triển khai biện pháp khi cần và đưa vào báo cáo định kỳ.</x:v>
      </x:c>
      <x:c r="P249" s="14" t="str"/>
      <x:c r="Q249" s="14" t="str"/>
      <x:c r="R249" s="14" t="str"/>
      <x:c r="S249" s="14" t="str">
        <x:v>Ban An toàn - Chất lượng</x:v>
      </x:c>
      <x:c r="T249" s="14" t="str">
        <x:v>Các Công ty Quản lý bay khu vực Bắc/Trung/Nam; Ban An toàn - Chất lượng</x:v>
      </x:c>
      <x:c r="U249" s="14" t="str"/>
      <x:c r="V249" s="14" t="str">
        <x:v>Trên 10000 chuyến bay</x:v>
      </x:c>
      <x:c r="W249" s="14" t="str">
        <x:v>P2</x:v>
      </x:c>
      <x:c r="X249" s="14" t="str"/>
      <x:c r="Y249" s="14" t="str">
        <x:v>Chưa bắt đầu</x:v>
      </x:c>
      <x:c r="Z249" s="14" t="str"/>
      <x:c r="AA249" s="14" t="str">
        <x:v>https://datafiles.chinhphu.vn/cpp/files/vbpq/2026/5/18-bxd.pdf</x:v>
      </x:c>
      <x:c r="AB249" s="14" t="str">
        <x:v>sms; an toan; spi; spt</x:v>
      </x:c>
    </x:row>
    <x:row r="250">
      <x:c r="A250" s="14" t="str">
        <x:v>VATM-0249</x:v>
      </x:c>
      <x:c r="B250" s="14" t="str">
        <x:v>ANS-03</x:v>
      </x:c>
      <x:c r="C250" s="14" t="str">
        <x:v>Thông tư 18/2026/TT-BXD - Chương trình an toàn HKDD</x:v>
      </x:c>
      <x:c r="D250" s="14" t="str">
        <x:v>Tong_hop_nhiem_vu_TT18_2026_TT_BXD_VATM_ANSP.xlsx</x:v>
      </x:c>
      <x:c r="E250" s="14" t="str">
        <x:v>04_SPI_PL_II</x:v>
      </x:c>
      <x:c r="F250" s="56" t="n">
        <x:v>51</x:v>
      </x:c>
      <x:c r="G250" s="14" t="str">
        <x:v>Phụ lục II Điều 5</x:v>
      </x:c>
      <x:c r="H250" s="14" t="str">
        <x:v>An toàn hàng không / SMS</x:v>
      </x:c>
      <x:c r="I250" s="14" t="str">
        <x:v>SPI/SPT và chỉ số an toàn</x:v>
      </x:c>
      <x:c r="J250" s="14" t="str">
        <x:v>Cơ sở/doanh nghiệp cung cấp dịch vụ bảo đảm hoạt động bay</x:v>
      </x:c>
      <x:c r="K250" s="14" t="str">
        <x:v>Trực tiếp</x:v>
      </x:c>
      <x:c r="L250" s="14" t="str">
        <x:v>Báo cáo/điều tra/khắc phục</x:v>
      </x:c>
      <x:c r="M250" s="14" t="str"/>
      <x:c r="N250" s="14" t="str">
        <x:v>Vi phạm phân cách tối thiểu: Số lượng chuyến bay vi phạm phân cách tối thiểu do công tác điều hành bay.</x:v>
      </x:c>
      <x:c r="O250" s="14" t="str">
        <x:v>Thu thập dữ liệu, phân tích xu hướng, so sánh SPT/ngưỡng cảnh báo, triển khai biện pháp khi cần và đưa vào báo cáo định kỳ.</x:v>
      </x:c>
      <x:c r="P250" s="14" t="str"/>
      <x:c r="Q250" s="14" t="str"/>
      <x:c r="R250" s="14" t="str"/>
      <x:c r="S250" s="14" t="str">
        <x:v>Ban An toàn - Chất lượng</x:v>
      </x:c>
      <x:c r="T250" s="14" t="str">
        <x:v>Các Công ty Quản lý bay khu vực Bắc/Trung/Nam; Ban An toàn - Chất lượng</x:v>
      </x:c>
      <x:c r="U250" s="14" t="str"/>
      <x:c r="V250" s="14" t="str">
        <x:v>Trên 10000 chuyến bay</x:v>
      </x:c>
      <x:c r="W250" s="14" t="str">
        <x:v>P2</x:v>
      </x:c>
      <x:c r="X250" s="14" t="str"/>
      <x:c r="Y250" s="14" t="str">
        <x:v>Chưa bắt đầu</x:v>
      </x:c>
      <x:c r="Z250" s="14" t="str"/>
      <x:c r="AA250" s="14" t="str">
        <x:v>https://datafiles.chinhphu.vn/cpp/files/vbpq/2026/5/18-bxd.pdf</x:v>
      </x:c>
      <x:c r="AB250" s="14" t="str">
        <x:v>sms; an toan; spi; spt</x:v>
      </x:c>
    </x:row>
    <x:row r="251">
      <x:c r="A251" s="14" t="str">
        <x:v>VATM-0250</x:v>
      </x:c>
      <x:c r="B251" s="14" t="str">
        <x:v>ANS-04</x:v>
      </x:c>
      <x:c r="C251" s="14" t="str">
        <x:v>Thông tư 18/2026/TT-BXD - Chương trình an toàn HKDD</x:v>
      </x:c>
      <x:c r="D251" s="14" t="str">
        <x:v>Tong_hop_nhiem_vu_TT18_2026_TT_BXD_VATM_ANSP.xlsx</x:v>
      </x:c>
      <x:c r="E251" s="14" t="str">
        <x:v>04_SPI_PL_II</x:v>
      </x:c>
      <x:c r="F251" s="56" t="n">
        <x:v>52</x:v>
      </x:c>
      <x:c r="G251" s="14" t="str">
        <x:v>Phụ lục II Điều 5</x:v>
      </x:c>
      <x:c r="H251" s="14" t="str">
        <x:v>An toàn hàng không / SMS</x:v>
      </x:c>
      <x:c r="I251" s="14" t="str">
        <x:v>SPI/SPT và chỉ số an toàn</x:v>
      </x:c>
      <x:c r="J251" s="14" t="str">
        <x:v>Cơ sở/doanh nghiệp cung cấp dịch vụ bảo đảm hoạt động bay</x:v>
      </x:c>
      <x:c r="K251" s="14" t="str">
        <x:v>Trực tiếp</x:v>
      </x:c>
      <x:c r="L251" s="14" t="str">
        <x:v>Báo cáo/điều tra/khắc phục</x:v>
      </x:c>
      <x:c r="M251" s="14" t="str"/>
      <x:c r="N251" s="14" t="str">
        <x:v>Vi phạm độ cao an toàn tối thiểu: Số lượng chuyến bay vi phạm độ cao an toàn tối thiểu do công tác điều hành bay.</x:v>
      </x:c>
      <x:c r="O251" s="14" t="str">
        <x:v>Thu thập dữ liệu, phân tích xu hướng, so sánh SPT/ngưỡng cảnh báo, triển khai biện pháp khi cần và đưa vào báo cáo định kỳ.</x:v>
      </x:c>
      <x:c r="P251" s="14" t="str"/>
      <x:c r="Q251" s="14" t="str"/>
      <x:c r="R251" s="14" t="str"/>
      <x:c r="S251" s="14" t="str">
        <x:v>Ban An toàn - Chất lượng</x:v>
      </x:c>
      <x:c r="T251" s="14" t="str">
        <x:v>Các Công ty Quản lý bay khu vực Bắc/Trung/Nam; Ban An toàn - Chất lượng</x:v>
      </x:c>
      <x:c r="U251" s="14" t="str"/>
      <x:c r="V251" s="14" t="str">
        <x:v>Trên 10000 chuyến bay</x:v>
      </x:c>
      <x:c r="W251" s="14" t="str">
        <x:v>P2</x:v>
      </x:c>
      <x:c r="X251" s="14" t="str"/>
      <x:c r="Y251" s="14" t="str">
        <x:v>Chưa bắt đầu</x:v>
      </x:c>
      <x:c r="Z251" s="14" t="str"/>
      <x:c r="AA251" s="14" t="str">
        <x:v>https://datafiles.chinhphu.vn/cpp/files/vbpq/2026/5/18-bxd.pdf</x:v>
      </x:c>
      <x:c r="AB251" s="14" t="str">
        <x:v>sms; an toan; spi; spt</x:v>
      </x:c>
    </x:row>
    <x:row r="252">
      <x:c r="A252" s="14" t="str">
        <x:v>VATM-0251</x:v>
      </x:c>
      <x:c r="B252" s="14" t="str">
        <x:v>ANS-05</x:v>
      </x:c>
      <x:c r="C252" s="14" t="str">
        <x:v>Thông tư 18/2026/TT-BXD - Chương trình an toàn HKDD</x:v>
      </x:c>
      <x:c r="D252" s="14" t="str">
        <x:v>Tong_hop_nhiem_vu_TT18_2026_TT_BXD_VATM_ANSP.xlsx</x:v>
      </x:c>
      <x:c r="E252" s="14" t="str">
        <x:v>04_SPI_PL_II</x:v>
      </x:c>
      <x:c r="F252" s="56" t="n">
        <x:v>53</x:v>
      </x:c>
      <x:c r="G252" s="14" t="str">
        <x:v>Phụ lục II Điều 5</x:v>
      </x:c>
      <x:c r="H252" s="14" t="str">
        <x:v>An toàn hàng không / SMS</x:v>
      </x:c>
      <x:c r="I252" s="14" t="str">
        <x:v>SPI/SPT và chỉ số an toàn</x:v>
      </x:c>
      <x:c r="J252" s="14" t="str">
        <x:v>Cơ sở/doanh nghiệp cung cấp dịch vụ bảo đảm hoạt động bay</x:v>
      </x:c>
      <x:c r="K252" s="14" t="str">
        <x:v>Trực tiếp</x:v>
      </x:c>
      <x:c r="L252" s="14" t="str">
        <x:v>Báo cáo/điều tra/khắc phục</x:v>
      </x:c>
      <x:c r="M252" s="14" t="str"/>
      <x:c r="N252" s="14" t="str">
        <x:v>Vi phạm không phận: Số lượng chuyến bay vi phạm bay vào khu vực cấm bay, khu vực hạn chế hoặc khu vực nguy hiểm do công tác điều hành bay.</x:v>
      </x:c>
      <x:c r="O252" s="14" t="str">
        <x:v>Thu thập dữ liệu, phân tích xu hướng, so sánh SPT/ngưỡng cảnh báo, triển khai biện pháp khi cần và đưa vào báo cáo định kỳ.</x:v>
      </x:c>
      <x:c r="P252" s="14" t="str"/>
      <x:c r="Q252" s="14" t="str"/>
      <x:c r="R252" s="14" t="str"/>
      <x:c r="S252" s="14" t="str">
        <x:v>Ban An toàn - Chất lượng</x:v>
      </x:c>
      <x:c r="T252" s="14" t="str">
        <x:v>Các Công ty Quản lý bay khu vực Bắc/Trung/Nam; Ban An toàn - Chất lượng</x:v>
      </x:c>
      <x:c r="U252" s="14" t="str"/>
      <x:c r="V252" s="14" t="str">
        <x:v>Trên 10000 chuyến bay</x:v>
      </x:c>
      <x:c r="W252" s="14" t="str">
        <x:v>P2</x:v>
      </x:c>
      <x:c r="X252" s="14" t="str"/>
      <x:c r="Y252" s="14" t="str">
        <x:v>Chưa bắt đầu</x:v>
      </x:c>
      <x:c r="Z252" s="14" t="str"/>
      <x:c r="AA252" s="14" t="str">
        <x:v>https://datafiles.chinhphu.vn/cpp/files/vbpq/2026/5/18-bxd.pdf</x:v>
      </x:c>
      <x:c r="AB252" s="14" t="str">
        <x:v>sms; an toan; spi; spt</x:v>
      </x:c>
    </x:row>
    <x:row r="253">
      <x:c r="A253" s="14" t="str">
        <x:v>VATM-0252</x:v>
      </x:c>
      <x:c r="B253" s="14" t="str">
        <x:v>ANS-06</x:v>
      </x:c>
      <x:c r="C253" s="14" t="str">
        <x:v>Thông tư 18/2026/TT-BXD - Chương trình an toàn HKDD</x:v>
      </x:c>
      <x:c r="D253" s="14" t="str">
        <x:v>Tong_hop_nhiem_vu_TT18_2026_TT_BXD_VATM_ANSP.xlsx</x:v>
      </x:c>
      <x:c r="E253" s="14" t="str">
        <x:v>04_SPI_PL_II</x:v>
      </x:c>
      <x:c r="F253" s="56" t="n">
        <x:v>54</x:v>
      </x:c>
      <x:c r="G253" s="14" t="str">
        <x:v>Phụ lục II Điều 5</x:v>
      </x:c>
      <x:c r="H253" s="14" t="str">
        <x:v>An toàn hàng không / SMS</x:v>
      </x:c>
      <x:c r="I253" s="14" t="str">
        <x:v>SPI/SPT và chỉ số an toàn</x:v>
      </x:c>
      <x:c r="J253" s="14" t="str">
        <x:v>Cơ sở/doanh nghiệp cung cấp dịch vụ bảo đảm hoạt động bay</x:v>
      </x:c>
      <x:c r="K253" s="14" t="str">
        <x:v>Trực tiếp</x:v>
      </x:c>
      <x:c r="L253" s="14" t="str">
        <x:v>Báo cáo/điều tra/khắc phục</x:v>
      </x:c>
      <x:c r="M253" s="14" t="str"/>
      <x:c r="N253" s="14" t="str">
        <x:v>Sự cố điều hành sai lệch phương thức: Số lượng chuyến bay bị điều hành không đúng phương thức quy định.</x:v>
      </x:c>
      <x:c r="O253" s="14" t="str">
        <x:v>Thu thập dữ liệu, phân tích xu hướng, so sánh SPT/ngưỡng cảnh báo, triển khai biện pháp khi cần và đưa vào báo cáo định kỳ.</x:v>
      </x:c>
      <x:c r="P253" s="14" t="str"/>
      <x:c r="Q253" s="14" t="str"/>
      <x:c r="R253" s="14" t="str"/>
      <x:c r="S253" s="14" t="str">
        <x:v>Ban An toàn - Chất lượng</x:v>
      </x:c>
      <x:c r="T253" s="14" t="str">
        <x:v>Các Công ty Quản lý bay khu vực Bắc/Trung/Nam; Ban An toàn - Chất lượng</x:v>
      </x:c>
      <x:c r="U253" s="14" t="str"/>
      <x:c r="V253" s="14" t="str">
        <x:v>Trên 10000 chuyến bay</x:v>
      </x:c>
      <x:c r="W253" s="14" t="str">
        <x:v>P2</x:v>
      </x:c>
      <x:c r="X253" s="14" t="str"/>
      <x:c r="Y253" s="14" t="str">
        <x:v>Chưa bắt đầu</x:v>
      </x:c>
      <x:c r="Z253" s="14" t="str"/>
      <x:c r="AA253" s="14" t="str">
        <x:v>https://datafiles.chinhphu.vn/cpp/files/vbpq/2026/5/18-bxd.pdf</x:v>
      </x:c>
      <x:c r="AB253" s="14" t="str">
        <x:v>sms; an toan; spi; spt</x:v>
      </x:c>
    </x:row>
    <x:row r="254">
      <x:c r="A254" s="14" t="str">
        <x:v>VATM-0253</x:v>
      </x:c>
      <x:c r="B254" s="14" t="str">
        <x:v>ANS-07</x:v>
      </x:c>
      <x:c r="C254" s="14" t="str">
        <x:v>Thông tư 18/2026/TT-BXD - Chương trình an toàn HKDD</x:v>
      </x:c>
      <x:c r="D254" s="14" t="str">
        <x:v>Tong_hop_nhiem_vu_TT18_2026_TT_BXD_VATM_ANSP.xlsx</x:v>
      </x:c>
      <x:c r="E254" s="14" t="str">
        <x:v>04_SPI_PL_II</x:v>
      </x:c>
      <x:c r="F254" s="56" t="n">
        <x:v>55</x:v>
      </x:c>
      <x:c r="G254" s="14" t="str">
        <x:v>Phụ lục II Điều 5</x:v>
      </x:c>
      <x:c r="H254" s="14" t="str">
        <x:v>An toàn hàng không / SMS</x:v>
      </x:c>
      <x:c r="I254" s="14" t="str">
        <x:v>SPI/SPT và chỉ số an toàn</x:v>
      </x:c>
      <x:c r="J254" s="14" t="str">
        <x:v>Cơ sở/doanh nghiệp cung cấp dịch vụ bảo đảm hoạt động bay</x:v>
      </x:c>
      <x:c r="K254" s="14" t="str">
        <x:v>Trực tiếp</x:v>
      </x:c>
      <x:c r="L254" s="14" t="str">
        <x:v>Báo cáo/điều tra/khắc phục</x:v>
      </x:c>
      <x:c r="M254" s="14" t="str"/>
      <x:c r="N254" s="14" t="str">
        <x:v>Xâm nhập trái phép đường cất hạ cánh: Số lượng chuyến bay xâm nhập đường cất hạ cánh không đúng quy định do công tác điều hành bay.</x:v>
      </x:c>
      <x:c r="O254" s="14" t="str">
        <x:v>Thu thập dữ liệu, phân tích xu hướng, so sánh SPT/ngưỡng cảnh báo, triển khai biện pháp khi cần và đưa vào báo cáo định kỳ.</x:v>
      </x:c>
      <x:c r="P254" s="14" t="str"/>
      <x:c r="Q254" s="14" t="str"/>
      <x:c r="R254" s="14" t="str"/>
      <x:c r="S254" s="14" t="str">
        <x:v>Ban An toàn - Chất lượng</x:v>
      </x:c>
      <x:c r="T254" s="14" t="str">
        <x:v>Các Công ty Quản lý bay khu vực Bắc/Trung/Nam; Ban An toàn - Chất lượng</x:v>
      </x:c>
      <x:c r="U254" s="14" t="str"/>
      <x:c r="V254" s="14" t="str">
        <x:v>Trên 10000 chuyển động tàu bay</x:v>
      </x:c>
      <x:c r="W254" s="14" t="str">
        <x:v>P2</x:v>
      </x:c>
      <x:c r="X254" s="14" t="str"/>
      <x:c r="Y254" s="14" t="str">
        <x:v>Chưa bắt đầu</x:v>
      </x:c>
      <x:c r="Z254" s="14" t="str"/>
      <x:c r="AA254" s="14" t="str">
        <x:v>https://datafiles.chinhphu.vn/cpp/files/vbpq/2026/5/18-bxd.pdf</x:v>
      </x:c>
      <x:c r="AB254" s="14" t="str">
        <x:v>sms; an toan; spi; spt</x:v>
      </x:c>
    </x:row>
    <x:row r="255">
      <x:c r="A255" s="14" t="str">
        <x:v>VATM-0254</x:v>
      </x:c>
      <x:c r="B255" s="14" t="str">
        <x:v>ANS-08</x:v>
      </x:c>
      <x:c r="C255" s="14" t="str">
        <x:v>Thông tư 18/2026/TT-BXD - Chương trình an toàn HKDD</x:v>
      </x:c>
      <x:c r="D255" s="14" t="str">
        <x:v>Tong_hop_nhiem_vu_TT18_2026_TT_BXD_VATM_ANSP.xlsx</x:v>
      </x:c>
      <x:c r="E255" s="14" t="str">
        <x:v>04_SPI_PL_II</x:v>
      </x:c>
      <x:c r="F255" s="56" t="n">
        <x:v>56</x:v>
      </x:c>
      <x:c r="G255" s="14" t="str">
        <x:v>Phụ lục II Điều 5</x:v>
      </x:c>
      <x:c r="H255" s="14" t="str">
        <x:v>An toàn hàng không / SMS</x:v>
      </x:c>
      <x:c r="I255" s="14" t="str">
        <x:v>SPI/SPT và chỉ số an toàn</x:v>
      </x:c>
      <x:c r="J255" s="14" t="str">
        <x:v>Cơ sở/doanh nghiệp cung cấp dịch vụ bảo đảm hoạt động bay</x:v>
      </x:c>
      <x:c r="K255" s="14" t="str">
        <x:v>Trực tiếp</x:v>
      </x:c>
      <x:c r="L255" s="14" t="str">
        <x:v>Báo cáo/điều tra/khắc phục</x:v>
      </x:c>
      <x:c r="M255" s="14" t="str"/>
      <x:c r="N255" s="14" t="str">
        <x:v>Gián đoạn cung cấp dịch vụ bảo đảm hoạt động bay: Số lần hoạt động bay bị gián đoạn, ảnh hưởng đến an toàn hàng không do công tác cung cấp dịch vụ bảo đảm hoạt động bay.</x:v>
      </x:c>
      <x:c r="O255" s="14" t="str">
        <x:v>Thu thập dữ liệu, phân tích xu hướng, so sánh SPT/ngưỡng cảnh báo, triển khai biện pháp khi cần và đưa vào báo cáo định kỳ.</x:v>
      </x:c>
      <x:c r="P255" s="14" t="str"/>
      <x:c r="Q255" s="14" t="str"/>
      <x:c r="R255" s="14" t="str"/>
      <x:c r="S255" s="14" t="str">
        <x:v>Ban An toàn - Chất lượng</x:v>
      </x:c>
      <x:c r="T255" s="14" t="str">
        <x:v>Các Công ty Quản lý bay khu vực Bắc/Trung/Nam; Ban An toàn - Chất lượng</x:v>
      </x:c>
      <x:c r="U255" s="14" t="str"/>
      <x:c r="V255" s="14" t="str">
        <x:v>Trên 10000 chuyến bay</x:v>
      </x:c>
      <x:c r="W255" s="14" t="str">
        <x:v>P2</x:v>
      </x:c>
      <x:c r="X255" s="14" t="str"/>
      <x:c r="Y255" s="14" t="str">
        <x:v>Chưa bắt đầu</x:v>
      </x:c>
      <x:c r="Z255" s="14" t="str"/>
      <x:c r="AA255" s="14" t="str">
        <x:v>https://datafiles.chinhphu.vn/cpp/files/vbpq/2026/5/18-bxd.pdf</x:v>
      </x:c>
      <x:c r="AB255" s="14" t="str">
        <x:v>sms; an toan; spi; spt</x:v>
      </x:c>
    </x:row>
    <x:row r="256">
      <x:c r="A256" s="14" t="str">
        <x:v>VATM-0255</x:v>
      </x:c>
      <x:c r="B256" s="14" t="str">
        <x:v>ANS-09</x:v>
      </x:c>
      <x:c r="C256" s="14" t="str">
        <x:v>Thông tư 18/2026/TT-BXD - Chương trình an toàn HKDD</x:v>
      </x:c>
      <x:c r="D256" s="14" t="str">
        <x:v>Tong_hop_nhiem_vu_TT18_2026_TT_BXD_VATM_ANSP.xlsx</x:v>
      </x:c>
      <x:c r="E256" s="14" t="str">
        <x:v>04_SPI_PL_II</x:v>
      </x:c>
      <x:c r="F256" s="56" t="n">
        <x:v>57</x:v>
      </x:c>
      <x:c r="G256" s="14" t="str">
        <x:v>Phụ lục II Điều 5</x:v>
      </x:c>
      <x:c r="H256" s="14" t="str">
        <x:v>An toàn hàng không / SMS</x:v>
      </x:c>
      <x:c r="I256" s="14" t="str">
        <x:v>SPI/SPT và chỉ số an toàn</x:v>
      </x:c>
      <x:c r="J256" s="14" t="str">
        <x:v>Cơ sở/doanh nghiệp cung cấp dịch vụ bảo đảm hoạt động bay</x:v>
      </x:c>
      <x:c r="K256" s="14" t="str">
        <x:v>Trực tiếp</x:v>
      </x:c>
      <x:c r="L256" s="14" t="str">
        <x:v>Báo cáo/điều tra/khắc phục</x:v>
      </x:c>
      <x:c r="M256" s="14" t="str"/>
      <x:c r="N256" s="14" t="str">
        <x:v>Mất khả năng thực hiện nhiệm vụ: Số lần kiểm soát viên không lưu có vấn đề sức khỏe dẫn đến không thể tiếp tục nhiệm vụ trong quá trình điều hành bay.</x:v>
      </x:c>
      <x:c r="O256" s="14" t="str">
        <x:v>Thu thập dữ liệu, phân tích xu hướng, so sánh SPT/ngưỡng cảnh báo, triển khai biện pháp khi cần và đưa vào báo cáo định kỳ.</x:v>
      </x:c>
      <x:c r="P256" s="14" t="str"/>
      <x:c r="Q256" s="14" t="str"/>
      <x:c r="R256" s="14" t="str"/>
      <x:c r="S256" s="14" t="str">
        <x:v>Ban An toàn - Chất lượng</x:v>
      </x:c>
      <x:c r="T256" s="14" t="str">
        <x:v>Các Công ty Quản lý bay khu vực Bắc/Trung/Nam; Ban An toàn - Chất lượng</x:v>
      </x:c>
      <x:c r="U256" s="14" t="str"/>
      <x:c r="V256" s="14" t="str">
        <x:v>Trên 10000 chuyến bay</x:v>
      </x:c>
      <x:c r="W256" s="14" t="str">
        <x:v>P2</x:v>
      </x:c>
      <x:c r="X256" s="14" t="str"/>
      <x:c r="Y256" s="14" t="str">
        <x:v>Chưa bắt đầu</x:v>
      </x:c>
      <x:c r="Z256" s="14" t="str"/>
      <x:c r="AA256" s="14" t="str">
        <x:v>https://datafiles.chinhphu.vn/cpp/files/vbpq/2026/5/18-bxd.pdf</x:v>
      </x:c>
      <x:c r="AB256" s="14" t="str">
        <x:v>sms; an toan; spi; spt</x:v>
      </x:c>
    </x:row>
    <x:row r="257">
      <x:c r="A257" s="14" t="str">
        <x:v>VATM-0256</x:v>
      </x:c>
      <x:c r="B257" s="14" t="str">
        <x:v>AGA-3</x:v>
      </x:c>
      <x:c r="C257" s="14" t="str">
        <x:v>Thông tư 18/2026/TT-BXD - Chương trình an toàn HKDD</x:v>
      </x:c>
      <x:c r="D257" s="14" t="str">
        <x:v>Tong_hop_nhiem_vu_TT18_2026_TT_BXD_VATM_ANSP.xlsx</x:v>
      </x:c>
      <x:c r="E257" s="14" t="str">
        <x:v>04_SPI_PL_II</x:v>
      </x:c>
      <x:c r="F257" s="56" t="n">
        <x:v>60</x:v>
      </x:c>
      <x:c r="G257" s="14" t="str">
        <x:v>Phụ lục II Điều 6</x:v>
      </x:c>
      <x:c r="H257" s="14" t="str">
        <x:v>An toàn hàng không / SMS</x:v>
      </x:c>
      <x:c r="I257" s="14" t="str">
        <x:v>SPI/SPT và chỉ số an toàn</x:v>
      </x:c>
      <x:c r="J257" s="14" t="str">
        <x:v>Người khai thác cảng hàng không</x:v>
      </x:c>
      <x:c r="K257" s="14" t="str">
        <x:v>Phối hợp/Gián tiếp</x:v>
      </x:c>
      <x:c r="L257" s="14" t="str">
        <x:v>Báo cáo/điều tra/khắc phục</x:v>
      </x:c>
      <x:c r="M257" s="14" t="str"/>
      <x:c r="N257" s="14" t="str">
        <x:v>Xông ra ngoài đường cất hạ cánh: Số lần tàu bay xông ra ngoài đường cất hạ cánh liên quan tới quản lý, khai thác công trình trong sân bay.</x:v>
      </x:c>
      <x:c r="O257" s="14" t="str">
        <x:v>Thu thập dữ liệu, phân tích xu hướng, so sánh SPT/ngưỡng cảnh báo, triển khai biện pháp khi cần và đưa vào báo cáo định kỳ.</x:v>
      </x:c>
      <x:c r="P257" s="14" t="str"/>
      <x:c r="Q257" s="14" t="str"/>
      <x:c r="R257" s="14" t="str"/>
      <x:c r="S257" s="14" t="str">
        <x:v>Ban An toàn - Chất lượng</x:v>
      </x:c>
      <x:c r="T257" s="14" t="str">
        <x:v>Các Công ty Quản lý bay khu vực Bắc/Trung/Nam; Ban An toàn - Chất lượng</x:v>
      </x:c>
      <x:c r="U257" s="14" t="str"/>
      <x:c r="V257" s="14" t="str">
        <x:v>Trên 1000 chuyển động tàu bay</x:v>
      </x:c>
      <x:c r="W257" s="14" t="str">
        <x:v>P2</x:v>
      </x:c>
      <x:c r="X257" s="14" t="str"/>
      <x:c r="Y257" s="14" t="str">
        <x:v>Chưa bắt đầu</x:v>
      </x:c>
      <x:c r="Z257" s="14" t="str"/>
      <x:c r="AA257" s="14" t="str">
        <x:v>https://datafiles.chinhphu.vn/cpp/files/vbpq/2026/5/18-bxd.pdf</x:v>
      </x:c>
      <x:c r="AB257" s="14" t="str">
        <x:v>sms; an toan; spi; spt; san bay</x:v>
      </x:c>
    </x:row>
    <x:row r="258">
      <x:c r="A258" s="14" t="str">
        <x:v>VATM-0257</x:v>
      </x:c>
      <x:c r="B258" s="14" t="str">
        <x:v>AGA-4</x:v>
      </x:c>
      <x:c r="C258" s="14" t="str">
        <x:v>Thông tư 18/2026/TT-BXD - Chương trình an toàn HKDD</x:v>
      </x:c>
      <x:c r="D258" s="14" t="str">
        <x:v>Tong_hop_nhiem_vu_TT18_2026_TT_BXD_VATM_ANSP.xlsx</x:v>
      </x:c>
      <x:c r="E258" s="14" t="str">
        <x:v>04_SPI_PL_II</x:v>
      </x:c>
      <x:c r="F258" s="56" t="n">
        <x:v>61</x:v>
      </x:c>
      <x:c r="G258" s="14" t="str">
        <x:v>Phụ lục II Điều 6</x:v>
      </x:c>
      <x:c r="H258" s="14" t="str">
        <x:v>An toàn hàng không / SMS</x:v>
      </x:c>
      <x:c r="I258" s="14" t="str">
        <x:v>SPI/SPT và chỉ số an toàn</x:v>
      </x:c>
      <x:c r="J258" s="14" t="str">
        <x:v>Người khai thác cảng hàng không</x:v>
      </x:c>
      <x:c r="K258" s="14" t="str">
        <x:v>Phối hợp/Gián tiếp</x:v>
      </x:c>
      <x:c r="L258" s="14" t="str">
        <x:v>Báo cáo/điều tra/khắc phục</x:v>
      </x:c>
      <x:c r="M258" s="14" t="str"/>
      <x:c r="N258" s="14" t="str">
        <x:v>Xâm nhập đường cất hạ cánh: Số lần tàu bay, phương tiện, con người xâm nhập đường cất hạ cánh liên quan tới quản lý, khai thác công trình trong sân bay.</x:v>
      </x:c>
      <x:c r="O258" s="14" t="str">
        <x:v>Thu thập dữ liệu, phân tích xu hướng, so sánh SPT/ngưỡng cảnh báo, triển khai biện pháp khi cần và đưa vào báo cáo định kỳ.</x:v>
      </x:c>
      <x:c r="P258" s="14" t="str"/>
      <x:c r="Q258" s="14" t="str"/>
      <x:c r="R258" s="14" t="str"/>
      <x:c r="S258" s="14" t="str">
        <x:v>Ban An toàn - Chất lượng</x:v>
      </x:c>
      <x:c r="T258" s="14" t="str">
        <x:v>Các Công ty Quản lý bay khu vực Bắc/Trung/Nam; Ban An toàn - Chất lượng</x:v>
      </x:c>
      <x:c r="U258" s="14" t="str"/>
      <x:c r="V258" s="14" t="str">
        <x:v>Trên 1000 chuyển động tàu bay</x:v>
      </x:c>
      <x:c r="W258" s="14" t="str">
        <x:v>P2</x:v>
      </x:c>
      <x:c r="X258" s="14" t="str"/>
      <x:c r="Y258" s="14" t="str">
        <x:v>Chưa bắt đầu</x:v>
      </x:c>
      <x:c r="Z258" s="14" t="str"/>
      <x:c r="AA258" s="14" t="str">
        <x:v>https://datafiles.chinhphu.vn/cpp/files/vbpq/2026/5/18-bxd.pdf</x:v>
      </x:c>
      <x:c r="AB258" s="14" t="str">
        <x:v>sms; an toan; spi; spt; san bay</x:v>
      </x:c>
    </x:row>
    <x:row r="259">
      <x:c r="A259" s="14" t="str">
        <x:v>VATM-0258</x:v>
      </x:c>
      <x:c r="B259" s="14" t="str">
        <x:v>AGA-5</x:v>
      </x:c>
      <x:c r="C259" s="14" t="str">
        <x:v>Thông tư 18/2026/TT-BXD - Chương trình an toàn HKDD</x:v>
      </x:c>
      <x:c r="D259" s="14" t="str">
        <x:v>Tong_hop_nhiem_vu_TT18_2026_TT_BXD_VATM_ANSP.xlsx</x:v>
      </x:c>
      <x:c r="E259" s="14" t="str">
        <x:v>04_SPI_PL_II</x:v>
      </x:c>
      <x:c r="F259" s="56" t="n">
        <x:v>62</x:v>
      </x:c>
      <x:c r="G259" s="14" t="str">
        <x:v>Phụ lục II Điều 6</x:v>
      </x:c>
      <x:c r="H259" s="14" t="str">
        <x:v>An toàn hàng không / SMS</x:v>
      </x:c>
      <x:c r="I259" s="14" t="str">
        <x:v>SPI/SPT và chỉ số an toàn</x:v>
      </x:c>
      <x:c r="J259" s="14" t="str">
        <x:v>Người khai thác cảng hàng không</x:v>
      </x:c>
      <x:c r="K259" s="14" t="str">
        <x:v>Phối hợp/Gián tiếp</x:v>
      </x:c>
      <x:c r="L259" s="14" t="str">
        <x:v>Báo cáo/điều tra/khắc phục</x:v>
      </x:c>
      <x:c r="M259" s="14" t="str"/>
      <x:c r="N259" s="14" t="str">
        <x:v>Tàu bay va chạm trên mặt đất: Sự cố tàu bay va chạm với tàu bay, phương tiện, công trình trong sân bay khi lăn hoặc đỗ liên quan đến quản lý, khai thác công trình trong sân bay.</x:v>
      </x:c>
      <x:c r="O259" s="14" t="str">
        <x:v>Thu thập dữ liệu, phân tích xu hướng, so sánh SPT/ngưỡng cảnh báo, triển khai biện pháp khi cần và đưa vào báo cáo định kỳ.</x:v>
      </x:c>
      <x:c r="P259" s="14" t="str"/>
      <x:c r="Q259" s="14" t="str"/>
      <x:c r="R259" s="14" t="str"/>
      <x:c r="S259" s="14" t="str">
        <x:v>Ban An toàn - Chất lượng</x:v>
      </x:c>
      <x:c r="T259" s="14" t="str">
        <x:v>Các Công ty Quản lý bay khu vực Bắc/Trung/Nam; Ban An toàn - Chất lượng</x:v>
      </x:c>
      <x:c r="U259" s="14" t="str"/>
      <x:c r="V259" s="14" t="str">
        <x:v>Trên 1000 chuyển động tàu bay</x:v>
      </x:c>
      <x:c r="W259" s="14" t="str">
        <x:v>P2</x:v>
      </x:c>
      <x:c r="X259" s="14" t="str"/>
      <x:c r="Y259" s="14" t="str">
        <x:v>Chưa bắt đầu</x:v>
      </x:c>
      <x:c r="Z259" s="14" t="str"/>
      <x:c r="AA259" s="14" t="str">
        <x:v>https://datafiles.chinhphu.vn/cpp/files/vbpq/2026/5/18-bxd.pdf</x:v>
      </x:c>
      <x:c r="AB259" s="14" t="str">
        <x:v>sms; an toan; spi; spt; san bay</x:v>
      </x:c>
    </x:row>
    <x:row r="260">
      <x:c r="A260" s="14" t="str">
        <x:v>VATM-0259</x:v>
      </x:c>
      <x:c r="B260" s="14" t="str">
        <x:v>AGA-6</x:v>
      </x:c>
      <x:c r="C260" s="14" t="str">
        <x:v>Thông tư 18/2026/TT-BXD - Chương trình an toàn HKDD</x:v>
      </x:c>
      <x:c r="D260" s="14" t="str">
        <x:v>Tong_hop_nhiem_vu_TT18_2026_TT_BXD_VATM_ANSP.xlsx</x:v>
      </x:c>
      <x:c r="E260" s="14" t="str">
        <x:v>04_SPI_PL_II</x:v>
      </x:c>
      <x:c r="F260" s="56" t="n">
        <x:v>63</x:v>
      </x:c>
      <x:c r="G260" s="14" t="str">
        <x:v>Phụ lục II Điều 6</x:v>
      </x:c>
      <x:c r="H260" s="14" t="str">
        <x:v>An toàn hàng không / SMS</x:v>
      </x:c>
      <x:c r="I260" s="14" t="str">
        <x:v>SPI/SPT và chỉ số an toàn</x:v>
      </x:c>
      <x:c r="J260" s="14" t="str">
        <x:v>Người khai thác cảng hàng không</x:v>
      </x:c>
      <x:c r="K260" s="14" t="str">
        <x:v>Phối hợp/Gián tiếp</x:v>
      </x:c>
      <x:c r="L260" s="14" t="str">
        <x:v>Báo cáo/điều tra/khắc phục</x:v>
      </x:c>
      <x:c r="M260" s="14" t="str"/>
      <x:c r="N260" s="14" t="str">
        <x:v>Tàu bay lăn nhầm đường lăn, vệt lăn, vị trí đỗ: Số lần tàu bay lăn nhầm đường lăn, vệt lăn và vị trí đỗ tàu bay liên quan tới quản lý, khai thác công trình trong sân bay.</x:v>
      </x:c>
      <x:c r="O260" s="14" t="str">
        <x:v>Thu thập dữ liệu, phân tích xu hướng, so sánh SPT/ngưỡng cảnh báo, triển khai biện pháp khi cần và đưa vào báo cáo định kỳ.</x:v>
      </x:c>
      <x:c r="P260" s="14" t="str"/>
      <x:c r="Q260" s="14" t="str"/>
      <x:c r="R260" s="14" t="str"/>
      <x:c r="S260" s="14" t="str">
        <x:v>Ban An toàn - Chất lượng</x:v>
      </x:c>
      <x:c r="T260" s="14" t="str">
        <x:v>Các Công ty Quản lý bay khu vực Bắc/Trung/Nam; Ban An toàn - Chất lượng</x:v>
      </x:c>
      <x:c r="U260" s="14" t="str"/>
      <x:c r="V260" s="14" t="str">
        <x:v>Trên 1000 chuyển động tàu bay</x:v>
      </x:c>
      <x:c r="W260" s="14" t="str">
        <x:v>P2</x:v>
      </x:c>
      <x:c r="X260" s="14" t="str"/>
      <x:c r="Y260" s="14" t="str">
        <x:v>Chưa bắt đầu</x:v>
      </x:c>
      <x:c r="Z260" s="14" t="str"/>
      <x:c r="AA260" s="14" t="str">
        <x:v>https://datafiles.chinhphu.vn/cpp/files/vbpq/2026/5/18-bxd.pdf</x:v>
      </x:c>
      <x:c r="AB260" s="14" t="str">
        <x:v>sms; an toan; spi; spt; san bay</x:v>
      </x:c>
    </x:row>
    <x:row r="261">
      <x:c r="A261" s="14" t="str">
        <x:v>VATM-0260</x:v>
      </x:c>
      <x:c r="B261" s="14" t="str">
        <x:v>GEN-01</x:v>
      </x:c>
      <x:c r="C261" s="14" t="str">
        <x:v>Thông tư 18/2026/TT-BXD - Chương trình an toàn HKDD</x:v>
      </x:c>
      <x:c r="D261" s="14" t="str">
        <x:v>Tong_hop_nhiem_vu_TT18_2026_TT_BXD_VATM_ANSP.xlsx</x:v>
      </x:c>
      <x:c r="E261" s="14" t="str">
        <x:v>04_SPI_PL_II</x:v>
      </x:c>
      <x:c r="F261" s="56" t="n">
        <x:v>69</x:v>
      </x:c>
      <x:c r="G261" s="14" t="str">
        <x:v>Phụ lục II Điều 8</x:v>
      </x:c>
      <x:c r="H261" s="14" t="str">
        <x:v>An toàn hàng không / SMS</x:v>
      </x:c>
      <x:c r="I261" s="14" t="str">
        <x:v>SPI/SPT và chỉ số an toàn</x:v>
      </x:c>
      <x:c r="J261" s="14" t="str">
        <x:v>Chỉ số chung áp dụng cho các tổ chức/cá nhân tại Phụ lục II Điều 1-7</x:v>
      </x:c>
      <x:c r="K261" s="14" t="str">
        <x:v>Trực tiếp</x:v>
      </x:c>
      <x:c r="L261" s="14" t="str">
        <x:v>Báo cáo/điều tra/khắc phục</x:v>
      </x:c>
      <x:c r="M261" s="14" t="str"/>
      <x:c r="N261" s="14" t="str">
        <x:v>Phát hiện vi phạm nồng độ cồn, chất kích thích: Số lần nhân viên hàng không, bao gồm người lái tàu bay, kiểm soát viên không lưu, nhân viên kỹ thuật bảo dưỡng, bị phát hiện sử dụng chất có cồn hoặc chất kích thích thần kinh bị cấm khi thực hiện nhiệm vụ khai thác tàu bay.</x:v>
      </x:c>
      <x:c r="O261" s="14" t="str">
        <x:v>Thu thập dữ liệu, phân tích xu hướng, so sánh SPT/ngưỡng cảnh báo, triển khai biện pháp khi cần và đưa vào báo cáo định kỳ.</x:v>
      </x:c>
      <x:c r="P261" s="14" t="str"/>
      <x:c r="Q261" s="14" t="str"/>
      <x:c r="R261" s="14" t="str"/>
      <x:c r="S261" s="14" t="str">
        <x:v>Ban An toàn - Chất lượng</x:v>
      </x:c>
      <x:c r="T261" s="14" t="str">
        <x:v>Các Công ty Quản lý bay khu vực Bắc/Trung/Nam; Ban An toàn - Chất lượng</x:v>
      </x:c>
      <x:c r="U261" s="14" t="str"/>
      <x:c r="V261" s="14" t="str">
        <x:v>Trên 1000 chuyến bay hoặc 1000 giờ công bảo dưỡng đối với tổ chức bảo dưỡng</x:v>
      </x:c>
      <x:c r="W261" s="14" t="str">
        <x:v>P2</x:v>
      </x:c>
      <x:c r="X261" s="14" t="str"/>
      <x:c r="Y261" s="14" t="str">
        <x:v>Chưa bắt đầu</x:v>
      </x:c>
      <x:c r="Z261" s="14" t="str"/>
      <x:c r="AA261" s="14" t="str">
        <x:v>https://datafiles.chinhphu.vn/cpp/files/vbpq/2026/5/18-bxd.pdf</x:v>
      </x:c>
      <x:c r="AB261" s="14" t="str">
        <x:v>sms; an toan; spi; spt</x:v>
      </x:c>
    </x:row>
    <x:row r="262">
      <x:c r="A262" s="14" t="str">
        <x:v>VATM-0261</x:v>
      </x:c>
      <x:c r="B262" s="14" t="str">
        <x:v>GEN-02</x:v>
      </x:c>
      <x:c r="C262" s="14" t="str">
        <x:v>Thông tư 18/2026/TT-BXD - Chương trình an toàn HKDD</x:v>
      </x:c>
      <x:c r="D262" s="14" t="str">
        <x:v>Tong_hop_nhiem_vu_TT18_2026_TT_BXD_VATM_ANSP.xlsx</x:v>
      </x:c>
      <x:c r="E262" s="14" t="str">
        <x:v>04_SPI_PL_II</x:v>
      </x:c>
      <x:c r="F262" s="56" t="n">
        <x:v>70</x:v>
      </x:c>
      <x:c r="G262" s="14" t="str">
        <x:v>Phụ lục II Điều 8</x:v>
      </x:c>
      <x:c r="H262" s="14" t="str">
        <x:v>An toàn hàng không / SMS</x:v>
      </x:c>
      <x:c r="I262" s="14" t="str">
        <x:v>SPI/SPT và chỉ số an toàn</x:v>
      </x:c>
      <x:c r="J262" s="14" t="str">
        <x:v>Chỉ số chung áp dụng cho các tổ chức/cá nhân tại Phụ lục II Điều 1-7</x:v>
      </x:c>
      <x:c r="K262" s="14" t="str">
        <x:v>Trực tiếp</x:v>
      </x:c>
      <x:c r="L262" s="14" t="str">
        <x:v>Báo cáo/điều tra/khắc phục</x:v>
      </x:c>
      <x:c r="M262" s="14" t="str"/>
      <x:c r="N262" s="14" t="str">
        <x:v>Khắc phục đúng hạn các nội dung không tuân thủ: Tỷ lệ phần trăm các khuyến cáo an toàn hàng không được khắc phục đầy đủ, đúng hạn trên tổng số khuyến cáo an toàn hàng không của Cục HKVN.</x:v>
      </x:c>
      <x:c r="O262" s="14" t="str">
        <x:v>Thu thập dữ liệu, phân tích xu hướng, so sánh SPT/ngưỡng cảnh báo, triển khai biện pháp khi cần và đưa vào báo cáo định kỳ.</x:v>
      </x:c>
      <x:c r="P262" s="14" t="str"/>
      <x:c r="Q262" s="14" t="str"/>
      <x:c r="R262" s="14" t="str"/>
      <x:c r="S262" s="14" t="str">
        <x:v>Ban An toàn - Chất lượng</x:v>
      </x:c>
      <x:c r="T262" s="14" t="str">
        <x:v>Các Công ty Quản lý bay khu vực Bắc/Trung/Nam; Ban An toàn - Chất lượng</x:v>
      </x:c>
      <x:c r="U262" s="14" t="str"/>
      <x:c r="V262" s="14" t="str">
        <x:v>%</x:v>
      </x:c>
      <x:c r="W262" s="14" t="str">
        <x:v>P2</x:v>
      </x:c>
      <x:c r="X262" s="14" t="str"/>
      <x:c r="Y262" s="14" t="str">
        <x:v>Chưa bắt đầu</x:v>
      </x:c>
      <x:c r="Z262" s="14" t="str"/>
      <x:c r="AA262" s="14" t="str">
        <x:v>https://datafiles.chinhphu.vn/cpp/files/vbpq/2026/5/18-bxd.pdf</x:v>
      </x:c>
      <x:c r="AB262" s="14" t="str">
        <x:v>sms; an toan; spi; spt</x:v>
      </x:c>
    </x:row>
    <x:row r="263">
      <x:c r="A263" s="14" t="str">
        <x:v>VATM-0262</x:v>
      </x:c>
      <x:c r="B263" s="14" t="str">
        <x:v>GEN-03</x:v>
      </x:c>
      <x:c r="C263" s="14" t="str">
        <x:v>Thông tư 18/2026/TT-BXD - Chương trình an toàn HKDD</x:v>
      </x:c>
      <x:c r="D263" s="14" t="str">
        <x:v>Tong_hop_nhiem_vu_TT18_2026_TT_BXD_VATM_ANSP.xlsx</x:v>
      </x:c>
      <x:c r="E263" s="14" t="str">
        <x:v>04_SPI_PL_II</x:v>
      </x:c>
      <x:c r="F263" s="56" t="n">
        <x:v>71</x:v>
      </x:c>
      <x:c r="G263" s="14" t="str">
        <x:v>Phụ lục II Điều 8</x:v>
      </x:c>
      <x:c r="H263" s="14" t="str">
        <x:v>An toàn hàng không / SMS</x:v>
      </x:c>
      <x:c r="I263" s="14" t="str">
        <x:v>SPI/SPT và chỉ số an toàn</x:v>
      </x:c>
      <x:c r="J263" s="14" t="str">
        <x:v>Chỉ số chung áp dụng cho các tổ chức/cá nhân tại Phụ lục II Điều 1-7</x:v>
      </x:c>
      <x:c r="K263" s="14" t="str">
        <x:v>Trực tiếp</x:v>
      </x:c>
      <x:c r="L263" s="14" t="str">
        <x:v>Báo cáo/điều tra/khắc phục</x:v>
      </x:c>
      <x:c r="M263" s="14" t="str"/>
      <x:c r="N263" s="14" t="str">
        <x:v>Các điểm không tuân thủ: Số lượng các điểm không tuân thủ các quy định pháp luật về hàng không dân dụng.</x:v>
      </x:c>
      <x:c r="O263" s="14" t="str">
        <x:v>Thu thập dữ liệu, phân tích xu hướng, so sánh SPT/ngưỡng cảnh báo, triển khai biện pháp khi cần và đưa vào báo cáo định kỳ.</x:v>
      </x:c>
      <x:c r="P263" s="14" t="str"/>
      <x:c r="Q263" s="14" t="str"/>
      <x:c r="R263" s="14" t="str"/>
      <x:c r="S263" s="14" t="str">
        <x:v>Ban An toàn - Chất lượng</x:v>
      </x:c>
      <x:c r="T263" s="14" t="str">
        <x:v>Các Công ty Quản lý bay khu vực Bắc/Trung/Nam; Ban An toàn - Chất lượng</x:v>
      </x:c>
      <x:c r="U263" s="14" t="str"/>
      <x:c r="V263" s="14" t="str">
        <x:v>Tính trên đợt kiểm tra</x:v>
      </x:c>
      <x:c r="W263" s="14" t="str">
        <x:v>P2</x:v>
      </x:c>
      <x:c r="X263" s="14" t="str"/>
      <x:c r="Y263" s="14" t="str">
        <x:v>Chưa bắt đầu</x:v>
      </x:c>
      <x:c r="Z263" s="14" t="str"/>
      <x:c r="AA263" s="14" t="str">
        <x:v>https://datafiles.chinhphu.vn/cpp/files/vbpq/2026/5/18-bxd.pdf</x:v>
      </x:c>
      <x:c r="AB263" s="14" t="str">
        <x:v>sms; an toan; spi; spt</x:v>
      </x:c>
    </x:row>
    <x:row r="264">
      <x:c r="A264" s="14" t="str">
        <x:v>VATM-0263</x:v>
      </x:c>
      <x:c r="B264" s="14" t="str">
        <x:v>GEN-04</x:v>
      </x:c>
      <x:c r="C264" s="14" t="str">
        <x:v>Thông tư 18/2026/TT-BXD - Chương trình an toàn HKDD</x:v>
      </x:c>
      <x:c r="D264" s="14" t="str">
        <x:v>Tong_hop_nhiem_vu_TT18_2026_TT_BXD_VATM_ANSP.xlsx</x:v>
      </x:c>
      <x:c r="E264" s="14" t="str">
        <x:v>04_SPI_PL_II</x:v>
      </x:c>
      <x:c r="F264" s="56" t="n">
        <x:v>72</x:v>
      </x:c>
      <x:c r="G264" s="14" t="str">
        <x:v>Phụ lục II Điều 8</x:v>
      </x:c>
      <x:c r="H264" s="14" t="str">
        <x:v>An toàn hàng không / SMS</x:v>
      </x:c>
      <x:c r="I264" s="14" t="str">
        <x:v>SPI/SPT và chỉ số an toàn</x:v>
      </x:c>
      <x:c r="J264" s="14" t="str">
        <x:v>Chỉ số chung áp dụng cho các tổ chức/cá nhân tại Phụ lục II Điều 1-7</x:v>
      </x:c>
      <x:c r="K264" s="14" t="str">
        <x:v>Trực tiếp</x:v>
      </x:c>
      <x:c r="L264" s="14" t="str">
        <x:v>Báo cáo/điều tra/khắc phục</x:v>
      </x:c>
      <x:c r="M264" s="14" t="str"/>
      <x:c r="N264" s="14" t="str">
        <x:v>Báo cáo an toàn tự nguyện: Số lượng báo cáo tự nguyện do nhân viên hàng không báo cáo.</x:v>
      </x:c>
      <x:c r="O264" s="14" t="str">
        <x:v>Thu thập dữ liệu, phân tích xu hướng, so sánh SPT/ngưỡng cảnh báo, triển khai biện pháp khi cần và đưa vào báo cáo định kỳ.</x:v>
      </x:c>
      <x:c r="P264" s="14" t="str"/>
      <x:c r="Q264" s="14" t="str"/>
      <x:c r="R264" s="14" t="str"/>
      <x:c r="S264" s="14" t="str">
        <x:v>Ban An toàn - Chất lượng</x:v>
      </x:c>
      <x:c r="T264" s="14" t="str">
        <x:v>Các Công ty Quản lý bay khu vực Bắc/Trung/Nam; Ban An toàn - Chất lượng</x:v>
      </x:c>
      <x:c r="U264" s="14" t="str"/>
      <x:c r="V264" s="14" t="str">
        <x:v>Tính hằng tháng</x:v>
      </x:c>
      <x:c r="W264" s="14" t="str">
        <x:v>P2</x:v>
      </x:c>
      <x:c r="X264" s="14" t="str"/>
      <x:c r="Y264" s="14" t="str">
        <x:v>Chưa bắt đầu</x:v>
      </x:c>
      <x:c r="Z264" s="14" t="str"/>
      <x:c r="AA264" s="14" t="str">
        <x:v>https://datafiles.chinhphu.vn/cpp/files/vbpq/2026/5/18-bxd.pdf</x:v>
      </x:c>
      <x:c r="AB264" s="14" t="str">
        <x:v>sms; an toan; spi; spt</x:v>
      </x:c>
    </x:row>
    <x:row r="265">
      <x:c r="A265" s="14" t="str">
        <x:v>VATM-0264</x:v>
      </x:c>
      <x:c r="B265" s="14" t="str">
        <x:v>GEN-05</x:v>
      </x:c>
      <x:c r="C265" s="14" t="str">
        <x:v>Thông tư 18/2026/TT-BXD - Chương trình an toàn HKDD</x:v>
      </x:c>
      <x:c r="D265" s="14" t="str">
        <x:v>Tong_hop_nhiem_vu_TT18_2026_TT_BXD_VATM_ANSP.xlsx</x:v>
      </x:c>
      <x:c r="E265" s="14" t="str">
        <x:v>04_SPI_PL_II</x:v>
      </x:c>
      <x:c r="F265" s="56" t="n">
        <x:v>73</x:v>
      </x:c>
      <x:c r="G265" s="14" t="str">
        <x:v>Phụ lục II Điều 8</x:v>
      </x:c>
      <x:c r="H265" s="14" t="str">
        <x:v>An toàn hàng không / SMS</x:v>
      </x:c>
      <x:c r="I265" s="14" t="str">
        <x:v>SPI/SPT và chỉ số an toàn</x:v>
      </x:c>
      <x:c r="J265" s="14" t="str">
        <x:v>Chỉ số chung áp dụng cho các tổ chức/cá nhân tại Phụ lục II Điều 1-7</x:v>
      </x:c>
      <x:c r="K265" s="14" t="str">
        <x:v>Trực tiếp</x:v>
      </x:c>
      <x:c r="L265" s="14" t="str">
        <x:v>Báo cáo/điều tra/khắc phục</x:v>
      </x:c>
      <x:c r="M265" s="14" t="str"/>
      <x:c r="N265" s="14" t="str">
        <x:v>Nhân viên bị thương trong quá trình làm nhiệm vụ: Số lượng nhân viên hàng không bị thương.</x:v>
      </x:c>
      <x:c r="O265" s="14" t="str">
        <x:v>Thu thập dữ liệu, phân tích xu hướng, so sánh SPT/ngưỡng cảnh báo, triển khai biện pháp khi cần và đưa vào báo cáo định kỳ.</x:v>
      </x:c>
      <x:c r="P265" s="14" t="str"/>
      <x:c r="Q265" s="14" t="str"/>
      <x:c r="R265" s="14" t="str"/>
      <x:c r="S265" s="14" t="str">
        <x:v>Ban An toàn - Chất lượng</x:v>
      </x:c>
      <x:c r="T265" s="14" t="str">
        <x:v>Các Công ty Quản lý bay khu vực Bắc/Trung/Nam; Ban An toàn - Chất lượng</x:v>
      </x:c>
      <x:c r="U265" s="14" t="str"/>
      <x:c r="V265" s="14" t="str">
        <x:v>Trên 1000 chuyến bay hoặc 1000 giờ bảo dưỡng đối với tổ chức bảo dưỡng</x:v>
      </x:c>
      <x:c r="W265" s="14" t="str">
        <x:v>P2</x:v>
      </x:c>
      <x:c r="X265" s="14" t="str"/>
      <x:c r="Y265" s="14" t="str">
        <x:v>Chưa bắt đầu</x:v>
      </x:c>
      <x:c r="Z265" s="14" t="str"/>
      <x:c r="AA265" s="14" t="str">
        <x:v>https://datafiles.chinhphu.vn/cpp/files/vbpq/2026/5/18-bxd.pdf</x:v>
      </x:c>
      <x:c r="AB265" s="14" t="str">
        <x:v>sms; an toan; spi; spt</x:v>
      </x:c>
    </x:row>
    <x:row r="266">
      <x:c r="A266" s="14" t="str">
        <x:v>VATM-0265</x:v>
      </x:c>
      <x:c r="B266" s="14" t="str">
        <x:v>I.1.1.1</x:v>
      </x:c>
      <x:c r="C266" s="14" t="str">
        <x:v>Thông tư 18/2026/TT-BXD - Chương trình an toàn HKDD</x:v>
      </x:c>
      <x:c r="D266" s="14" t="str">
        <x:v>Tong_hop_nhiem_vu_TT18_2026_TT_BXD_VATM_ANSP.xlsx</x:v>
      </x:c>
      <x:c r="E266" s="14" t="str">
        <x:v>05_MOR_PL_III</x:v>
      </x:c>
      <x:c r="F266" s="56" t="n">
        <x:v>2</x:v>
      </x:c>
      <x:c r="G266" s="14" t="str">
        <x:v>Phụ lục III Phần I Chương I Mục 1 Điều 1 khoản 1</x:v>
      </x:c>
      <x:c r="H266" s="14" t="str">
        <x:v>An toàn hàng không / SMS</x:v>
      </x:c>
      <x:c r="I266" s="14" t="str">
        <x:v>Báo cáo MOR, sự cố và điều tra</x:v>
      </x:c>
      <x:c r="J266" s="14" t="str">
        <x:v>Người khai thác tàu bay</x:v>
      </x:c>
      <x:c r="K266" s="14" t="str">
        <x:v>Phối hợp/Gián tiếp</x:v>
      </x:c>
      <x:c r="L266" s="14" t="str">
        <x:v>Báo cáo/điều tra/khắc phục</x:v>
      </x:c>
      <x:c r="M266" s="14" t="str"/>
      <x:c r="N266" s="14" t="str">
        <x:v>Sử dụng dữ liệu không chính xác hoặc nhập sai dữ liệu dẫn đường hoặc tính toán tính năng, có nguy cơ gây mất an toàn hàng không.</x:v>
      </x:c>
      <x:c r="O266" s="14" t="str">
        <x:v>Thông báo ban đầu ngay khi có thể; gửi MOR đến Cục HKVN trong vòng 24 giờ; điều tra/xác minh nội bộ, phân loại, xác định nguyên nhân và biện pháp khắc phục/phòng ngừa theo Điều 19, 21.</x:v>
      </x:c>
      <x:c r="P266" s="14" t="str"/>
      <x:c r="Q266" s="14" t="str"/>
      <x:c r="R266" s="14" t="str"/>
      <x:c r="S266" s="14" t="str">
        <x:v>Ban An toàn - Chất lượng</x:v>
      </x:c>
      <x:c r="T266" s="14" t="str">
        <x:v>Các Công ty Quản lý bay khu vực Bắc/Trung/Nam; Ban An toàn - Chất lượng</x:v>
      </x:c>
      <x:c r="U266" s="14" t="str"/>
      <x:c r="V266" s="14" t="str">
        <x:v>24 giờ</x:v>
      </x:c>
      <x:c r="W266" s="14" t="str">
        <x:v>P2</x:v>
      </x:c>
      <x:c r="X266" s="14" t="str"/>
      <x:c r="Y266" s="14" t="str">
        <x:v>Chưa bắt đầu</x:v>
      </x:c>
      <x:c r="Z266" s="14" t="str"/>
      <x:c r="AA266" s="14" t="str">
        <x:v>https://datafiles.chinhphu.vn/cpp/files/vbpq/2026/5/18-bxd.pdf</x:v>
      </x:c>
      <x:c r="AB266" s="14" t="str">
        <x:v>sms; an toan; mor; du lieu</x:v>
      </x:c>
    </x:row>
    <x:row r="267">
      <x:c r="A267" s="14" t="str">
        <x:v>VATM-0266</x:v>
      </x:c>
      <x:c r="B267" s="14" t="str">
        <x:v>I.1.3.1</x:v>
      </x:c>
      <x:c r="C267" s="14" t="str">
        <x:v>Thông tư 18/2026/TT-BXD - Chương trình an toàn HKDD</x:v>
      </x:c>
      <x:c r="D267" s="14" t="str">
        <x:v>Tong_hop_nhiem_vu_TT18_2026_TT_BXD_VATM_ANSP.xlsx</x:v>
      </x:c>
      <x:c r="E267" s="14" t="str">
        <x:v>05_MOR_PL_III</x:v>
      </x:c>
      <x:c r="F267" s="56" t="n">
        <x:v>6</x:v>
      </x:c>
      <x:c r="G267" s="14" t="str">
        <x:v>Phụ lục III Phần I Chương I Mục 1 Điều 3</x:v>
      </x:c>
      <x:c r="H267" s="14" t="str">
        <x:v>An toàn hàng không / SMS</x:v>
      </x:c>
      <x:c r="I267" s="14" t="str">
        <x:v>Báo cáo MOR, sự cố và điều tra</x:v>
      </x:c>
      <x:c r="J267" s="14" t="str">
        <x:v>Người khai thác tàu bay</x:v>
      </x:c>
      <x:c r="K267" s="14" t="str">
        <x:v>Phối hợp/Gián tiếp</x:v>
      </x:c>
      <x:c r="L267" s="14" t="str">
        <x:v>Báo cáo/điều tra/khắc phục</x:v>
      </x:c>
      <x:c r="M267" s="14" t="str"/>
      <x:c r="N267" s="14" t="str">
        <x:v>Tàu bay xông ra khỏi đường lăn hoặc đường cất hạ cánh hoặc khu vực cất hạ cánh đối với trực thăng.</x:v>
      </x:c>
      <x:c r="O267" s="14" t="str">
        <x:v>Thông báo ban đầu ngay khi có thể; gửi MOR đến Cục HKVN trong vòng 24 giờ; điều tra/xác minh nội bộ, phân loại, xác định nguyên nhân và biện pháp khắc phục/phòng ngừa theo Điều 19, 21.</x:v>
      </x:c>
      <x:c r="P267" s="14" t="str"/>
      <x:c r="Q267" s="14" t="str"/>
      <x:c r="R267" s="14" t="str"/>
      <x:c r="S267" s="14" t="str">
        <x:v>Ban An toàn - Chất lượng</x:v>
      </x:c>
      <x:c r="T267" s="14" t="str">
        <x:v>Các Công ty Quản lý bay khu vực Bắc/Trung/Nam; Ban An toàn - Chất lượng</x:v>
      </x:c>
      <x:c r="U267" s="14" t="str"/>
      <x:c r="V267" s="14" t="str">
        <x:v>24 giờ</x:v>
      </x:c>
      <x:c r="W267" s="14" t="str">
        <x:v>P2</x:v>
      </x:c>
      <x:c r="X267" s="14" t="str"/>
      <x:c r="Y267" s="14" t="str">
        <x:v>Chưa bắt đầu</x:v>
      </x:c>
      <x:c r="Z267" s="14" t="str"/>
      <x:c r="AA267" s="14" t="str">
        <x:v>https://datafiles.chinhphu.vn/cpp/files/vbpq/2026/5/18-bxd.pdf</x:v>
      </x:c>
      <x:c r="AB267" s="14" t="str">
        <x:v>sms; an toan; mor</x:v>
      </x:c>
    </x:row>
    <x:row r="268">
      <x:c r="A268" s="14" t="str">
        <x:v>VATM-0267</x:v>
      </x:c>
      <x:c r="B268" s="14" t="str">
        <x:v>I.1.3.2</x:v>
      </x:c>
      <x:c r="C268" s="14" t="str">
        <x:v>Thông tư 18/2026/TT-BXD - Chương trình an toàn HKDD</x:v>
      </x:c>
      <x:c r="D268" s="14" t="str">
        <x:v>Tong_hop_nhiem_vu_TT18_2026_TT_BXD_VATM_ANSP.xlsx</x:v>
      </x:c>
      <x:c r="E268" s="14" t="str">
        <x:v>05_MOR_PL_III</x:v>
      </x:c>
      <x:c r="F268" s="56" t="n">
        <x:v>7</x:v>
      </x:c>
      <x:c r="G268" s="14" t="str">
        <x:v>Phụ lục III Phần I Chương I Mục 1 Điều 3</x:v>
      </x:c>
      <x:c r="H268" s="14" t="str">
        <x:v>An toàn hàng không / SMS</x:v>
      </x:c>
      <x:c r="I268" s="14" t="str">
        <x:v>Báo cáo MOR, sự cố và điều tra</x:v>
      </x:c>
      <x:c r="J268" s="14" t="str">
        <x:v>Người khai thác tàu bay</x:v>
      </x:c>
      <x:c r="K268" s="14" t="str">
        <x:v>Phối hợp/Gián tiếp</x:v>
      </x:c>
      <x:c r="L268" s="14" t="str">
        <x:v>Báo cáo/điều tra/khắc phục</x:v>
      </x:c>
      <x:c r="M268" s="14" t="str"/>
      <x:c r="N268" s="14" t="str">
        <x:v>Tàu bay xâm nhập trái phép vào đường lăn hoặc đường cất hạ cánh.</x:v>
      </x:c>
      <x:c r="O268" s="14" t="str">
        <x:v>Thông báo ban đầu ngay khi có thể; gửi MOR đến Cục HKVN trong vòng 24 giờ; điều tra/xác minh nội bộ, phân loại, xác định nguyên nhân và biện pháp khắc phục/phòng ngừa theo Điều 19, 21.</x:v>
      </x:c>
      <x:c r="P268" s="14" t="str"/>
      <x:c r="Q268" s="14" t="str"/>
      <x:c r="R268" s="14" t="str"/>
      <x:c r="S268" s="14" t="str">
        <x:v>Ban An toàn - Chất lượng</x:v>
      </x:c>
      <x:c r="T268" s="14" t="str">
        <x:v>Các Công ty Quản lý bay khu vực Bắc/Trung/Nam; Ban An toàn - Chất lượng</x:v>
      </x:c>
      <x:c r="U268" s="14" t="str"/>
      <x:c r="V268" s="14" t="str">
        <x:v>24 giờ</x:v>
      </x:c>
      <x:c r="W268" s="14" t="str">
        <x:v>P2</x:v>
      </x:c>
      <x:c r="X268" s="14" t="str"/>
      <x:c r="Y268" s="14" t="str">
        <x:v>Chưa bắt đầu</x:v>
      </x:c>
      <x:c r="Z268" s="14" t="str"/>
      <x:c r="AA268" s="14" t="str">
        <x:v>https://datafiles.chinhphu.vn/cpp/files/vbpq/2026/5/18-bxd.pdf</x:v>
      </x:c>
      <x:c r="AB268" s="14" t="str">
        <x:v>sms; an toan; mor</x:v>
      </x:c>
    </x:row>
    <x:row r="269">
      <x:c r="A269" s="14" t="str">
        <x:v>VATM-0268</x:v>
      </x:c>
      <x:c r="B269" s="14" t="str">
        <x:v>I.1.3.3</x:v>
      </x:c>
      <x:c r="C269" s="14" t="str">
        <x:v>Thông tư 18/2026/TT-BXD - Chương trình an toàn HKDD</x:v>
      </x:c>
      <x:c r="D269" s="14" t="str">
        <x:v>Tong_hop_nhiem_vu_TT18_2026_TT_BXD_VATM_ANSP.xlsx</x:v>
      </x:c>
      <x:c r="E269" s="14" t="str">
        <x:v>05_MOR_PL_III</x:v>
      </x:c>
      <x:c r="F269" s="56" t="n">
        <x:v>8</x:v>
      </x:c>
      <x:c r="G269" s="14" t="str">
        <x:v>Phụ lục III Phần I Chương I Mục 1 Điều 3</x:v>
      </x:c>
      <x:c r="H269" s="14" t="str">
        <x:v>An toàn hàng không / SMS</x:v>
      </x:c>
      <x:c r="I269" s="14" t="str">
        <x:v>Báo cáo MOR, sự cố và điều tra</x:v>
      </x:c>
      <x:c r="J269" s="14" t="str">
        <x:v>Người khai thác tàu bay</x:v>
      </x:c>
      <x:c r="K269" s="14" t="str">
        <x:v>Phối hợp/Gián tiếp</x:v>
      </x:c>
      <x:c r="L269" s="14" t="str">
        <x:v>Báo cáo/điều tra/khắc phục</x:v>
      </x:c>
      <x:c r="M269" s="14" t="str"/>
      <x:c r="N269" s="14" t="str">
        <x:v>Tàu bay xâm nhập trái phép vào khu vực tiếp cận cuối và cất cánh đối với trực thăng.</x:v>
      </x:c>
      <x:c r="O269" s="14" t="str">
        <x:v>Thông báo ban đầu ngay khi có thể; gửi MOR đến Cục HKVN trong vòng 24 giờ; điều tra/xác minh nội bộ, phân loại, xác định nguyên nhân và biện pháp khắc phục/phòng ngừa theo Điều 19, 21.</x:v>
      </x:c>
      <x:c r="P269" s="14" t="str"/>
      <x:c r="Q269" s="14" t="str"/>
      <x:c r="R269" s="14" t="str"/>
      <x:c r="S269" s="14" t="str">
        <x:v>Ban An toàn - Chất lượng</x:v>
      </x:c>
      <x:c r="T269" s="14" t="str">
        <x:v>Các Công ty Quản lý bay khu vực Bắc/Trung/Nam; Ban An toàn - Chất lượng</x:v>
      </x:c>
      <x:c r="U269" s="14" t="str"/>
      <x:c r="V269" s="14" t="str">
        <x:v>24 giờ</x:v>
      </x:c>
      <x:c r="W269" s="14" t="str">
        <x:v>P2</x:v>
      </x:c>
      <x:c r="X269" s="14" t="str"/>
      <x:c r="Y269" s="14" t="str">
        <x:v>Chưa bắt đầu</x:v>
      </x:c>
      <x:c r="Z269" s="14" t="str"/>
      <x:c r="AA269" s="14" t="str">
        <x:v>https://datafiles.chinhphu.vn/cpp/files/vbpq/2026/5/18-bxd.pdf</x:v>
      </x:c>
      <x:c r="AB269" s="14" t="str">
        <x:v>sms; an toan; mor</x:v>
      </x:c>
    </x:row>
    <x:row r="270">
      <x:c r="A270" s="14" t="str">
        <x:v>VATM-0269</x:v>
      </x:c>
      <x:c r="B270" s="14" t="str">
        <x:v>I.1.3.4</x:v>
      </x:c>
      <x:c r="C270" s="14" t="str">
        <x:v>Thông tư 18/2026/TT-BXD - Chương trình an toàn HKDD</x:v>
      </x:c>
      <x:c r="D270" s="14" t="str">
        <x:v>Tong_hop_nhiem_vu_TT18_2026_TT_BXD_VATM_ANSP.xlsx</x:v>
      </x:c>
      <x:c r="E270" s="14" t="str">
        <x:v>05_MOR_PL_III</x:v>
      </x:c>
      <x:c r="F270" s="56" t="n">
        <x:v>9</x:v>
      </x:c>
      <x:c r="G270" s="14" t="str">
        <x:v>Phụ lục III Phần I Chương I Mục 1 Điều 3</x:v>
      </x:c>
      <x:c r="H270" s="14" t="str">
        <x:v>An toàn hàng không / SMS</x:v>
      </x:c>
      <x:c r="I270" s="14" t="str">
        <x:v>Báo cáo MOR, sự cố và điều tra</x:v>
      </x:c>
      <x:c r="J270" s="14" t="str">
        <x:v>Người khai thác tàu bay</x:v>
      </x:c>
      <x:c r="K270" s="14" t="str">
        <x:v>Phối hợp/Gián tiếp</x:v>
      </x:c>
      <x:c r="L270" s="14" t="str">
        <x:v>Báo cáo/điều tra/khắc phục</x:v>
      </x:c>
      <x:c r="M270" s="14" t="str"/>
      <x:c r="N270" s="14" t="str">
        <x:v>Tàu bay hủy cất cánh.</x:v>
      </x:c>
      <x:c r="O270" s="14" t="str">
        <x:v>Thông báo ban đầu ngay khi có thể; gửi MOR đến Cục HKVN trong vòng 24 giờ; điều tra/xác minh nội bộ, phân loại, xác định nguyên nhân và biện pháp khắc phục/phòng ngừa theo Điều 19, 21.</x:v>
      </x:c>
      <x:c r="P270" s="14" t="str"/>
      <x:c r="Q270" s="14" t="str"/>
      <x:c r="R270" s="14" t="str"/>
      <x:c r="S270" s="14" t="str">
        <x:v>Ban An toàn - Chất lượng</x:v>
      </x:c>
      <x:c r="T270" s="14" t="str">
        <x:v>Các Công ty Quản lý bay khu vực Bắc/Trung/Nam; Ban An toàn - Chất lượng</x:v>
      </x:c>
      <x:c r="U270" s="14" t="str"/>
      <x:c r="V270" s="14" t="str">
        <x:v>24 giờ</x:v>
      </x:c>
      <x:c r="W270" s="14" t="str">
        <x:v>P2</x:v>
      </x:c>
      <x:c r="X270" s="14" t="str"/>
      <x:c r="Y270" s="14" t="str">
        <x:v>Chưa bắt đầu</x:v>
      </x:c>
      <x:c r="Z270" s="14" t="str"/>
      <x:c r="AA270" s="14" t="str">
        <x:v>https://datafiles.chinhphu.vn/cpp/files/vbpq/2026/5/18-bxd.pdf</x:v>
      </x:c>
      <x:c r="AB270" s="14" t="str">
        <x:v>sms; an toan; mor</x:v>
      </x:c>
    </x:row>
    <x:row r="271">
      <x:c r="A271" s="14" t="str">
        <x:v>VATM-0270</x:v>
      </x:c>
      <x:c r="B271" s="14" t="str">
        <x:v>I.1.3.5</x:v>
      </x:c>
      <x:c r="C271" s="14" t="str">
        <x:v>Thông tư 18/2026/TT-BXD - Chương trình an toàn HKDD</x:v>
      </x:c>
      <x:c r="D271" s="14" t="str">
        <x:v>Tong_hop_nhiem_vu_TT18_2026_TT_BXD_VATM_ANSP.xlsx</x:v>
      </x:c>
      <x:c r="E271" s="14" t="str">
        <x:v>05_MOR_PL_III</x:v>
      </x:c>
      <x:c r="F271" s="56" t="n">
        <x:v>10</x:v>
      </x:c>
      <x:c r="G271" s="14" t="str">
        <x:v>Phụ lục III Phần I Chương I Mục 1 Điều 3</x:v>
      </x:c>
      <x:c r="H271" s="14" t="str">
        <x:v>An toàn hàng không / SMS</x:v>
      </x:c>
      <x:c r="I271" s="14" t="str">
        <x:v>Báo cáo MOR, sự cố và điều tra</x:v>
      </x:c>
      <x:c r="J271" s="14" t="str">
        <x:v>Người khai thác tàu bay</x:v>
      </x:c>
      <x:c r="K271" s="14" t="str">
        <x:v>Phối hợp/Gián tiếp</x:v>
      </x:c>
      <x:c r="L271" s="14" t="str">
        <x:v>Báo cáo/điều tra/khắc phục</x:v>
      </x:c>
      <x:c r="M271" s="14" t="str"/>
      <x:c r="N271" s="14" t="str">
        <x:v>Tàu bay không đạt tính năng khai thác yêu cầu hoặc dự kiến trong khi cất cánh, bay lại hoặc tiếp cận, hạ cánh.</x:v>
      </x:c>
      <x:c r="O271" s="14" t="str">
        <x:v>Thông báo ban đầu ngay khi có thể; gửi MOR đến Cục HKVN trong vòng 24 giờ; điều tra/xác minh nội bộ, phân loại, xác định nguyên nhân và biện pháp khắc phục/phòng ngừa theo Điều 19, 21.</x:v>
      </x:c>
      <x:c r="P271" s="14" t="str"/>
      <x:c r="Q271" s="14" t="str"/>
      <x:c r="R271" s="14" t="str"/>
      <x:c r="S271" s="14" t="str">
        <x:v>Ban An toàn - Chất lượng</x:v>
      </x:c>
      <x:c r="T271" s="14" t="str">
        <x:v>Các Công ty Quản lý bay khu vực Bắc/Trung/Nam; Ban An toàn - Chất lượng</x:v>
      </x:c>
      <x:c r="U271" s="14" t="str"/>
      <x:c r="V271" s="14" t="str">
        <x:v>24 giờ</x:v>
      </x:c>
      <x:c r="W271" s="14" t="str">
        <x:v>P2</x:v>
      </x:c>
      <x:c r="X271" s="14" t="str"/>
      <x:c r="Y271" s="14" t="str">
        <x:v>Chưa bắt đầu</x:v>
      </x:c>
      <x:c r="Z271" s="14" t="str"/>
      <x:c r="AA271" s="14" t="str">
        <x:v>https://datafiles.chinhphu.vn/cpp/files/vbpq/2026/5/18-bxd.pdf</x:v>
      </x:c>
      <x:c r="AB271" s="14" t="str">
        <x:v>sms; an toan; mor</x:v>
      </x:c>
    </x:row>
    <x:row r="272">
      <x:c r="A272" s="14" t="str">
        <x:v>VATM-0271</x:v>
      </x:c>
      <x:c r="B272" s="14" t="str">
        <x:v>I.1.3.7</x:v>
      </x:c>
      <x:c r="C272" s="14" t="str">
        <x:v>Thông tư 18/2026/TT-BXD - Chương trình an toàn HKDD</x:v>
      </x:c>
      <x:c r="D272" s="14" t="str">
        <x:v>Tong_hop_nhiem_vu_TT18_2026_TT_BXD_VATM_ANSP.xlsx</x:v>
      </x:c>
      <x:c r="E272" s="14" t="str">
        <x:v>05_MOR_PL_III</x:v>
      </x:c>
      <x:c r="F272" s="56" t="n">
        <x:v>12</x:v>
      </x:c>
      <x:c r="G272" s="14" t="str">
        <x:v>Phụ lục III Phần I Chương I Mục 1 Điều 3</x:v>
      </x:c>
      <x:c r="H272" s="14" t="str">
        <x:v>An toàn hàng không / SMS</x:v>
      </x:c>
      <x:c r="I272" s="14" t="str">
        <x:v>Báo cáo MOR, sự cố và điều tra</x:v>
      </x:c>
      <x:c r="J272" s="14" t="str">
        <x:v>Người khai thác tàu bay</x:v>
      </x:c>
      <x:c r="K272" s="14" t="str">
        <x:v>Phối hợp/Gián tiếp</x:v>
      </x:c>
      <x:c r="L272" s="14" t="str">
        <x:v>Báo cáo/điều tra/khắc phục</x:v>
      </x:c>
      <x:c r="M272" s="14" t="str"/>
      <x:c r="N272" s="14" t="str">
        <x:v>Va quệt đuôi, đầu mép cánh, cánh quạt hoặc vỏ động cơ với bề mặt cất hạ cánh khi cất cánh hoặc hạ cánh.</x:v>
      </x:c>
      <x:c r="O272" s="14" t="str">
        <x:v>Thông báo ban đầu ngay khi có thể; gửi MOR đến Cục HKVN trong vòng 24 giờ; điều tra/xác minh nội bộ, phân loại, xác định nguyên nhân và biện pháp khắc phục/phòng ngừa theo Điều 19, 21.</x:v>
      </x:c>
      <x:c r="P272" s="14" t="str"/>
      <x:c r="Q272" s="14" t="str"/>
      <x:c r="R272" s="14" t="str"/>
      <x:c r="S272" s="14" t="str">
        <x:v>Ban An toàn - Chất lượng</x:v>
      </x:c>
      <x:c r="T272" s="14" t="str">
        <x:v>Các Công ty Quản lý bay khu vực Bắc/Trung/Nam; Ban An toàn - Chất lượng</x:v>
      </x:c>
      <x:c r="U272" s="14" t="str"/>
      <x:c r="V272" s="14" t="str">
        <x:v>24 giờ</x:v>
      </x:c>
      <x:c r="W272" s="14" t="str">
        <x:v>P2</x:v>
      </x:c>
      <x:c r="X272" s="14" t="str"/>
      <x:c r="Y272" s="14" t="str">
        <x:v>Chưa bắt đầu</x:v>
      </x:c>
      <x:c r="Z272" s="14" t="str"/>
      <x:c r="AA272" s="14" t="str">
        <x:v>https://datafiles.chinhphu.vn/cpp/files/vbpq/2026/5/18-bxd.pdf</x:v>
      </x:c>
      <x:c r="AB272" s="14" t="str">
        <x:v>sms; an toan; mor</x:v>
      </x:c>
    </x:row>
    <x:row r="273">
      <x:c r="A273" s="14" t="str">
        <x:v>VATM-0272</x:v>
      </x:c>
      <x:c r="B273" s="14" t="str">
        <x:v>I.1.3.8</x:v>
      </x:c>
      <x:c r="C273" s="14" t="str">
        <x:v>Thông tư 18/2026/TT-BXD - Chương trình an toàn HKDD</x:v>
      </x:c>
      <x:c r="D273" s="14" t="str">
        <x:v>Tong_hop_nhiem_vu_TT18_2026_TT_BXD_VATM_ANSP.xlsx</x:v>
      </x:c>
      <x:c r="E273" s="14" t="str">
        <x:v>05_MOR_PL_III</x:v>
      </x:c>
      <x:c r="F273" s="56" t="n">
        <x:v>13</x:v>
      </x:c>
      <x:c r="G273" s="14" t="str">
        <x:v>Phụ lục III Phần I Chương I Mục 1 Điều 3</x:v>
      </x:c>
      <x:c r="H273" s="14" t="str">
        <x:v>An toàn hàng không / SMS</x:v>
      </x:c>
      <x:c r="I273" s="14" t="str">
        <x:v>Báo cáo MOR, sự cố và điều tra</x:v>
      </x:c>
      <x:c r="J273" s="14" t="str">
        <x:v>Người khai thác tàu bay</x:v>
      </x:c>
      <x:c r="K273" s="14" t="str">
        <x:v>Phối hợp/Gián tiếp</x:v>
      </x:c>
      <x:c r="L273" s="14" t="str">
        <x:v>Báo cáo/điều tra/khắc phục</x:v>
      </x:c>
      <x:c r="M273" s="14" t="str"/>
      <x:c r="N273" s="14" t="str">
        <x:v>Tiếp tục tiếp cận, hạ cánh khi không bảo đảm tiếp cận ổn định.</x:v>
      </x:c>
      <x:c r="O273" s="14" t="str">
        <x:v>Thông báo ban đầu ngay khi có thể; gửi MOR đến Cục HKVN trong vòng 24 giờ; điều tra/xác minh nội bộ, phân loại, xác định nguyên nhân và biện pháp khắc phục/phòng ngừa theo Điều 19, 21.</x:v>
      </x:c>
      <x:c r="P273" s="14" t="str"/>
      <x:c r="Q273" s="14" t="str"/>
      <x:c r="R273" s="14" t="str"/>
      <x:c r="S273" s="14" t="str">
        <x:v>Ban An toàn - Chất lượng</x:v>
      </x:c>
      <x:c r="T273" s="14" t="str">
        <x:v>Các Công ty Quản lý bay khu vực Bắc/Trung/Nam; Ban An toàn - Chất lượng</x:v>
      </x:c>
      <x:c r="U273" s="14" t="str"/>
      <x:c r="V273" s="14" t="str">
        <x:v>24 giờ</x:v>
      </x:c>
      <x:c r="W273" s="14" t="str">
        <x:v>P2</x:v>
      </x:c>
      <x:c r="X273" s="14" t="str"/>
      <x:c r="Y273" s="14" t="str">
        <x:v>Chưa bắt đầu</x:v>
      </x:c>
      <x:c r="Z273" s="14" t="str"/>
      <x:c r="AA273" s="14" t="str">
        <x:v>https://datafiles.chinhphu.vn/cpp/files/vbpq/2026/5/18-bxd.pdf</x:v>
      </x:c>
      <x:c r="AB273" s="14" t="str">
        <x:v>sms; an toan; mor</x:v>
      </x:c>
    </x:row>
    <x:row r="274">
      <x:c r="A274" s="14" t="str">
        <x:v>VATM-0273</x:v>
      </x:c>
      <x:c r="B274" s="14" t="str">
        <x:v>I.1.3.9</x:v>
      </x:c>
      <x:c r="C274" s="14" t="str">
        <x:v>Thông tư 18/2026/TT-BXD - Chương trình an toàn HKDD</x:v>
      </x:c>
      <x:c r="D274" s="14" t="str">
        <x:v>Tong_hop_nhiem_vu_TT18_2026_TT_BXD_VATM_ANSP.xlsx</x:v>
      </x:c>
      <x:c r="E274" s="14" t="str">
        <x:v>05_MOR_PL_III</x:v>
      </x:c>
      <x:c r="F274" s="56" t="n">
        <x:v>14</x:v>
      </x:c>
      <x:c r="G274" s="14" t="str">
        <x:v>Phụ lục III Phần I Chương I Mục 1 Điều 3</x:v>
      </x:c>
      <x:c r="H274" s="14" t="str">
        <x:v>An toàn hàng không / SMS</x:v>
      </x:c>
      <x:c r="I274" s="14" t="str">
        <x:v>Báo cáo MOR, sự cố và điều tra</x:v>
      </x:c>
      <x:c r="J274" s="14" t="str">
        <x:v>Người khai thác tàu bay</x:v>
      </x:c>
      <x:c r="K274" s="14" t="str">
        <x:v>Phối hợp/Gián tiếp</x:v>
      </x:c>
      <x:c r="L274" s="14" t="str">
        <x:v>Báo cáo/điều tra/khắc phục</x:v>
      </x:c>
      <x:c r="M274" s="14" t="str"/>
      <x:c r="N274" s="14" t="str">
        <x:v>Tiếp tục tiếp cận bằng thiết bị xuống dưới mức tối thiểu được công bố khi không có đủ tham chiếu bằng mắt.</x:v>
      </x:c>
      <x:c r="O274" s="14" t="str">
        <x:v>Thông báo ban đầu ngay khi có thể; gửi MOR đến Cục HKVN trong vòng 24 giờ; điều tra/xác minh nội bộ, phân loại, xác định nguyên nhân và biện pháp khắc phục/phòng ngừa theo Điều 19, 21.</x:v>
      </x:c>
      <x:c r="P274" s="14" t="str"/>
      <x:c r="Q274" s="14" t="str"/>
      <x:c r="R274" s="14" t="str"/>
      <x:c r="S274" s="14" t="str">
        <x:v>Ban An toàn - Chất lượng</x:v>
      </x:c>
      <x:c r="T274" s="14" t="str">
        <x:v>Các Công ty Quản lý bay khu vực Bắc/Trung/Nam; Ban An toàn - Chất lượng</x:v>
      </x:c>
      <x:c r="U274" s="14" t="str"/>
      <x:c r="V274" s="14" t="str">
        <x:v>24 giờ</x:v>
      </x:c>
      <x:c r="W274" s="14" t="str">
        <x:v>P2</x:v>
      </x:c>
      <x:c r="X274" s="14" t="str"/>
      <x:c r="Y274" s="14" t="str">
        <x:v>Chưa bắt đầu</x:v>
      </x:c>
      <x:c r="Z274" s="14" t="str"/>
      <x:c r="AA274" s="14" t="str">
        <x:v>https://datafiles.chinhphu.vn/cpp/files/vbpq/2026/5/18-bxd.pdf</x:v>
      </x:c>
      <x:c r="AB274" s="14" t="str">
        <x:v>sms; an toan; mor</x:v>
      </x:c>
    </x:row>
    <x:row r="275">
      <x:c r="A275" s="14" t="str">
        <x:v>VATM-0274</x:v>
      </x:c>
      <x:c r="B275" s="14" t="str">
        <x:v>I.1.3.10</x:v>
      </x:c>
      <x:c r="C275" s="14" t="str">
        <x:v>Thông tư 18/2026/TT-BXD - Chương trình an toàn HKDD</x:v>
      </x:c>
      <x:c r="D275" s="14" t="str">
        <x:v>Tong_hop_nhiem_vu_TT18_2026_TT_BXD_VATM_ANSP.xlsx</x:v>
      </x:c>
      <x:c r="E275" s="14" t="str">
        <x:v>05_MOR_PL_III</x:v>
      </x:c>
      <x:c r="F275" s="56" t="n">
        <x:v>15</x:v>
      </x:c>
      <x:c r="G275" s="14" t="str">
        <x:v>Phụ lục III Phần I Chương I Mục 1 Điều 3</x:v>
      </x:c>
      <x:c r="H275" s="14" t="str">
        <x:v>An toàn hàng không / SMS</x:v>
      </x:c>
      <x:c r="I275" s="14" t="str">
        <x:v>Báo cáo MOR, sự cố và điều tra</x:v>
      </x:c>
      <x:c r="J275" s="14" t="str">
        <x:v>Người khai thác tàu bay</x:v>
      </x:c>
      <x:c r="K275" s="14" t="str">
        <x:v>Phối hợp/Gián tiếp</x:v>
      </x:c>
      <x:c r="L275" s="14" t="str">
        <x:v>Báo cáo/điều tra/khắc phục</x:v>
      </x:c>
      <x:c r="M275" s="14" t="str"/>
      <x:c r="N275" s="14" t="str">
        <x:v>Phải tiến hành hạ cánh bắt buộc.</x:v>
      </x:c>
      <x:c r="O275" s="14" t="str">
        <x:v>Thông báo ban đầu ngay khi có thể; gửi MOR đến Cục HKVN trong vòng 24 giờ; điều tra/xác minh nội bộ, phân loại, xác định nguyên nhân và biện pháp khắc phục/phòng ngừa theo Điều 19, 21.</x:v>
      </x:c>
      <x:c r="P275" s="14" t="str"/>
      <x:c r="Q275" s="14" t="str"/>
      <x:c r="R275" s="14" t="str"/>
      <x:c r="S275" s="14" t="str">
        <x:v>Ban An toàn - Chất lượng</x:v>
      </x:c>
      <x:c r="T275" s="14" t="str">
        <x:v>Các Công ty Quản lý bay khu vực Bắc/Trung/Nam; Ban An toàn - Chất lượng</x:v>
      </x:c>
      <x:c r="U275" s="14" t="str"/>
      <x:c r="V275" s="14" t="str">
        <x:v>24 giờ</x:v>
      </x:c>
      <x:c r="W275" s="14" t="str">
        <x:v>P2</x:v>
      </x:c>
      <x:c r="X275" s="14" t="str"/>
      <x:c r="Y275" s="14" t="str">
        <x:v>Chưa bắt đầu</x:v>
      </x:c>
      <x:c r="Z275" s="14" t="str"/>
      <x:c r="AA275" s="14" t="str">
        <x:v>https://datafiles.chinhphu.vn/cpp/files/vbpq/2026/5/18-bxd.pdf</x:v>
      </x:c>
      <x:c r="AB275" s="14" t="str">
        <x:v>sms; an toan; mor</x:v>
      </x:c>
    </x:row>
    <x:row r="276">
      <x:c r="A276" s="14" t="str">
        <x:v>VATM-0275</x:v>
      </x:c>
      <x:c r="B276" s="14" t="str">
        <x:v>I.1.3.11</x:v>
      </x:c>
      <x:c r="C276" s="14" t="str">
        <x:v>Thông tư 18/2026/TT-BXD - Chương trình an toàn HKDD</x:v>
      </x:c>
      <x:c r="D276" s="14" t="str">
        <x:v>Tong_hop_nhiem_vu_TT18_2026_TT_BXD_VATM_ANSP.xlsx</x:v>
      </x:c>
      <x:c r="E276" s="14" t="str">
        <x:v>05_MOR_PL_III</x:v>
      </x:c>
      <x:c r="F276" s="56" t="n">
        <x:v>16</x:v>
      </x:c>
      <x:c r="G276" s="14" t="str">
        <x:v>Phụ lục III Phần I Chương I Mục 1 Điều 3</x:v>
      </x:c>
      <x:c r="H276" s="14" t="str">
        <x:v>An toàn hàng không / SMS</x:v>
      </x:c>
      <x:c r="I276" s="14" t="str">
        <x:v>Báo cáo MOR, sự cố và điều tra</x:v>
      </x:c>
      <x:c r="J276" s="14" t="str">
        <x:v>Người khai thác tàu bay</x:v>
      </x:c>
      <x:c r="K276" s="14" t="str">
        <x:v>Phối hợp/Gián tiếp</x:v>
      </x:c>
      <x:c r="L276" s="14" t="str">
        <x:v>Báo cáo/điều tra/khắc phục</x:v>
      </x:c>
      <x:c r="M276" s="14" t="str"/>
      <x:c r="N276" s="14" t="str">
        <x:v>Hạ cánh không đúng khu vực chạm bánh.</x:v>
      </x:c>
      <x:c r="O276" s="14" t="str">
        <x:v>Thông báo ban đầu ngay khi có thể; gửi MOR đến Cục HKVN trong vòng 24 giờ; điều tra/xác minh nội bộ, phân loại, xác định nguyên nhân và biện pháp khắc phục/phòng ngừa theo Điều 19, 21.</x:v>
      </x:c>
      <x:c r="P276" s="14" t="str"/>
      <x:c r="Q276" s="14" t="str"/>
      <x:c r="R276" s="14" t="str"/>
      <x:c r="S276" s="14" t="str">
        <x:v>Ban An toàn - Chất lượng</x:v>
      </x:c>
      <x:c r="T276" s="14" t="str">
        <x:v>Các Công ty Quản lý bay khu vực Bắc/Trung/Nam; Ban An toàn - Chất lượng</x:v>
      </x:c>
      <x:c r="U276" s="14" t="str"/>
      <x:c r="V276" s="14" t="str">
        <x:v>24 giờ</x:v>
      </x:c>
      <x:c r="W276" s="14" t="str">
        <x:v>P2</x:v>
      </x:c>
      <x:c r="X276" s="14" t="str"/>
      <x:c r="Y276" s="14" t="str">
        <x:v>Chưa bắt đầu</x:v>
      </x:c>
      <x:c r="Z276" s="14" t="str"/>
      <x:c r="AA276" s="14" t="str">
        <x:v>https://datafiles.chinhphu.vn/cpp/files/vbpq/2026/5/18-bxd.pdf</x:v>
      </x:c>
      <x:c r="AB276" s="14" t="str">
        <x:v>sms; an toan; mor</x:v>
      </x:c>
    </x:row>
    <x:row r="277">
      <x:c r="A277" s="14" t="str">
        <x:v>VATM-0276</x:v>
      </x:c>
      <x:c r="B277" s="14" t="str">
        <x:v>I.1.4.1</x:v>
      </x:c>
      <x:c r="C277" s="14" t="str">
        <x:v>Thông tư 18/2026/TT-BXD - Chương trình an toàn HKDD</x:v>
      </x:c>
      <x:c r="D277" s="14" t="str">
        <x:v>Tong_hop_nhiem_vu_TT18_2026_TT_BXD_VATM_ANSP.xlsx</x:v>
      </x:c>
      <x:c r="E277" s="14" t="str">
        <x:v>05_MOR_PL_III</x:v>
      </x:c>
      <x:c r="F277" s="56" t="n">
        <x:v>18</x:v>
      </x:c>
      <x:c r="G277" s="14" t="str">
        <x:v>Phụ lục III Phần I Chương I Mục 1 Điều 4</x:v>
      </x:c>
      <x:c r="H277" s="14" t="str">
        <x:v>An toàn hàng không / SMS</x:v>
      </x:c>
      <x:c r="I277" s="14" t="str">
        <x:v>Báo cáo MOR, sự cố và điều tra</x:v>
      </x:c>
      <x:c r="J277" s="14" t="str">
        <x:v>Người khai thác tàu bay</x:v>
      </x:c>
      <x:c r="K277" s="14" t="str">
        <x:v>Phối hợp/Gián tiếp</x:v>
      </x:c>
      <x:c r="L277" s="14" t="str">
        <x:v>Báo cáo/điều tra/khắc phục</x:v>
      </x:c>
      <x:c r="M277" s="14" t="str"/>
      <x:c r="N277" s="14" t="str">
        <x:v>Mất khả năng điều khiển tàu bay do hư hỏng hệ thống điều khiển hoặc do người lái tàu bay mất khả năng điều khiển tàu bay.</x:v>
      </x:c>
      <x:c r="O277" s="14" t="str">
        <x:v>Thông báo ban đầu ngay khi có thể; gửi MOR đến Cục HKVN trong vòng 24 giờ; điều tra/xác minh nội bộ, phân loại, xác định nguyên nhân và biện pháp khắc phục/phòng ngừa theo Điều 19, 21.</x:v>
      </x:c>
      <x:c r="P277" s="14" t="str"/>
      <x:c r="Q277" s="14" t="str"/>
      <x:c r="R277" s="14" t="str"/>
      <x:c r="S277" s="14" t="str">
        <x:v>Ban An toàn - Chất lượng</x:v>
      </x:c>
      <x:c r="T277" s="14" t="str">
        <x:v>Các Công ty Quản lý bay khu vực Bắc/Trung/Nam; Ban An toàn - Chất lượng</x:v>
      </x:c>
      <x:c r="U277" s="14" t="str"/>
      <x:c r="V277" s="14" t="str">
        <x:v>24 giờ</x:v>
      </x:c>
      <x:c r="W277" s="14" t="str">
        <x:v>P2</x:v>
      </x:c>
      <x:c r="X277" s="14" t="str"/>
      <x:c r="Y277" s="14" t="str">
        <x:v>Chưa bắt đầu</x:v>
      </x:c>
      <x:c r="Z277" s="14" t="str"/>
      <x:c r="AA277" s="14" t="str">
        <x:v>https://datafiles.chinhphu.vn/cpp/files/vbpq/2026/5/18-bxd.pdf</x:v>
      </x:c>
      <x:c r="AB277" s="14" t="str">
        <x:v>sms; an toan; mor</x:v>
      </x:c>
    </x:row>
    <x:row r="278">
      <x:c r="A278" s="14" t="str">
        <x:v>VATM-0277</x:v>
      </x:c>
      <x:c r="B278" s="14" t="str">
        <x:v>I.1.4.3</x:v>
      </x:c>
      <x:c r="C278" s="14" t="str">
        <x:v>Thông tư 18/2026/TT-BXD - Chương trình an toàn HKDD</x:v>
      </x:c>
      <x:c r="D278" s="14" t="str">
        <x:v>Tong_hop_nhiem_vu_TT18_2026_TT_BXD_VATM_ANSP.xlsx</x:v>
      </x:c>
      <x:c r="E278" s="14" t="str">
        <x:v>05_MOR_PL_III</x:v>
      </x:c>
      <x:c r="F278" s="56" t="n">
        <x:v>20</x:v>
      </x:c>
      <x:c r="G278" s="14" t="str">
        <x:v>Phụ lục III Phần I Chương I Mục 1 Điều 4</x:v>
      </x:c>
      <x:c r="H278" s="14" t="str">
        <x:v>An toàn hàng không / SMS</x:v>
      </x:c>
      <x:c r="I278" s="14" t="str">
        <x:v>Báo cáo MOR, sự cố và điều tra</x:v>
      </x:c>
      <x:c r="J278" s="14" t="str">
        <x:v>Người khai thác tàu bay</x:v>
      </x:c>
      <x:c r="K278" s="14" t="str">
        <x:v>Phối hợp/Gián tiếp</x:v>
      </x:c>
      <x:c r="L278" s="14" t="str">
        <x:v>Báo cáo/điều tra/khắc phục</x:v>
      </x:c>
      <x:c r="M278" s="14" t="str"/>
      <x:c r="N278" s="14" t="str">
        <x:v>Sai lệch mực bay, độ cao được phép.</x:v>
      </x:c>
      <x:c r="O278" s="14" t="str">
        <x:v>Thông báo ban đầu ngay khi có thể; gửi MOR đến Cục HKVN trong vòng 24 giờ; điều tra/xác minh nội bộ, phân loại, xác định nguyên nhân và biện pháp khắc phục/phòng ngừa theo Điều 19, 21.</x:v>
      </x:c>
      <x:c r="P278" s="14" t="str"/>
      <x:c r="Q278" s="14" t="str"/>
      <x:c r="R278" s="14" t="str"/>
      <x:c r="S278" s="14" t="str">
        <x:v>Ban An toàn - Chất lượng</x:v>
      </x:c>
      <x:c r="T278" s="14" t="str">
        <x:v>Các Công ty Quản lý bay khu vực Bắc/Trung/Nam; Ban An toàn - Chất lượng</x:v>
      </x:c>
      <x:c r="U278" s="14" t="str"/>
      <x:c r="V278" s="14" t="str">
        <x:v>24 giờ</x:v>
      </x:c>
      <x:c r="W278" s="14" t="str">
        <x:v>P2</x:v>
      </x:c>
      <x:c r="X278" s="14" t="str"/>
      <x:c r="Y278" s="14" t="str">
        <x:v>Chưa bắt đầu</x:v>
      </x:c>
      <x:c r="Z278" s="14" t="str"/>
      <x:c r="AA278" s="14" t="str">
        <x:v>https://datafiles.chinhphu.vn/cpp/files/vbpq/2026/5/18-bxd.pdf</x:v>
      </x:c>
      <x:c r="AB278" s="14" t="str">
        <x:v>sms; an toan; mor</x:v>
      </x:c>
    </x:row>
    <x:row r="279">
      <x:c r="A279" s="14" t="str">
        <x:v>VATM-0278</x:v>
      </x:c>
      <x:c r="B279" s="14" t="str">
        <x:v>I.1.4.4</x:v>
      </x:c>
      <x:c r="C279" s="14" t="str">
        <x:v>Thông tư 18/2026/TT-BXD - Chương trình an toàn HKDD</x:v>
      </x:c>
      <x:c r="D279" s="14" t="str">
        <x:v>Tong_hop_nhiem_vu_TT18_2026_TT_BXD_VATM_ANSP.xlsx</x:v>
      </x:c>
      <x:c r="E279" s="14" t="str">
        <x:v>05_MOR_PL_III</x:v>
      </x:c>
      <x:c r="F279" s="56" t="n">
        <x:v>21</x:v>
      </x:c>
      <x:c r="G279" s="14" t="str">
        <x:v>Phụ lục III Phần I Chương I Mục 1 Điều 4</x:v>
      </x:c>
      <x:c r="H279" s="14" t="str">
        <x:v>An toàn hàng không / SMS</x:v>
      </x:c>
      <x:c r="I279" s="14" t="str">
        <x:v>Báo cáo MOR, sự cố và điều tra</x:v>
      </x:c>
      <x:c r="J279" s="14" t="str">
        <x:v>Người khai thác tàu bay</x:v>
      </x:c>
      <x:c r="K279" s="14" t="str">
        <x:v>Phối hợp/Gián tiếp</x:v>
      </x:c>
      <x:c r="L279" s="14" t="str">
        <x:v>Báo cáo/điều tra/khắc phục</x:v>
      </x:c>
      <x:c r="M279" s="14" t="str"/>
      <x:c r="N279" s="14" t="str">
        <x:v>Tàu bay kích hoạt chế độ bảo vệ gồm cảnh báo thất tốc và tự ngắt các chế độ bảo vệ tự động.</x:v>
      </x:c>
      <x:c r="O279" s="14" t="str">
        <x:v>Thông báo ban đầu ngay khi có thể; gửi MOR đến Cục HKVN trong vòng 24 giờ; điều tra/xác minh nội bộ, phân loại, xác định nguyên nhân và biện pháp khắc phục/phòng ngừa theo Điều 19, 21.</x:v>
      </x:c>
      <x:c r="P279" s="14" t="str"/>
      <x:c r="Q279" s="14" t="str"/>
      <x:c r="R279" s="14" t="str"/>
      <x:c r="S279" s="14" t="str">
        <x:v>Ban An toàn - Chất lượng</x:v>
      </x:c>
      <x:c r="T279" s="14" t="str">
        <x:v>Các Công ty Quản lý bay khu vực Bắc/Trung/Nam; Ban An toàn - Chất lượng</x:v>
      </x:c>
      <x:c r="U279" s="14" t="str"/>
      <x:c r="V279" s="14" t="str">
        <x:v>24 giờ</x:v>
      </x:c>
      <x:c r="W279" s="14" t="str">
        <x:v>P2</x:v>
      </x:c>
      <x:c r="X279" s="14" t="str"/>
      <x:c r="Y279" s="14" t="str">
        <x:v>Chưa bắt đầu</x:v>
      </x:c>
      <x:c r="Z279" s="14" t="str"/>
      <x:c r="AA279" s="14" t="str">
        <x:v>https://datafiles.chinhphu.vn/cpp/files/vbpq/2026/5/18-bxd.pdf</x:v>
      </x:c>
      <x:c r="AB279" s="14" t="str">
        <x:v>sms; an toan; mor</x:v>
      </x:c>
    </x:row>
    <x:row r="280">
      <x:c r="A280" s="14" t="str">
        <x:v>VATM-0279</x:v>
      </x:c>
      <x:c r="B280" s="14" t="str">
        <x:v>I.1.4.5</x:v>
      </x:c>
      <x:c r="C280" s="14" t="str">
        <x:v>Thông tư 18/2026/TT-BXD - Chương trình an toàn HKDD</x:v>
      </x:c>
      <x:c r="D280" s="14" t="str">
        <x:v>Tong_hop_nhiem_vu_TT18_2026_TT_BXD_VATM_ANSP.xlsx</x:v>
      </x:c>
      <x:c r="E280" s="14" t="str">
        <x:v>05_MOR_PL_III</x:v>
      </x:c>
      <x:c r="F280" s="56" t="n">
        <x:v>22</x:v>
      </x:c>
      <x:c r="G280" s="14" t="str">
        <x:v>Phụ lục III Phần I Chương I Mục 1 Điều 4</x:v>
      </x:c>
      <x:c r="H280" s="14" t="str">
        <x:v>An toàn hàng không / SMS</x:v>
      </x:c>
      <x:c r="I280" s="14" t="str">
        <x:v>Báo cáo MOR, sự cố và điều tra</x:v>
      </x:c>
      <x:c r="J280" s="14" t="str">
        <x:v>Người khai thác tàu bay</x:v>
      </x:c>
      <x:c r="K280" s="14" t="str">
        <x:v>Phối hợp/Gián tiếp</x:v>
      </x:c>
      <x:c r="L280" s="14" t="str">
        <x:v>Báo cáo/điều tra/khắc phục</x:v>
      </x:c>
      <x:c r="M280" s="14" t="str"/>
      <x:c r="N280" s="14" t="str">
        <x:v>Tàu bay bay sai lệch so với đường bay được phê duyệt theo kế hoạch bay hoặc theo chỉ định của cơ sở điều hành bay.</x:v>
      </x:c>
      <x:c r="O280" s="14" t="str">
        <x:v>Thông báo ban đầu ngay khi có thể; gửi MOR đến Cục HKVN trong vòng 24 giờ; điều tra/xác minh nội bộ, phân loại, xác định nguyên nhân và biện pháp khắc phục/phòng ngừa theo Điều 19, 21.</x:v>
      </x:c>
      <x:c r="P280" s="14" t="str"/>
      <x:c r="Q280" s="14" t="str"/>
      <x:c r="R280" s="14" t="str"/>
      <x:c r="S280" s="14" t="str">
        <x:v>Ban An toàn - Chất lượng</x:v>
      </x:c>
      <x:c r="T280" s="14" t="str">
        <x:v>Các Công ty Quản lý bay khu vực Bắc/Trung/Nam; Ban An toàn - Chất lượng</x:v>
      </x:c>
      <x:c r="U280" s="14" t="str"/>
      <x:c r="V280" s="14" t="str">
        <x:v>24 giờ</x:v>
      </x:c>
      <x:c r="W280" s="14" t="str">
        <x:v>P2</x:v>
      </x:c>
      <x:c r="X280" s="14" t="str"/>
      <x:c r="Y280" s="14" t="str">
        <x:v>Chưa bắt đầu</x:v>
      </x:c>
      <x:c r="Z280" s="14" t="str"/>
      <x:c r="AA280" s="14" t="str">
        <x:v>https://datafiles.chinhphu.vn/cpp/files/vbpq/2026/5/18-bxd.pdf</x:v>
      </x:c>
      <x:c r="AB280" s="14" t="str">
        <x:v>sms; an toan; mor</x:v>
      </x:c>
    </x:row>
    <x:row r="281">
      <x:c r="A281" s="14" t="str">
        <x:v>VATM-0280</x:v>
      </x:c>
      <x:c r="B281" s="14" t="str">
        <x:v>I.1.4.6</x:v>
      </x:c>
      <x:c r="C281" s="14" t="str">
        <x:v>Thông tư 18/2026/TT-BXD - Chương trình an toàn HKDD</x:v>
      </x:c>
      <x:c r="D281" s="14" t="str">
        <x:v>Tong_hop_nhiem_vu_TT18_2026_TT_BXD_VATM_ANSP.xlsx</x:v>
      </x:c>
      <x:c r="E281" s="14" t="str">
        <x:v>05_MOR_PL_III</x:v>
      </x:c>
      <x:c r="F281" s="56" t="n">
        <x:v>23</x:v>
      </x:c>
      <x:c r="G281" s="14" t="str">
        <x:v>Phụ lục III Phần I Chương I Mục 1 Điều 4</x:v>
      </x:c>
      <x:c r="H281" s="14" t="str">
        <x:v>An toàn hàng không / SMS</x:v>
      </x:c>
      <x:c r="I281" s="14" t="str">
        <x:v>Báo cáo MOR, sự cố và điều tra</x:v>
      </x:c>
      <x:c r="J281" s="14" t="str">
        <x:v>Người khai thác tàu bay</x:v>
      </x:c>
      <x:c r="K281" s="14" t="str">
        <x:v>Phối hợp/Gián tiếp</x:v>
      </x:c>
      <x:c r="L281" s="14" t="str">
        <x:v>Báo cáo/điều tra/khắc phục</x:v>
      </x:c>
      <x:c r="M281" s="14" t="str"/>
      <x:c r="N281" s="14" t="str">
        <x:v>Sự cố do luồng khí phản lực, luồng gió rô-to hoặc luồng gió cánh quạt gây nguy hiểm cho người hoặc hoạt động khai thác tàu bay.</x:v>
      </x:c>
      <x:c r="O281" s="14" t="str">
        <x:v>Thông báo ban đầu ngay khi có thể; gửi MOR đến Cục HKVN trong vòng 24 giờ; điều tra/xác minh nội bộ, phân loại, xác định nguyên nhân và biện pháp khắc phục/phòng ngừa theo Điều 19, 21.</x:v>
      </x:c>
      <x:c r="P281" s="14" t="str"/>
      <x:c r="Q281" s="14" t="str"/>
      <x:c r="R281" s="14" t="str"/>
      <x:c r="S281" s="14" t="str">
        <x:v>Ban An toàn - Chất lượng</x:v>
      </x:c>
      <x:c r="T281" s="14" t="str">
        <x:v>Các Công ty Quản lý bay khu vực Bắc/Trung/Nam; Ban An toàn - Chất lượng</x:v>
      </x:c>
      <x:c r="U281" s="14" t="str"/>
      <x:c r="V281" s="14" t="str">
        <x:v>24 giờ</x:v>
      </x:c>
      <x:c r="W281" s="14" t="str">
        <x:v>P2</x:v>
      </x:c>
      <x:c r="X281" s="14" t="str"/>
      <x:c r="Y281" s="14" t="str">
        <x:v>Chưa bắt đầu</x:v>
      </x:c>
      <x:c r="Z281" s="14" t="str"/>
      <x:c r="AA281" s="14" t="str">
        <x:v>https://datafiles.chinhphu.vn/cpp/files/vbpq/2026/5/18-bxd.pdf</x:v>
      </x:c>
      <x:c r="AB281" s="14" t="str">
        <x:v>sms; an toan; mor</x:v>
      </x:c>
    </x:row>
    <x:row r="282">
      <x:c r="A282" s="14" t="str">
        <x:v>VATM-0281</x:v>
      </x:c>
      <x:c r="B282" s="14" t="str">
        <x:v>I.1.4.7</x:v>
      </x:c>
      <x:c r="C282" s="14" t="str">
        <x:v>Thông tư 18/2026/TT-BXD - Chương trình an toàn HKDD</x:v>
      </x:c>
      <x:c r="D282" s="14" t="str">
        <x:v>Tong_hop_nhiem_vu_TT18_2026_TT_BXD_VATM_ANSP.xlsx</x:v>
      </x:c>
      <x:c r="E282" s="14" t="str">
        <x:v>05_MOR_PL_III</x:v>
      </x:c>
      <x:c r="F282" s="56" t="n">
        <x:v>24</x:v>
      </x:c>
      <x:c r="G282" s="14" t="str">
        <x:v>Phụ lục III Phần I Chương I Mục 1 Điều 4</x:v>
      </x:c>
      <x:c r="H282" s="14" t="str">
        <x:v>An toàn hàng không / SMS</x:v>
      </x:c>
      <x:c r="I282" s="14" t="str">
        <x:v>Báo cáo MOR, sự cố và điều tra</x:v>
      </x:c>
      <x:c r="J282" s="14" t="str">
        <x:v>Người khai thác tàu bay</x:v>
      </x:c>
      <x:c r="K282" s="14" t="str">
        <x:v>Phối hợp/Gián tiếp</x:v>
      </x:c>
      <x:c r="L282" s="14" t="str">
        <x:v>Báo cáo/điều tra/khắc phục</x:v>
      </x:c>
      <x:c r="M282" s="14" t="str"/>
      <x:c r="N282" s="14" t="str">
        <x:v>Bay vào vùng nhiễu động khiến tàu bay không thể duy trì tạm thời mực bay hoặc có người bị thương hoặc đồ đạc/hành lý không giữ đúng vị trí.</x:v>
      </x:c>
      <x:c r="O282" s="14" t="str">
        <x:v>Thông báo ban đầu ngay khi có thể; gửi MOR đến Cục HKVN trong vòng 24 giờ; điều tra/xác minh nội bộ, phân loại, xác định nguyên nhân và biện pháp khắc phục/phòng ngừa theo Điều 19, 21.</x:v>
      </x:c>
      <x:c r="P282" s="14" t="str"/>
      <x:c r="Q282" s="14" t="str"/>
      <x:c r="R282" s="14" t="str"/>
      <x:c r="S282" s="14" t="str">
        <x:v>Ban An toàn - Chất lượng</x:v>
      </x:c>
      <x:c r="T282" s="14" t="str">
        <x:v>Các Công ty Quản lý bay khu vực Bắc/Trung/Nam; Ban An toàn - Chất lượng</x:v>
      </x:c>
      <x:c r="U282" s="14" t="str"/>
      <x:c r="V282" s="14" t="str">
        <x:v>24 giờ</x:v>
      </x:c>
      <x:c r="W282" s="14" t="str">
        <x:v>P2</x:v>
      </x:c>
      <x:c r="X282" s="14" t="str"/>
      <x:c r="Y282" s="14" t="str">
        <x:v>Chưa bắt đầu</x:v>
      </x:c>
      <x:c r="Z282" s="14" t="str"/>
      <x:c r="AA282" s="14" t="str">
        <x:v>https://datafiles.chinhphu.vn/cpp/files/vbpq/2026/5/18-bxd.pdf</x:v>
      </x:c>
      <x:c r="AB282" s="14" t="str">
        <x:v>sms; an toan; mor</x:v>
      </x:c>
    </x:row>
    <x:row r="283">
      <x:c r="A283" s="14" t="str">
        <x:v>VATM-0282</x:v>
      </x:c>
      <x:c r="B283" s="14" t="str">
        <x:v>I.1.5.2</x:v>
      </x:c>
      <x:c r="C283" s="14" t="str">
        <x:v>Thông tư 18/2026/TT-BXD - Chương trình an toàn HKDD</x:v>
      </x:c>
      <x:c r="D283" s="14" t="str">
        <x:v>Tong_hop_nhiem_vu_TT18_2026_TT_BXD_VATM_ANSP.xlsx</x:v>
      </x:c>
      <x:c r="E283" s="14" t="str">
        <x:v>05_MOR_PL_III</x:v>
      </x:c>
      <x:c r="F283" s="56" t="n">
        <x:v>26</x:v>
      </x:c>
      <x:c r="G283" s="14" t="str">
        <x:v>Phụ lục III Phần I Chương I Mục 1 Điều 5</x:v>
      </x:c>
      <x:c r="H283" s="14" t="str">
        <x:v>An toàn hàng không / SMS</x:v>
      </x:c>
      <x:c r="I283" s="14" t="str">
        <x:v>Báo cáo MOR, sự cố và điều tra</x:v>
      </x:c>
      <x:c r="J283" s="14" t="str">
        <x:v>Người khai thác tàu bay</x:v>
      </x:c>
      <x:c r="K283" s="14" t="str">
        <x:v>Phối hợp/Gián tiếp</x:v>
      </x:c>
      <x:c r="L283" s="14" t="str">
        <x:v>Báo cáo/điều tra/khắc phục</x:v>
      </x:c>
      <x:c r="M283" s="14" t="str"/>
      <x:c r="N283" s="14" t="str">
        <x:v>Mất hoặc mất tạm thời tín hiệu dẫn đường vệ tinh ảnh hưởng đến an toàn bay hoặc khả năng duy trì đường bay đã phê duyệt/chỉ định.</x:v>
      </x:c>
      <x:c r="O283" s="14" t="str">
        <x:v>Thông báo ban đầu ngay khi có thể; gửi MOR đến Cục HKVN trong vòng 24 giờ; điều tra/xác minh nội bộ, phân loại, xác định nguyên nhân và biện pháp khắc phục/phòng ngừa theo Điều 19, 21.</x:v>
      </x:c>
      <x:c r="P283" s="14" t="str"/>
      <x:c r="Q283" s="14" t="str"/>
      <x:c r="R283" s="14" t="str"/>
      <x:c r="S283" s="14" t="str">
        <x:v>Ban An toàn - Chất lượng</x:v>
      </x:c>
      <x:c r="T283" s="14" t="str">
        <x:v>Các Công ty Quản lý bay khu vực Bắc/Trung/Nam; Ban An toàn - Chất lượng</x:v>
      </x:c>
      <x:c r="U283" s="14" t="str"/>
      <x:c r="V283" s="14" t="str">
        <x:v>24 giờ</x:v>
      </x:c>
      <x:c r="W283" s="14" t="str">
        <x:v>P2</x:v>
      </x:c>
      <x:c r="X283" s="14" t="str"/>
      <x:c r="Y283" s="14" t="str">
        <x:v>Chưa bắt đầu</x:v>
      </x:c>
      <x:c r="Z283" s="14" t="str"/>
      <x:c r="AA283" s="14" t="str">
        <x:v>https://datafiles.chinhphu.vn/cpp/files/vbpq/2026/5/18-bxd.pdf</x:v>
      </x:c>
      <x:c r="AB283" s="14" t="str">
        <x:v>sms; an toan; mor</x:v>
      </x:c>
    </x:row>
    <x:row r="284">
      <x:c r="A284" s="14" t="str">
        <x:v>VATM-0283</x:v>
      </x:c>
      <x:c r="B284" s="14" t="str">
        <x:v>I.1.5.4</x:v>
      </x:c>
      <x:c r="C284" s="14" t="str">
        <x:v>Thông tư 18/2026/TT-BXD - Chương trình an toàn HKDD</x:v>
      </x:c>
      <x:c r="D284" s="14" t="str">
        <x:v>Tong_hop_nhiem_vu_TT18_2026_TT_BXD_VATM_ANSP.xlsx</x:v>
      </x:c>
      <x:c r="E284" s="14" t="str">
        <x:v>05_MOR_PL_III</x:v>
      </x:c>
      <x:c r="F284" s="56" t="n">
        <x:v>28</x:v>
      </x:c>
      <x:c r="G284" s="14" t="str">
        <x:v>Phụ lục III Phần I Chương I Mục 1 Điều 5</x:v>
      </x:c>
      <x:c r="H284" s="14" t="str">
        <x:v>An toàn hàng không / SMS</x:v>
      </x:c>
      <x:c r="I284" s="14" t="str">
        <x:v>Báo cáo MOR, sự cố và điều tra</x:v>
      </x:c>
      <x:c r="J284" s="14" t="str">
        <x:v>Người khai thác tàu bay</x:v>
      </x:c>
      <x:c r="K284" s="14" t="str">
        <x:v>Phối hợp/Gián tiếp</x:v>
      </x:c>
      <x:c r="L284" s="14" t="str">
        <x:v>Báo cáo/điều tra/khắc phục</x:v>
      </x:c>
      <x:c r="M284" s="14" t="str"/>
      <x:c r="N284" s="14" t="str">
        <x:v>Nhân viên hàng không bị thương khi thực hiện nhiệm vụ.</x:v>
      </x:c>
      <x:c r="O284" s="14" t="str">
        <x:v>Thông báo ban đầu ngay khi có thể; gửi MOR đến Cục HKVN trong vòng 24 giờ; điều tra/xác minh nội bộ, phân loại, xác định nguyên nhân và biện pháp khắc phục/phòng ngừa theo Điều 19, 21.</x:v>
      </x:c>
      <x:c r="P284" s="14" t="str"/>
      <x:c r="Q284" s="14" t="str"/>
      <x:c r="R284" s="14" t="str"/>
      <x:c r="S284" s="14" t="str">
        <x:v>Ban An toàn - Chất lượng</x:v>
      </x:c>
      <x:c r="T284" s="14" t="str">
        <x:v>Các Công ty Quản lý bay khu vực Bắc/Trung/Nam; Ban An toàn - Chất lượng</x:v>
      </x:c>
      <x:c r="U284" s="14" t="str"/>
      <x:c r="V284" s="14" t="str">
        <x:v>24 giờ</x:v>
      </x:c>
      <x:c r="W284" s="14" t="str">
        <x:v>P2</x:v>
      </x:c>
      <x:c r="X284" s="14" t="str"/>
      <x:c r="Y284" s="14" t="str">
        <x:v>Chưa bắt đầu</x:v>
      </x:c>
      <x:c r="Z284" s="14" t="str"/>
      <x:c r="AA284" s="14" t="str">
        <x:v>https://datafiles.chinhphu.vn/cpp/files/vbpq/2026/5/18-bxd.pdf</x:v>
      </x:c>
      <x:c r="AB284" s="14" t="str">
        <x:v>sms; an toan; mor</x:v>
      </x:c>
    </x:row>
    <x:row r="285">
      <x:c r="A285" s="14" t="str">
        <x:v>VATM-0284</x:v>
      </x:c>
      <x:c r="B285" s="14" t="str">
        <x:v>I.1.5.5</x:v>
      </x:c>
      <x:c r="C285" s="14" t="str">
        <x:v>Thông tư 18/2026/TT-BXD - Chương trình an toàn HKDD</x:v>
      </x:c>
      <x:c r="D285" s="14" t="str">
        <x:v>Tong_hop_nhiem_vu_TT18_2026_TT_BXD_VATM_ANSP.xlsx</x:v>
      </x:c>
      <x:c r="E285" s="14" t="str">
        <x:v>05_MOR_PL_III</x:v>
      </x:c>
      <x:c r="F285" s="56" t="n">
        <x:v>29</x:v>
      </x:c>
      <x:c r="G285" s="14" t="str">
        <x:v>Phụ lục III Phần I Chương I Mục 1 Điều 5</x:v>
      </x:c>
      <x:c r="H285" s="14" t="str">
        <x:v>An toàn hàng không / SMS</x:v>
      </x:c>
      <x:c r="I285" s="14" t="str">
        <x:v>Báo cáo MOR, sự cố và điều tra</x:v>
      </x:c>
      <x:c r="J285" s="14" t="str">
        <x:v>Người khai thác tàu bay</x:v>
      </x:c>
      <x:c r="K285" s="14" t="str">
        <x:v>Phối hợp/Gián tiếp</x:v>
      </x:c>
      <x:c r="L285" s="14" t="str">
        <x:v>Báo cáo/điều tra/khắc phục</x:v>
      </x:c>
      <x:c r="M285" s="14" t="str"/>
      <x:c r="N285" s="14" t="str">
        <x:v>Các sự cố khác có thể ảnh hưởng đến an toàn khai thác tàu bay.</x:v>
      </x:c>
      <x:c r="O285" s="14" t="str">
        <x:v>Thông báo ban đầu ngay khi có thể; gửi MOR đến Cục HKVN trong vòng 24 giờ; điều tra/xác minh nội bộ, phân loại, xác định nguyên nhân và biện pháp khắc phục/phòng ngừa theo Điều 19, 21.</x:v>
      </x:c>
      <x:c r="P285" s="14" t="str"/>
      <x:c r="Q285" s="14" t="str"/>
      <x:c r="R285" s="14" t="str"/>
      <x:c r="S285" s="14" t="str">
        <x:v>Ban An toàn - Chất lượng</x:v>
      </x:c>
      <x:c r="T285" s="14" t="str">
        <x:v>Các Công ty Quản lý bay khu vực Bắc/Trung/Nam; Ban An toàn - Chất lượng</x:v>
      </x:c>
      <x:c r="U285" s="14" t="str"/>
      <x:c r="V285" s="14" t="str">
        <x:v>24 giờ</x:v>
      </x:c>
      <x:c r="W285" s="14" t="str">
        <x:v>P2</x:v>
      </x:c>
      <x:c r="X285" s="14" t="str"/>
      <x:c r="Y285" s="14" t="str">
        <x:v>Chưa bắt đầu</x:v>
      </x:c>
      <x:c r="Z285" s="14" t="str"/>
      <x:c r="AA285" s="14" t="str">
        <x:v>https://datafiles.chinhphu.vn/cpp/files/vbpq/2026/5/18-bxd.pdf</x:v>
      </x:c>
      <x:c r="AB285" s="14" t="str">
        <x:v>sms; an toan; mor</x:v>
      </x:c>
    </x:row>
    <x:row r="286">
      <x:c r="A286" s="14" t="str">
        <x:v>VATM-0285</x:v>
      </x:c>
      <x:c r="B286" s="14" t="str">
        <x:v>I.2.6.4</x:v>
      </x:c>
      <x:c r="C286" s="14" t="str">
        <x:v>Thông tư 18/2026/TT-BXD - Chương trình an toàn HKDD</x:v>
      </x:c>
      <x:c r="D286" s="14" t="str">
        <x:v>Tong_hop_nhiem_vu_TT18_2026_TT_BXD_VATM_ANSP.xlsx</x:v>
      </x:c>
      <x:c r="E286" s="14" t="str">
        <x:v>05_MOR_PL_III</x:v>
      </x:c>
      <x:c r="F286" s="56" t="n">
        <x:v>33</x:v>
      </x:c>
      <x:c r="G286" s="14" t="str">
        <x:v>Phụ lục III Phần I Chương I Mục 2 Điều 6</x:v>
      </x:c>
      <x:c r="H286" s="14" t="str">
        <x:v>An toàn hàng không / SMS</x:v>
      </x:c>
      <x:c r="I286" s="14" t="str">
        <x:v>Báo cáo MOR, sự cố và điều tra</x:v>
      </x:c>
      <x:c r="J286" s="14" t="str">
        <x:v>Người khai thác tàu bay</x:v>
      </x:c>
      <x:c r="K286" s="14" t="str">
        <x:v>Phối hợp/Gián tiếp</x:v>
      </x:c>
      <x:c r="L286" s="14" t="str">
        <x:v>Báo cáo/điều tra/khắc phục</x:v>
      </x:c>
      <x:c r="M286" s="14" t="str"/>
      <x:c r="N286" s="14" t="str">
        <x:v>Hoạt động bất thường của hệ thống điều khiển bay.</x:v>
      </x:c>
      <x:c r="O286" s="14" t="str">
        <x:v>Thông báo ban đầu ngay khi có thể; gửi MOR đến Cục HKVN trong vòng 24 giờ; điều tra/xác minh nội bộ, phân loại, xác định nguyên nhân và biện pháp khắc phục/phòng ngừa theo Điều 19, 21.</x:v>
      </x:c>
      <x:c r="P286" s="14" t="str"/>
      <x:c r="Q286" s="14" t="str"/>
      <x:c r="R286" s="14" t="str"/>
      <x:c r="S286" s="14" t="str">
        <x:v>Ban An toàn - Chất lượng</x:v>
      </x:c>
      <x:c r="T286" s="14" t="str">
        <x:v>Các Công ty Quản lý bay khu vực Bắc/Trung/Nam; Ban An toàn - Chất lượng</x:v>
      </x:c>
      <x:c r="U286" s="14" t="str"/>
      <x:c r="V286" s="14" t="str">
        <x:v>24 giờ</x:v>
      </x:c>
      <x:c r="W286" s="14" t="str">
        <x:v>P2</x:v>
      </x:c>
      <x:c r="X286" s="14" t="str"/>
      <x:c r="Y286" s="14" t="str">
        <x:v>Chưa bắt đầu</x:v>
      </x:c>
      <x:c r="Z286" s="14" t="str"/>
      <x:c r="AA286" s="14" t="str">
        <x:v>https://datafiles.chinhphu.vn/cpp/files/vbpq/2026/5/18-bxd.pdf</x:v>
      </x:c>
      <x:c r="AB286" s="14" t="str">
        <x:v>sms; an toan; mor</x:v>
      </x:c>
    </x:row>
    <x:row r="287">
      <x:c r="A287" s="14" t="str">
        <x:v>VATM-0286</x:v>
      </x:c>
      <x:c r="B287" s="14" t="str">
        <x:v>I.2.7.2</x:v>
      </x:c>
      <x:c r="C287" s="14" t="str">
        <x:v>Thông tư 18/2026/TT-BXD - Chương trình an toàn HKDD</x:v>
      </x:c>
      <x:c r="D287" s="14" t="str">
        <x:v>Tong_hop_nhiem_vu_TT18_2026_TT_BXD_VATM_ANSP.xlsx</x:v>
      </x:c>
      <x:c r="E287" s="14" t="str">
        <x:v>05_MOR_PL_III</x:v>
      </x:c>
      <x:c r="F287" s="56" t="n">
        <x:v>35</x:v>
      </x:c>
      <x:c r="G287" s="14" t="str">
        <x:v>Phụ lục III Phần I Chương I Mục 2 Điều 7</x:v>
      </x:c>
      <x:c r="H287" s="14" t="str">
        <x:v>An toàn hàng không / SMS</x:v>
      </x:c>
      <x:c r="I287" s="14" t="str">
        <x:v>Báo cáo MOR, sự cố và điều tra</x:v>
      </x:c>
      <x:c r="J287" s="14" t="str">
        <x:v>Người khai thác tàu bay</x:v>
      </x:c>
      <x:c r="K287" s="14" t="str">
        <x:v>Phối hợp/Gián tiếp</x:v>
      </x:c>
      <x:c r="L287" s="14" t="str">
        <x:v>Báo cáo/điều tra/khắc phục</x:v>
      </x:c>
      <x:c r="M287" s="14" t="str"/>
      <x:c r="N287" s="14" t="str">
        <x:v>Tắt động cơ trên không hoặc động cơ phụ không hoạt động khi cần thiết.</x:v>
      </x:c>
      <x:c r="O287" s="14" t="str">
        <x:v>Thông báo ban đầu ngay khi có thể; gửi MOR đến Cục HKVN trong vòng 24 giờ; điều tra/xác minh nội bộ, phân loại, xác định nguyên nhân và biện pháp khắc phục/phòng ngừa theo Điều 19, 21.</x:v>
      </x:c>
      <x:c r="P287" s="14" t="str"/>
      <x:c r="Q287" s="14" t="str"/>
      <x:c r="R287" s="14" t="str"/>
      <x:c r="S287" s="14" t="str">
        <x:v>Ban An toàn - Chất lượng</x:v>
      </x:c>
      <x:c r="T287" s="14" t="str">
        <x:v>Các Công ty Quản lý bay khu vực Bắc/Trung/Nam; Ban An toàn - Chất lượng</x:v>
      </x:c>
      <x:c r="U287" s="14" t="str"/>
      <x:c r="V287" s="14" t="str">
        <x:v>24 giờ</x:v>
      </x:c>
      <x:c r="W287" s="14" t="str">
        <x:v>P2</x:v>
      </x:c>
      <x:c r="X287" s="14" t="str"/>
      <x:c r="Y287" s="14" t="str">
        <x:v>Chưa bắt đầu</x:v>
      </x:c>
      <x:c r="Z287" s="14" t="str"/>
      <x:c r="AA287" s="14" t="str">
        <x:v>https://datafiles.chinhphu.vn/cpp/files/vbpq/2026/5/18-bxd.pdf</x:v>
      </x:c>
      <x:c r="AB287" s="14" t="str">
        <x:v>sms; an toan; mor</x:v>
      </x:c>
    </x:row>
    <x:row r="288">
      <x:c r="A288" s="14" t="str">
        <x:v>VATM-0287</x:v>
      </x:c>
      <x:c r="B288" s="14" t="str">
        <x:v>I.3.1</x:v>
      </x:c>
      <x:c r="C288" s="14" t="str">
        <x:v>Thông tư 18/2026/TT-BXD - Chương trình an toàn HKDD</x:v>
      </x:c>
      <x:c r="D288" s="14" t="str">
        <x:v>Tong_hop_nhiem_vu_TT18_2026_TT_BXD_VATM_ANSP.xlsx</x:v>
      </x:c>
      <x:c r="E288" s="14" t="str">
        <x:v>05_MOR_PL_III</x:v>
      </x:c>
      <x:c r="F288" s="56" t="n">
        <x:v>37</x:v>
      </x:c>
      <x:c r="G288" s="14" t="str">
        <x:v>Phụ lục III Phần I Chương I Mục 3</x:v>
      </x:c>
      <x:c r="H288" s="14" t="str">
        <x:v>An toàn hàng không / SMS</x:v>
      </x:c>
      <x:c r="I288" s="14" t="str">
        <x:v>Báo cáo MOR, sự cố và điều tra</x:v>
      </x:c>
      <x:c r="J288" s="14" t="str">
        <x:v>Người khai thác tàu bay</x:v>
      </x:c>
      <x:c r="K288" s="14" t="str">
        <x:v>Trực tiếp</x:v>
      </x:c>
      <x:c r="L288" s="14" t="str">
        <x:v>Báo cáo/điều tra/khắc phục</x:v>
      </x:c>
      <x:c r="M288" s="14" t="str"/>
      <x:c r="N288" s="14" t="str">
        <x:v>Huấn lệnh kiểm soát không lưu có nguy cơ dẫn đến tàu bay khai thác vào khu vực thời tiết nguy hiểm hoặc mất phân cách với tàu bay/khu vực nguy hiểm/khu vực cấm.</x:v>
      </x:c>
      <x:c r="O288" s="14" t="str">
        <x:v>Thông báo ban đầu ngay khi có thể; gửi MOR đến Cục HKVN trong vòng 24 giờ; điều tra/xác minh nội bộ, phân loại, xác định nguyên nhân và biện pháp khắc phục/phòng ngừa theo Điều 19, 21.</x:v>
      </x:c>
      <x:c r="P288" s="14" t="str"/>
      <x:c r="Q288" s="14" t="str"/>
      <x:c r="R288" s="14" t="str"/>
      <x:c r="S288" s="14" t="str">
        <x:v>Ban An toàn - Chất lượng</x:v>
      </x:c>
      <x:c r="T288" s="14" t="str">
        <x:v>Các Công ty Quản lý bay khu vực Bắc/Trung/Nam; Ban An toàn - Chất lượng</x:v>
      </x:c>
      <x:c r="U288" s="14" t="str"/>
      <x:c r="V288" s="14" t="str">
        <x:v>24 giờ</x:v>
      </x:c>
      <x:c r="W288" s="14" t="str">
        <x:v>P2</x:v>
      </x:c>
      <x:c r="X288" s="14" t="str"/>
      <x:c r="Y288" s="14" t="str">
        <x:v>Chưa bắt đầu</x:v>
      </x:c>
      <x:c r="Z288" s="14" t="str"/>
      <x:c r="AA288" s="14" t="str">
        <x:v>https://datafiles.chinhphu.vn/cpp/files/vbpq/2026/5/18-bxd.pdf</x:v>
      </x:c>
      <x:c r="AB288" s="14" t="str">
        <x:v>sms; an toan; mor</x:v>
      </x:c>
    </x:row>
    <x:row r="289">
      <x:c r="A289" s="14" t="str">
        <x:v>VATM-0288</x:v>
      </x:c>
      <x:c r="B289" s="14" t="str">
        <x:v>I.3.2</x:v>
      </x:c>
      <x:c r="C289" s="14" t="str">
        <x:v>Thông tư 18/2026/TT-BXD - Chương trình an toàn HKDD</x:v>
      </x:c>
      <x:c r="D289" s="14" t="str">
        <x:v>Tong_hop_nhiem_vu_TT18_2026_TT_BXD_VATM_ANSP.xlsx</x:v>
      </x:c>
      <x:c r="E289" s="14" t="str">
        <x:v>05_MOR_PL_III</x:v>
      </x:c>
      <x:c r="F289" s="56" t="n">
        <x:v>38</x:v>
      </x:c>
      <x:c r="G289" s="14" t="str">
        <x:v>Phụ lục III Phần I Chương I Mục 3</x:v>
      </x:c>
      <x:c r="H289" s="14" t="str">
        <x:v>An toàn hàng không / SMS</x:v>
      </x:c>
      <x:c r="I289" s="14" t="str">
        <x:v>Báo cáo MOR, sự cố và điều tra</x:v>
      </x:c>
      <x:c r="J289" s="14" t="str">
        <x:v>Người khai thác tàu bay</x:v>
      </x:c>
      <x:c r="K289" s="14" t="str">
        <x:v>Trực tiếp</x:v>
      </x:c>
      <x:c r="L289" s="14" t="str">
        <x:v>Báo cáo/điều tra/khắc phục</x:v>
      </x:c>
      <x:c r="M289" s="14" t="str"/>
      <x:c r="N289" s="14" t="str">
        <x:v>Mất liên lạc đối với đơn vị cung cấp dịch vụ không lưu trong vùng trời có kiểm soát.</x:v>
      </x:c>
      <x:c r="O289" s="14" t="str">
        <x:v>Thông báo ban đầu ngay khi có thể; gửi MOR đến Cục HKVN trong vòng 24 giờ; điều tra/xác minh nội bộ, phân loại, xác định nguyên nhân và biện pháp khắc phục/phòng ngừa theo Điều 19, 21.</x:v>
      </x:c>
      <x:c r="P289" s="14" t="str"/>
      <x:c r="Q289" s="14" t="str"/>
      <x:c r="R289" s="14" t="str"/>
      <x:c r="S289" s="14" t="str">
        <x:v>Ban An toàn - Chất lượng</x:v>
      </x:c>
      <x:c r="T289" s="14" t="str">
        <x:v>Các Công ty Quản lý bay khu vực Bắc/Trung/Nam; Ban An toàn - Chất lượng</x:v>
      </x:c>
      <x:c r="U289" s="14" t="str"/>
      <x:c r="V289" s="14" t="str">
        <x:v>24 giờ</x:v>
      </x:c>
      <x:c r="W289" s="14" t="str">
        <x:v>P2</x:v>
      </x:c>
      <x:c r="X289" s="14" t="str"/>
      <x:c r="Y289" s="14" t="str">
        <x:v>Chưa bắt đầu</x:v>
      </x:c>
      <x:c r="Z289" s="14" t="str"/>
      <x:c r="AA289" s="14" t="str">
        <x:v>https://datafiles.chinhphu.vn/cpp/files/vbpq/2026/5/18-bxd.pdf</x:v>
      </x:c>
      <x:c r="AB289" s="14" t="str">
        <x:v>sms; an toan; mor</x:v>
      </x:c>
    </x:row>
    <x:row r="290">
      <x:c r="A290" s="14" t="str">
        <x:v>VATM-0289</x:v>
      </x:c>
      <x:c r="B290" s="14" t="str">
        <x:v>I.3.3</x:v>
      </x:c>
      <x:c r="C290" s="14" t="str">
        <x:v>Thông tư 18/2026/TT-BXD - Chương trình an toàn HKDD</x:v>
      </x:c>
      <x:c r="D290" s="14" t="str">
        <x:v>Tong_hop_nhiem_vu_TT18_2026_TT_BXD_VATM_ANSP.xlsx</x:v>
      </x:c>
      <x:c r="E290" s="14" t="str">
        <x:v>05_MOR_PL_III</x:v>
      </x:c>
      <x:c r="F290" s="56" t="n">
        <x:v>39</x:v>
      </x:c>
      <x:c r="G290" s="14" t="str">
        <x:v>Phụ lục III Phần I Chương I Mục 3</x:v>
      </x:c>
      <x:c r="H290" s="14" t="str">
        <x:v>An toàn hàng không / SMS</x:v>
      </x:c>
      <x:c r="I290" s="14" t="str">
        <x:v>Báo cáo MOR, sự cố và điều tra</x:v>
      </x:c>
      <x:c r="J290" s="14" t="str">
        <x:v>Người khai thác tàu bay</x:v>
      </x:c>
      <x:c r="K290" s="14" t="str">
        <x:v>Trực tiếp</x:v>
      </x:c>
      <x:c r="L290" s="14" t="str">
        <x:v>Báo cáo/điều tra/khắc phục</x:v>
      </x:c>
      <x:c r="M290" s="14" t="str"/>
      <x:c r="N290" s="14" t="str">
        <x:v>Không tuân thủ hoặc hiểu sai huấn lệnh của kiểm soát viên không lưu.</x:v>
      </x:c>
      <x:c r="O290" s="14" t="str">
        <x:v>Thông báo ban đầu ngay khi có thể; gửi MOR đến Cục HKVN trong vòng 24 giờ; điều tra/xác minh nội bộ, phân loại, xác định nguyên nhân và biện pháp khắc phục/phòng ngừa theo Điều 19, 21.</x:v>
      </x:c>
      <x:c r="P290" s="14" t="str"/>
      <x:c r="Q290" s="14" t="str"/>
      <x:c r="R290" s="14" t="str"/>
      <x:c r="S290" s="14" t="str">
        <x:v>Ban An toàn - Chất lượng</x:v>
      </x:c>
      <x:c r="T290" s="14" t="str">
        <x:v>Các Công ty Quản lý bay khu vực Bắc/Trung/Nam; Ban An toàn - Chất lượng</x:v>
      </x:c>
      <x:c r="U290" s="14" t="str"/>
      <x:c r="V290" s="14" t="str">
        <x:v>24 giờ</x:v>
      </x:c>
      <x:c r="W290" s="14" t="str">
        <x:v>P2</x:v>
      </x:c>
      <x:c r="X290" s="14" t="str"/>
      <x:c r="Y290" s="14" t="str">
        <x:v>Chưa bắt đầu</x:v>
      </x:c>
      <x:c r="Z290" s="14" t="str"/>
      <x:c r="AA290" s="14" t="str">
        <x:v>https://datafiles.chinhphu.vn/cpp/files/vbpq/2026/5/18-bxd.pdf</x:v>
      </x:c>
      <x:c r="AB290" s="14" t="str">
        <x:v>sms; an toan; mor</x:v>
      </x:c>
    </x:row>
    <x:row r="291">
      <x:c r="A291" s="14" t="str">
        <x:v>VATM-0290</x:v>
      </x:c>
      <x:c r="B291" s="14" t="str">
        <x:v>I.3.4</x:v>
      </x:c>
      <x:c r="C291" s="14" t="str">
        <x:v>Thông tư 18/2026/TT-BXD - Chương trình an toàn HKDD</x:v>
      </x:c>
      <x:c r="D291" s="14" t="str">
        <x:v>Tong_hop_nhiem_vu_TT18_2026_TT_BXD_VATM_ANSP.xlsx</x:v>
      </x:c>
      <x:c r="E291" s="14" t="str">
        <x:v>05_MOR_PL_III</x:v>
      </x:c>
      <x:c r="F291" s="56" t="n">
        <x:v>40</x:v>
      </x:c>
      <x:c r="G291" s="14" t="str">
        <x:v>Phụ lục III Phần I Chương I Mục 3</x:v>
      </x:c>
      <x:c r="H291" s="14" t="str">
        <x:v>An toàn hàng không / SMS</x:v>
      </x:c>
      <x:c r="I291" s="14" t="str">
        <x:v>Báo cáo MOR, sự cố và điều tra</x:v>
      </x:c>
      <x:c r="J291" s="14" t="str">
        <x:v>Người khai thác tàu bay</x:v>
      </x:c>
      <x:c r="K291" s="14" t="str">
        <x:v>Trực tiếp</x:v>
      </x:c>
      <x:c r="L291" s="14" t="str">
        <x:v>Báo cáo/điều tra/khắc phục</x:v>
      </x:c>
      <x:c r="M291" s="14" t="str"/>
      <x:c r="N291" s="14" t="str">
        <x:v>Cố ý sai lệch khỏi chỉ dẫn của cơ sở điều hành bay nhằm bảo đảm an toàn hàng không.</x:v>
      </x:c>
      <x:c r="O291" s="14" t="str">
        <x:v>Thông báo ban đầu ngay khi có thể; gửi MOR đến Cục HKVN trong vòng 24 giờ; điều tra/xác minh nội bộ, phân loại, xác định nguyên nhân và biện pháp khắc phục/phòng ngừa theo Điều 19, 21.</x:v>
      </x:c>
      <x:c r="P291" s="14" t="str"/>
      <x:c r="Q291" s="14" t="str"/>
      <x:c r="R291" s="14" t="str"/>
      <x:c r="S291" s="14" t="str">
        <x:v>Ban An toàn - Chất lượng</x:v>
      </x:c>
      <x:c r="T291" s="14" t="str">
        <x:v>Các Công ty Quản lý bay khu vực Bắc/Trung/Nam; Ban An toàn - Chất lượng</x:v>
      </x:c>
      <x:c r="U291" s="14" t="str"/>
      <x:c r="V291" s="14" t="str">
        <x:v>24 giờ</x:v>
      </x:c>
      <x:c r="W291" s="14" t="str">
        <x:v>P2</x:v>
      </x:c>
      <x:c r="X291" s="14" t="str"/>
      <x:c r="Y291" s="14" t="str">
        <x:v>Chưa bắt đầu</x:v>
      </x:c>
      <x:c r="Z291" s="14" t="str"/>
      <x:c r="AA291" s="14" t="str">
        <x:v>https://datafiles.chinhphu.vn/cpp/files/vbpq/2026/5/18-bxd.pdf</x:v>
      </x:c>
      <x:c r="AB291" s="14" t="str">
        <x:v>sms; an toan; mor</x:v>
      </x:c>
    </x:row>
    <x:row r="292">
      <x:c r="A292" s="14" t="str">
        <x:v>VATM-0291</x:v>
      </x:c>
      <x:c r="B292" s="14" t="str">
        <x:v>I.4.1</x:v>
      </x:c>
      <x:c r="C292" s="14" t="str">
        <x:v>Thông tư 18/2026/TT-BXD - Chương trình an toàn HKDD</x:v>
      </x:c>
      <x:c r="D292" s="14" t="str">
        <x:v>Tong_hop_nhiem_vu_TT18_2026_TT_BXD_VATM_ANSP.xlsx</x:v>
      </x:c>
      <x:c r="E292" s="14" t="str">
        <x:v>05_MOR_PL_III</x:v>
      </x:c>
      <x:c r="F292" s="56" t="n">
        <x:v>41</x:v>
      </x:c>
      <x:c r="G292" s="14" t="str">
        <x:v>Phụ lục III Phần I Chương I Mục 4</x:v>
      </x:c>
      <x:c r="H292" s="14" t="str">
        <x:v>An toàn hàng không / SMS</x:v>
      </x:c>
      <x:c r="I292" s="14" t="str">
        <x:v>Báo cáo MOR, sự cố và điều tra</x:v>
      </x:c>
      <x:c r="J292" s="14" t="str">
        <x:v>Người khai thác tàu bay</x:v>
      </x:c>
      <x:c r="K292" s="14" t="str">
        <x:v>Trực tiếp</x:v>
      </x:c>
      <x:c r="L292" s="14" t="str">
        <x:v>Báo cáo/điều tra/khắc phục</x:v>
      </x:c>
      <x:c r="M292" s="14" t="str"/>
      <x:c r="N292" s="14" t="str">
        <x:v>Các hỏng hóc dẫn đến việc công bố tình trạng bất thường hoặc khẩn nguy với cơ sở điều hành bay.</x:v>
      </x:c>
      <x:c r="O292" s="14" t="str">
        <x:v>Thông báo ban đầu ngay khi có thể; gửi MOR đến Cục HKVN trong vòng 24 giờ; điều tra/xác minh nội bộ, phân loại, xác định nguyên nhân và biện pháp khắc phục/phòng ngừa theo Điều 19, 21.</x:v>
      </x:c>
      <x:c r="P292" s="14" t="str"/>
      <x:c r="Q292" s="14" t="str"/>
      <x:c r="R292" s="14" t="str"/>
      <x:c r="S292" s="14" t="str">
        <x:v>Ban An toàn - Chất lượng</x:v>
      </x:c>
      <x:c r="T292" s="14" t="str">
        <x:v>Các Công ty Quản lý bay khu vực Bắc/Trung/Nam; Ban An toàn - Chất lượng</x:v>
      </x:c>
      <x:c r="U292" s="14" t="str"/>
      <x:c r="V292" s="14" t="str">
        <x:v>24 giờ</x:v>
      </x:c>
      <x:c r="W292" s="14" t="str">
        <x:v>P2</x:v>
      </x:c>
      <x:c r="X292" s="14" t="str"/>
      <x:c r="Y292" s="14" t="str">
        <x:v>Chưa bắt đầu</x:v>
      </x:c>
      <x:c r="Z292" s="14" t="str"/>
      <x:c r="AA292" s="14" t="str">
        <x:v>https://datafiles.chinhphu.vn/cpp/files/vbpq/2026/5/18-bxd.pdf</x:v>
      </x:c>
      <x:c r="AB292" s="14" t="str">
        <x:v>sms; an toan; mor</x:v>
      </x:c>
    </x:row>
    <x:row r="293">
      <x:c r="A293" s="14" t="str">
        <x:v>VATM-0292</x:v>
      </x:c>
      <x:c r="B293" s="14" t="str">
        <x:v>I.4.2</x:v>
      </x:c>
      <x:c r="C293" s="14" t="str">
        <x:v>Thông tư 18/2026/TT-BXD - Chương trình an toàn HKDD</x:v>
      </x:c>
      <x:c r="D293" s="14" t="str">
        <x:v>Tong_hop_nhiem_vu_TT18_2026_TT_BXD_VATM_ANSP.xlsx</x:v>
      </x:c>
      <x:c r="E293" s="14" t="str">
        <x:v>05_MOR_PL_III</x:v>
      </x:c>
      <x:c r="F293" s="56" t="n">
        <x:v>42</x:v>
      </x:c>
      <x:c r="G293" s="14" t="str">
        <x:v>Phụ lục III Phần I Chương I Mục 4</x:v>
      </x:c>
      <x:c r="H293" s="14" t="str">
        <x:v>An toàn hàng không / SMS</x:v>
      </x:c>
      <x:c r="I293" s="14" t="str">
        <x:v>Báo cáo MOR, sự cố và điều tra</x:v>
      </x:c>
      <x:c r="J293" s="14" t="str">
        <x:v>Người khai thác tàu bay</x:v>
      </x:c>
      <x:c r="K293" s="14" t="str">
        <x:v>Phối hợp/Gián tiếp</x:v>
      </x:c>
      <x:c r="L293" s="14" t="str">
        <x:v>Báo cáo/điều tra/khắc phục</x:v>
      </x:c>
      <x:c r="M293" s="14" t="str"/>
      <x:c r="N293" s="14" t="str">
        <x:v>Có dấu hiệu không khí nhiễm bẩn, độc hại, có khói, cháy trong tàu bay có nguy cơ gây nguy hiểm cho hành khách và thành viên tổ bay.</x:v>
      </x:c>
      <x:c r="O293" s="14" t="str">
        <x:v>Thông báo ban đầu ngay khi có thể; gửi MOR đến Cục HKVN trong vòng 24 giờ; điều tra/xác minh nội bộ, phân loại, xác định nguyên nhân và biện pháp khắc phục/phòng ngừa theo Điều 19, 21.</x:v>
      </x:c>
      <x:c r="P293" s="14" t="str"/>
      <x:c r="Q293" s="14" t="str"/>
      <x:c r="R293" s="14" t="str"/>
      <x:c r="S293" s="14" t="str">
        <x:v>Ban An toàn - Chất lượng</x:v>
      </x:c>
      <x:c r="T293" s="14" t="str">
        <x:v>Các Công ty Quản lý bay khu vực Bắc/Trung/Nam; Ban An toàn - Chất lượng</x:v>
      </x:c>
      <x:c r="U293" s="14" t="str"/>
      <x:c r="V293" s="14" t="str">
        <x:v>24 giờ</x:v>
      </x:c>
      <x:c r="W293" s="14" t="str">
        <x:v>P2</x:v>
      </x:c>
      <x:c r="X293" s="14" t="str"/>
      <x:c r="Y293" s="14" t="str">
        <x:v>Chưa bắt đầu</x:v>
      </x:c>
      <x:c r="Z293" s="14" t="str"/>
      <x:c r="AA293" s="14" t="str">
        <x:v>https://datafiles.chinhphu.vn/cpp/files/vbpq/2026/5/18-bxd.pdf</x:v>
      </x:c>
      <x:c r="AB293" s="14" t="str">
        <x:v>sms; an toan; mor</x:v>
      </x:c>
    </x:row>
    <x:row r="294">
      <x:c r="A294" s="14" t="str">
        <x:v>VATM-0293</x:v>
      </x:c>
      <x:c r="B294" s="14" t="str">
        <x:v>I.4.3</x:v>
      </x:c>
      <x:c r="C294" s="14" t="str">
        <x:v>Thông tư 18/2026/TT-BXD - Chương trình an toàn HKDD</x:v>
      </x:c>
      <x:c r="D294" s="14" t="str">
        <x:v>Tong_hop_nhiem_vu_TT18_2026_TT_BXD_VATM_ANSP.xlsx</x:v>
      </x:c>
      <x:c r="E294" s="14" t="str">
        <x:v>05_MOR_PL_III</x:v>
      </x:c>
      <x:c r="F294" s="56" t="n">
        <x:v>43</x:v>
      </x:c>
      <x:c r="G294" s="14" t="str">
        <x:v>Phụ lục III Phần I Chương I Mục 4</x:v>
      </x:c>
      <x:c r="H294" s="14" t="str">
        <x:v>An toàn hàng không / SMS</x:v>
      </x:c>
      <x:c r="I294" s="14" t="str">
        <x:v>Báo cáo MOR, sự cố và điều tra</x:v>
      </x:c>
      <x:c r="J294" s="14" t="str">
        <x:v>Người khai thác tàu bay</x:v>
      </x:c>
      <x:c r="K294" s="14" t="str">
        <x:v>Phối hợp/Gián tiếp</x:v>
      </x:c>
      <x:c r="L294" s="14" t="str">
        <x:v>Báo cáo/điều tra/khắc phục</x:v>
      </x:c>
      <x:c r="M294" s="14" t="str"/>
      <x:c r="N294" s="14" t="str">
        <x:v>Phải sử dụng thiết bị khẩn nguy trên tàu bay.</x:v>
      </x:c>
      <x:c r="O294" s="14" t="str">
        <x:v>Thông báo ban đầu ngay khi có thể; gửi MOR đến Cục HKVN trong vòng 24 giờ; điều tra/xác minh nội bộ, phân loại, xác định nguyên nhân và biện pháp khắc phục/phòng ngừa theo Điều 19, 21.</x:v>
      </x:c>
      <x:c r="P294" s="14" t="str"/>
      <x:c r="Q294" s="14" t="str"/>
      <x:c r="R294" s="14" t="str"/>
      <x:c r="S294" s="14" t="str">
        <x:v>Ban An toàn - Chất lượng</x:v>
      </x:c>
      <x:c r="T294" s="14" t="str">
        <x:v>Các Công ty Quản lý bay khu vực Bắc/Trung/Nam; Ban An toàn - Chất lượng</x:v>
      </x:c>
      <x:c r="U294" s="14" t="str"/>
      <x:c r="V294" s="14" t="str">
        <x:v>24 giờ</x:v>
      </x:c>
      <x:c r="W294" s="14" t="str">
        <x:v>P2</x:v>
      </x:c>
      <x:c r="X294" s="14" t="str"/>
      <x:c r="Y294" s="14" t="str">
        <x:v>Chưa bắt đầu</x:v>
      </x:c>
      <x:c r="Z294" s="14" t="str"/>
      <x:c r="AA294" s="14" t="str">
        <x:v>https://datafiles.chinhphu.vn/cpp/files/vbpq/2026/5/18-bxd.pdf</x:v>
      </x:c>
      <x:c r="AB294" s="14" t="str">
        <x:v>sms; an toan; mor</x:v>
      </x:c>
    </x:row>
    <x:row r="295">
      <x:c r="A295" s="14" t="str">
        <x:v>VATM-0294</x:v>
      </x:c>
      <x:c r="B295" s="14" t="str">
        <x:v>I.4.4</x:v>
      </x:c>
      <x:c r="C295" s="14" t="str">
        <x:v>Thông tư 18/2026/TT-BXD - Chương trình an toàn HKDD</x:v>
      </x:c>
      <x:c r="D295" s="14" t="str">
        <x:v>Tong_hop_nhiem_vu_TT18_2026_TT_BXD_VATM_ANSP.xlsx</x:v>
      </x:c>
      <x:c r="E295" s="14" t="str">
        <x:v>05_MOR_PL_III</x:v>
      </x:c>
      <x:c r="F295" s="56" t="n">
        <x:v>44</x:v>
      </x:c>
      <x:c r="G295" s="14" t="str">
        <x:v>Phụ lục III Phần I Chương I Mục 4</x:v>
      </x:c>
      <x:c r="H295" s="14" t="str">
        <x:v>An toàn hàng không / SMS</x:v>
      </x:c>
      <x:c r="I295" s="14" t="str">
        <x:v>Báo cáo MOR, sự cố và điều tra</x:v>
      </x:c>
      <x:c r="J295" s="14" t="str">
        <x:v>Người khai thác tàu bay</x:v>
      </x:c>
      <x:c r="K295" s="14" t="str">
        <x:v>Trực tiếp</x:v>
      </x:c>
      <x:c r="L295" s="14" t="str">
        <x:v>Báo cáo/điều tra/khắc phục</x:v>
      </x:c>
      <x:c r="M295" s="14" t="str"/>
      <x:c r="N295" s="14" t="str">
        <x:v>Lượng nhiên liệu tại điểm đến thấp hơn lượng nhiên liệu dự trữ bắt buộc cuối cùng.</x:v>
      </x:c>
      <x:c r="O295" s="14" t="str">
        <x:v>Thông báo ban đầu ngay khi có thể; gửi MOR đến Cục HKVN trong vòng 24 giờ; điều tra/xác minh nội bộ, phân loại, xác định nguyên nhân và biện pháp khắc phục/phòng ngừa theo Điều 19, 21.</x:v>
      </x:c>
      <x:c r="P295" s="14" t="str"/>
      <x:c r="Q295" s="14" t="str"/>
      <x:c r="R295" s="14" t="str"/>
      <x:c r="S295" s="14" t="str">
        <x:v>Ban An toàn - Chất lượng</x:v>
      </x:c>
      <x:c r="T295" s="14" t="str">
        <x:v>Các Công ty Quản lý bay khu vực Bắc/Trung/Nam; Ban An toàn - Chất lượng</x:v>
      </x:c>
      <x:c r="U295" s="14" t="str"/>
      <x:c r="V295" s="14" t="str">
        <x:v>24 giờ</x:v>
      </x:c>
      <x:c r="W295" s="14" t="str">
        <x:v>P2</x:v>
      </x:c>
      <x:c r="X295" s="14" t="str"/>
      <x:c r="Y295" s="14" t="str">
        <x:v>Chưa bắt đầu</x:v>
      </x:c>
      <x:c r="Z295" s="14" t="str"/>
      <x:c r="AA295" s="14" t="str">
        <x:v>https://datafiles.chinhphu.vn/cpp/files/vbpq/2026/5/18-bxd.pdf</x:v>
      </x:c>
      <x:c r="AB295" s="14" t="str">
        <x:v>sms; an toan; mor</x:v>
      </x:c>
    </x:row>
    <x:row r="296">
      <x:c r="A296" s="14" t="str">
        <x:v>VATM-0295</x:v>
      </x:c>
      <x:c r="B296" s="14" t="str">
        <x:v>I.4.5</x:v>
      </x:c>
      <x:c r="C296" s="14" t="str">
        <x:v>Thông tư 18/2026/TT-BXD - Chương trình an toàn HKDD</x:v>
      </x:c>
      <x:c r="D296" s="14" t="str">
        <x:v>Tong_hop_nhiem_vu_TT18_2026_TT_BXD_VATM_ANSP.xlsx</x:v>
      </x:c>
      <x:c r="E296" s="14" t="str">
        <x:v>05_MOR_PL_III</x:v>
      </x:c>
      <x:c r="F296" s="56" t="n">
        <x:v>45</x:v>
      </x:c>
      <x:c r="G296" s="14" t="str">
        <x:v>Phụ lục III Phần I Chương I Mục 4</x:v>
      </x:c>
      <x:c r="H296" s="14" t="str">
        <x:v>An toàn hàng không / SMS</x:v>
      </x:c>
      <x:c r="I296" s="14" t="str">
        <x:v>Báo cáo MOR, sự cố và điều tra</x:v>
      </x:c>
      <x:c r="J296" s="14" t="str">
        <x:v>Người khai thác tàu bay</x:v>
      </x:c>
      <x:c r="K296" s="14" t="str">
        <x:v>Phối hợp/Gián tiếp</x:v>
      </x:c>
      <x:c r="L296" s="14" t="str">
        <x:v>Báo cáo/điều tra/khắc phục</x:v>
      </x:c>
      <x:c r="M296" s="14" t="str"/>
      <x:c r="N296" s="14" t="str">
        <x:v>Mất khả năng thực hiện nhiệm vụ của thành viên tổ bay trên chuyến bay.</x:v>
      </x:c>
      <x:c r="O296" s="14" t="str">
        <x:v>Thông báo ban đầu ngay khi có thể; gửi MOR đến Cục HKVN trong vòng 24 giờ; điều tra/xác minh nội bộ, phân loại, xác định nguyên nhân và biện pháp khắc phục/phòng ngừa theo Điều 19, 21.</x:v>
      </x:c>
      <x:c r="P296" s="14" t="str"/>
      <x:c r="Q296" s="14" t="str"/>
      <x:c r="R296" s="14" t="str"/>
      <x:c r="S296" s="14" t="str">
        <x:v>Ban An toàn - Chất lượng</x:v>
      </x:c>
      <x:c r="T296" s="14" t="str">
        <x:v>Các Công ty Quản lý bay khu vực Bắc/Trung/Nam; Ban An toàn - Chất lượng</x:v>
      </x:c>
      <x:c r="U296" s="14" t="str"/>
      <x:c r="V296" s="14" t="str">
        <x:v>24 giờ</x:v>
      </x:c>
      <x:c r="W296" s="14" t="str">
        <x:v>P2</x:v>
      </x:c>
      <x:c r="X296" s="14" t="str"/>
      <x:c r="Y296" s="14" t="str">
        <x:v>Chưa bắt đầu</x:v>
      </x:c>
      <x:c r="Z296" s="14" t="str"/>
      <x:c r="AA296" s="14" t="str">
        <x:v>https://datafiles.chinhphu.vn/cpp/files/vbpq/2026/5/18-bxd.pdf</x:v>
      </x:c>
      <x:c r="AB296" s="14" t="str">
        <x:v>sms; an toan; mor</x:v>
      </x:c>
    </x:row>
    <x:row r="297">
      <x:c r="A297" s="14" t="str">
        <x:v>VATM-0296</x:v>
      </x:c>
      <x:c r="B297" s="14" t="str">
        <x:v>I.5.1</x:v>
      </x:c>
      <x:c r="C297" s="14" t="str">
        <x:v>Thông tư 18/2026/TT-BXD - Chương trình an toàn HKDD</x:v>
      </x:c>
      <x:c r="D297" s="14" t="str">
        <x:v>Tong_hop_nhiem_vu_TT18_2026_TT_BXD_VATM_ANSP.xlsx</x:v>
      </x:c>
      <x:c r="E297" s="14" t="str">
        <x:v>05_MOR_PL_III</x:v>
      </x:c>
      <x:c r="F297" s="56" t="n">
        <x:v>47</x:v>
      </x:c>
      <x:c r="G297" s="14" t="str">
        <x:v>Phụ lục III Phần I Chương I Mục 5</x:v>
      </x:c>
      <x:c r="H297" s="14" t="str">
        <x:v>An toàn hàng không / SMS</x:v>
      </x:c>
      <x:c r="I297" s="14" t="str">
        <x:v>Báo cáo MOR, sự cố và điều tra</x:v>
      </x:c>
      <x:c r="J297" s="14" t="str">
        <x:v>Người khai thác tàu bay</x:v>
      </x:c>
      <x:c r="K297" s="14" t="str">
        <x:v>Phối hợp/Gián tiếp</x:v>
      </x:c>
      <x:c r="L297" s="14" t="str">
        <x:v>Báo cáo/điều tra/khắc phục</x:v>
      </x:c>
      <x:c r="M297" s="14" t="str"/>
      <x:c r="N297" s="14" t="str">
        <x:v>Va chạm hoặc không bảo đảm phân cách an toàn theo quy định của tàu bay với tàu bay, phương tiện, thiết bị, công trình dưới mặt đất.</x:v>
      </x:c>
      <x:c r="O297" s="14" t="str">
        <x:v>Thông báo ban đầu ngay khi có thể; gửi MOR đến Cục HKVN trong vòng 24 giờ; điều tra/xác minh nội bộ, phân loại, xác định nguyên nhân và biện pháp khắc phục/phòng ngừa theo Điều 19, 21.</x:v>
      </x:c>
      <x:c r="P297" s="14" t="str"/>
      <x:c r="Q297" s="14" t="str"/>
      <x:c r="R297" s="14" t="str"/>
      <x:c r="S297" s="14" t="str">
        <x:v>Ban An toàn - Chất lượng</x:v>
      </x:c>
      <x:c r="T297" s="14" t="str">
        <x:v>Các Công ty Quản lý bay khu vực Bắc/Trung/Nam; Ban An toàn - Chất lượng</x:v>
      </x:c>
      <x:c r="U297" s="14" t="str"/>
      <x:c r="V297" s="14" t="str">
        <x:v>24 giờ</x:v>
      </x:c>
      <x:c r="W297" s="14" t="str">
        <x:v>P2</x:v>
      </x:c>
      <x:c r="X297" s="14" t="str"/>
      <x:c r="Y297" s="14" t="str">
        <x:v>Chưa bắt đầu</x:v>
      </x:c>
      <x:c r="Z297" s="14" t="str"/>
      <x:c r="AA297" s="14" t="str">
        <x:v>https://datafiles.chinhphu.vn/cpp/files/vbpq/2026/5/18-bxd.pdf</x:v>
      </x:c>
      <x:c r="AB297" s="14" t="str">
        <x:v>sms; an toan; mor</x:v>
      </x:c>
    </x:row>
    <x:row r="298">
      <x:c r="A298" s="14" t="str">
        <x:v>VATM-0297</x:v>
      </x:c>
      <x:c r="B298" s="14" t="str">
        <x:v>I.5.2</x:v>
      </x:c>
      <x:c r="C298" s="14" t="str">
        <x:v>Thông tư 18/2026/TT-BXD - Chương trình an toàn HKDD</x:v>
      </x:c>
      <x:c r="D298" s="14" t="str">
        <x:v>Tong_hop_nhiem_vu_TT18_2026_TT_BXD_VATM_ANSP.xlsx</x:v>
      </x:c>
      <x:c r="E298" s="14" t="str">
        <x:v>05_MOR_PL_III</x:v>
      </x:c>
      <x:c r="F298" s="56" t="n">
        <x:v>48</x:v>
      </x:c>
      <x:c r="G298" s="14" t="str">
        <x:v>Phụ lục III Phần I Chương I Mục 5</x:v>
      </x:c>
      <x:c r="H298" s="14" t="str">
        <x:v>An toàn hàng không / SMS</x:v>
      </x:c>
      <x:c r="I298" s="14" t="str">
        <x:v>Báo cáo MOR, sự cố và điều tra</x:v>
      </x:c>
      <x:c r="J298" s="14" t="str">
        <x:v>Người khai thác tàu bay</x:v>
      </x:c>
      <x:c r="K298" s="14" t="str">
        <x:v>Phối hợp/Gián tiếp</x:v>
      </x:c>
      <x:c r="L298" s="14" t="str">
        <x:v>Báo cáo/điều tra/khắc phục</x:v>
      </x:c>
      <x:c r="M298" s="14" t="str"/>
      <x:c r="N298" s="14" t="str">
        <x:v>Xuất hiện cảnh báo chống va chạm trên không.</x:v>
      </x:c>
      <x:c r="O298" s="14" t="str">
        <x:v>Thông báo ban đầu ngay khi có thể; gửi MOR đến Cục HKVN trong vòng 24 giờ; điều tra/xác minh nội bộ, phân loại, xác định nguyên nhân và biện pháp khắc phục/phòng ngừa theo Điều 19, 21.</x:v>
      </x:c>
      <x:c r="P298" s="14" t="str"/>
      <x:c r="Q298" s="14" t="str"/>
      <x:c r="R298" s="14" t="str"/>
      <x:c r="S298" s="14" t="str">
        <x:v>Ban An toàn - Chất lượng</x:v>
      </x:c>
      <x:c r="T298" s="14" t="str">
        <x:v>Các Công ty Quản lý bay khu vực Bắc/Trung/Nam; Ban An toàn - Chất lượng</x:v>
      </x:c>
      <x:c r="U298" s="14" t="str"/>
      <x:c r="V298" s="14" t="str">
        <x:v>24 giờ</x:v>
      </x:c>
      <x:c r="W298" s="14" t="str">
        <x:v>P2</x:v>
      </x:c>
      <x:c r="X298" s="14" t="str"/>
      <x:c r="Y298" s="14" t="str">
        <x:v>Chưa bắt đầu</x:v>
      </x:c>
      <x:c r="Z298" s="14" t="str"/>
      <x:c r="AA298" s="14" t="str">
        <x:v>https://datafiles.chinhphu.vn/cpp/files/vbpq/2026/5/18-bxd.pdf</x:v>
      </x:c>
      <x:c r="AB298" s="14" t="str">
        <x:v>sms; an toan; mor</x:v>
      </x:c>
    </x:row>
    <x:row r="299">
      <x:c r="A299" s="14" t="str">
        <x:v>VATM-0298</x:v>
      </x:c>
      <x:c r="B299" s="14" t="str">
        <x:v>I.5.3</x:v>
      </x:c>
      <x:c r="C299" s="14" t="str">
        <x:v>Thông tư 18/2026/TT-BXD - Chương trình an toàn HKDD</x:v>
      </x:c>
      <x:c r="D299" s="14" t="str">
        <x:v>Tong_hop_nhiem_vu_TT18_2026_TT_BXD_VATM_ANSP.xlsx</x:v>
      </x:c>
      <x:c r="E299" s="14" t="str">
        <x:v>05_MOR_PL_III</x:v>
      </x:c>
      <x:c r="F299" s="56" t="n">
        <x:v>49</x:v>
      </x:c>
      <x:c r="G299" s="14" t="str">
        <x:v>Phụ lục III Phần I Chương I Mục 5</x:v>
      </x:c>
      <x:c r="H299" s="14" t="str">
        <x:v>An toàn hàng không / SMS</x:v>
      </x:c>
      <x:c r="I299" s="14" t="str">
        <x:v>Báo cáo MOR, sự cố và điều tra</x:v>
      </x:c>
      <x:c r="J299" s="14" t="str">
        <x:v>Người khai thác tàu bay</x:v>
      </x:c>
      <x:c r="K299" s="14" t="str">
        <x:v>Phối hợp/Gián tiếp</x:v>
      </x:c>
      <x:c r="L299" s="14" t="str">
        <x:v>Báo cáo/điều tra/khắc phục</x:v>
      </x:c>
      <x:c r="M299" s="14" t="str"/>
      <x:c r="N299" s="14" t="str">
        <x:v>Kích hoạt cảnh báo hệ thống cảnh báo va chạm mặt đất, địa hình.</x:v>
      </x:c>
      <x:c r="O299" s="14" t="str">
        <x:v>Thông báo ban đầu ngay khi có thể; gửi MOR đến Cục HKVN trong vòng 24 giờ; điều tra/xác minh nội bộ, phân loại, xác định nguyên nhân và biện pháp khắc phục/phòng ngừa theo Điều 19, 21.</x:v>
      </x:c>
      <x:c r="P299" s="14" t="str"/>
      <x:c r="Q299" s="14" t="str"/>
      <x:c r="R299" s="14" t="str"/>
      <x:c r="S299" s="14" t="str">
        <x:v>Ban An toàn - Chất lượng</x:v>
      </x:c>
      <x:c r="T299" s="14" t="str">
        <x:v>Các Công ty Quản lý bay khu vực Bắc/Trung/Nam; Ban An toàn - Chất lượng</x:v>
      </x:c>
      <x:c r="U299" s="14" t="str"/>
      <x:c r="V299" s="14" t="str">
        <x:v>24 giờ</x:v>
      </x:c>
      <x:c r="W299" s="14" t="str">
        <x:v>P2</x:v>
      </x:c>
      <x:c r="X299" s="14" t="str"/>
      <x:c r="Y299" s="14" t="str">
        <x:v>Chưa bắt đầu</x:v>
      </x:c>
      <x:c r="Z299" s="14" t="str"/>
      <x:c r="AA299" s="14" t="str">
        <x:v>https://datafiles.chinhphu.vn/cpp/files/vbpq/2026/5/18-bxd.pdf</x:v>
      </x:c>
      <x:c r="AB299" s="14" t="str">
        <x:v>sms; an toan; mor</x:v>
      </x:c>
    </x:row>
    <x:row r="300">
      <x:c r="A300" s="14" t="str">
        <x:v>VATM-0299</x:v>
      </x:c>
      <x:c r="B300" s="14" t="str">
        <x:v>I.5.4</x:v>
      </x:c>
      <x:c r="C300" s="14" t="str">
        <x:v>Thông tư 18/2026/TT-BXD - Chương trình an toàn HKDD</x:v>
      </x:c>
      <x:c r="D300" s="14" t="str">
        <x:v>Tong_hop_nhiem_vu_TT18_2026_TT_BXD_VATM_ANSP.xlsx</x:v>
      </x:c>
      <x:c r="E300" s="14" t="str">
        <x:v>05_MOR_PL_III</x:v>
      </x:c>
      <x:c r="F300" s="56" t="n">
        <x:v>50</x:v>
      </x:c>
      <x:c r="G300" s="14" t="str">
        <x:v>Phụ lục III Phần I Chương I Mục 5</x:v>
      </x:c>
      <x:c r="H300" s="14" t="str">
        <x:v>An toàn hàng không / SMS</x:v>
      </x:c>
      <x:c r="I300" s="14" t="str">
        <x:v>Báo cáo MOR, sự cố và điều tra</x:v>
      </x:c>
      <x:c r="J300" s="14" t="str">
        <x:v>Người khai thác tàu bay</x:v>
      </x:c>
      <x:c r="K300" s="14" t="str">
        <x:v>Phối hợp/Gián tiếp</x:v>
      </x:c>
      <x:c r="L300" s="14" t="str">
        <x:v>Báo cáo/điều tra/khắc phục</x:v>
      </x:c>
      <x:c r="M300" s="14" t="str"/>
      <x:c r="N300" s="14" t="str">
        <x:v>Va chạm với chim, động vật nuôi, hoang dã.</x:v>
      </x:c>
      <x:c r="O300" s="14" t="str">
        <x:v>Thông báo ban đầu ngay khi có thể; gửi MOR đến Cục HKVN trong vòng 24 giờ; điều tra/xác minh nội bộ, phân loại, xác định nguyên nhân và biện pháp khắc phục/phòng ngừa theo Điều 19, 21.</x:v>
      </x:c>
      <x:c r="P300" s="14" t="str"/>
      <x:c r="Q300" s="14" t="str"/>
      <x:c r="R300" s="14" t="str"/>
      <x:c r="S300" s="14" t="str">
        <x:v>Ban An toàn - Chất lượng</x:v>
      </x:c>
      <x:c r="T300" s="14" t="str">
        <x:v>Các Công ty Quản lý bay khu vực Bắc/Trung/Nam; Ban An toàn - Chất lượng</x:v>
      </x:c>
      <x:c r="U300" s="14" t="str"/>
      <x:c r="V300" s="14" t="str">
        <x:v>24 giờ</x:v>
      </x:c>
      <x:c r="W300" s="14" t="str">
        <x:v>P2</x:v>
      </x:c>
      <x:c r="X300" s="14" t="str"/>
      <x:c r="Y300" s="14" t="str">
        <x:v>Chưa bắt đầu</x:v>
      </x:c>
      <x:c r="Z300" s="14" t="str"/>
      <x:c r="AA300" s="14" t="str">
        <x:v>https://datafiles.chinhphu.vn/cpp/files/vbpq/2026/5/18-bxd.pdf</x:v>
      </x:c>
      <x:c r="AB300" s="14" t="str">
        <x:v>sms; an toan; mor</x:v>
      </x:c>
    </x:row>
    <x:row r="301">
      <x:c r="A301" s="14" t="str">
        <x:v>VATM-0300</x:v>
      </x:c>
      <x:c r="B301" s="14" t="str">
        <x:v>I.5.5</x:v>
      </x:c>
      <x:c r="C301" s="14" t="str">
        <x:v>Thông tư 18/2026/TT-BXD - Chương trình an toàn HKDD</x:v>
      </x:c>
      <x:c r="D301" s="14" t="str">
        <x:v>Tong_hop_nhiem_vu_TT18_2026_TT_BXD_VATM_ANSP.xlsx</x:v>
      </x:c>
      <x:c r="E301" s="14" t="str">
        <x:v>05_MOR_PL_III</x:v>
      </x:c>
      <x:c r="F301" s="56" t="n">
        <x:v>51</x:v>
      </x:c>
      <x:c r="G301" s="14" t="str">
        <x:v>Phụ lục III Phần I Chương I Mục 5</x:v>
      </x:c>
      <x:c r="H301" s="14" t="str">
        <x:v>An toàn hàng không / SMS</x:v>
      </x:c>
      <x:c r="I301" s="14" t="str">
        <x:v>Báo cáo MOR, sự cố và điều tra</x:v>
      </x:c>
      <x:c r="J301" s="14" t="str">
        <x:v>Người khai thác tàu bay</x:v>
      </x:c>
      <x:c r="K301" s="14" t="str">
        <x:v>Phối hợp/Gián tiếp</x:v>
      </x:c>
      <x:c r="L301" s="14" t="str">
        <x:v>Báo cáo/điều tra/khắc phục</x:v>
      </x:c>
      <x:c r="M301" s="14" t="str"/>
      <x:c r="N301" s="14" t="str">
        <x:v>Va chạm hoặc có nguy cơ va chạm với thiết bị không người lái, vật thể bay không xác định hoặc phát hiện vật thể bay trong hành lang bay có thể ảnh hưởng an toàn bay.</x:v>
      </x:c>
      <x:c r="O301" s="14" t="str">
        <x:v>Thông báo ban đầu ngay khi có thể; gửi MOR đến Cục HKVN trong vòng 24 giờ; điều tra/xác minh nội bộ, phân loại, xác định nguyên nhân và biện pháp khắc phục/phòng ngừa theo Điều 19, 21.</x:v>
      </x:c>
      <x:c r="P301" s="14" t="str"/>
      <x:c r="Q301" s="14" t="str"/>
      <x:c r="R301" s="14" t="str"/>
      <x:c r="S301" s="14" t="str">
        <x:v>Ban An toàn - Chất lượng</x:v>
      </x:c>
      <x:c r="T301" s="14" t="str">
        <x:v>Các Công ty Quản lý bay khu vực Bắc/Trung/Nam; Ban An toàn - Chất lượng</x:v>
      </x:c>
      <x:c r="U301" s="14" t="str"/>
      <x:c r="V301" s="14" t="str">
        <x:v>24 giờ</x:v>
      </x:c>
      <x:c r="W301" s="14" t="str">
        <x:v>P2</x:v>
      </x:c>
      <x:c r="X301" s="14" t="str"/>
      <x:c r="Y301" s="14" t="str">
        <x:v>Chưa bắt đầu</x:v>
      </x:c>
      <x:c r="Z301" s="14" t="str"/>
      <x:c r="AA301" s="14" t="str">
        <x:v>https://datafiles.chinhphu.vn/cpp/files/vbpq/2026/5/18-bxd.pdf</x:v>
      </x:c>
      <x:c r="AB301" s="14" t="str">
        <x:v>sms; an toan; mor</x:v>
      </x:c>
    </x:row>
    <x:row r="302">
      <x:c r="A302" s="14" t="str">
        <x:v>VATM-0301</x:v>
      </x:c>
      <x:c r="B302" s="14" t="str">
        <x:v>I.5.6</x:v>
      </x:c>
      <x:c r="C302" s="14" t="str">
        <x:v>Thông tư 18/2026/TT-BXD - Chương trình an toàn HKDD</x:v>
      </x:c>
      <x:c r="D302" s="14" t="str">
        <x:v>Tong_hop_nhiem_vu_TT18_2026_TT_BXD_VATM_ANSP.xlsx</x:v>
      </x:c>
      <x:c r="E302" s="14" t="str">
        <x:v>05_MOR_PL_III</x:v>
      </x:c>
      <x:c r="F302" s="56" t="n">
        <x:v>52</x:v>
      </x:c>
      <x:c r="G302" s="14" t="str">
        <x:v>Phụ lục III Phần I Chương I Mục 5</x:v>
      </x:c>
      <x:c r="H302" s="14" t="str">
        <x:v>An toàn hàng không / SMS</x:v>
      </x:c>
      <x:c r="I302" s="14" t="str">
        <x:v>Báo cáo MOR, sự cố và điều tra</x:v>
      </x:c>
      <x:c r="J302" s="14" t="str">
        <x:v>Người khai thác tàu bay</x:v>
      </x:c>
      <x:c r="K302" s="14" t="str">
        <x:v>Phối hợp/Gián tiếp</x:v>
      </x:c>
      <x:c r="L302" s="14" t="str">
        <x:v>Báo cáo/điều tra/khắc phục</x:v>
      </x:c>
      <x:c r="M302" s="14" t="str"/>
      <x:c r="N302" s="14" t="str">
        <x:v>Hư hỏng tàu bay do vật ngoại lai.</x:v>
      </x:c>
      <x:c r="O302" s="14" t="str">
        <x:v>Thông báo ban đầu ngay khi có thể; gửi MOR đến Cục HKVN trong vòng 24 giờ; điều tra/xác minh nội bộ, phân loại, xác định nguyên nhân và biện pháp khắc phục/phòng ngừa theo Điều 19, 21.</x:v>
      </x:c>
      <x:c r="P302" s="14" t="str"/>
      <x:c r="Q302" s="14" t="str"/>
      <x:c r="R302" s="14" t="str"/>
      <x:c r="S302" s="14" t="str">
        <x:v>Ban An toàn - Chất lượng</x:v>
      </x:c>
      <x:c r="T302" s="14" t="str">
        <x:v>Các Công ty Quản lý bay khu vực Bắc/Trung/Nam; Ban An toàn - Chất lượng</x:v>
      </x:c>
      <x:c r="U302" s="14" t="str"/>
      <x:c r="V302" s="14" t="str">
        <x:v>24 giờ</x:v>
      </x:c>
      <x:c r="W302" s="14" t="str">
        <x:v>P2</x:v>
      </x:c>
      <x:c r="X302" s="14" t="str"/>
      <x:c r="Y302" s="14" t="str">
        <x:v>Chưa bắt đầu</x:v>
      </x:c>
      <x:c r="Z302" s="14" t="str"/>
      <x:c r="AA302" s="14" t="str">
        <x:v>https://datafiles.chinhphu.vn/cpp/files/vbpq/2026/5/18-bxd.pdf</x:v>
      </x:c>
      <x:c r="AB302" s="14" t="str">
        <x:v>sms; an toan; mor</x:v>
      </x:c>
    </x:row>
    <x:row r="303">
      <x:c r="A303" s="14" t="str">
        <x:v>VATM-0302</x:v>
      </x:c>
      <x:c r="B303" s="14" t="str">
        <x:v>I.5.7</x:v>
      </x:c>
      <x:c r="C303" s="14" t="str">
        <x:v>Thông tư 18/2026/TT-BXD - Chương trình an toàn HKDD</x:v>
      </x:c>
      <x:c r="D303" s="14" t="str">
        <x:v>Tong_hop_nhiem_vu_TT18_2026_TT_BXD_VATM_ANSP.xlsx</x:v>
      </x:c>
      <x:c r="E303" s="14" t="str">
        <x:v>05_MOR_PL_III</x:v>
      </x:c>
      <x:c r="F303" s="56" t="n">
        <x:v>53</x:v>
      </x:c>
      <x:c r="G303" s="14" t="str">
        <x:v>Phụ lục III Phần I Chương I Mục 5</x:v>
      </x:c>
      <x:c r="H303" s="14" t="str">
        <x:v>An toàn hàng không / SMS</x:v>
      </x:c>
      <x:c r="I303" s="14" t="str">
        <x:v>Báo cáo MOR, sự cố và điều tra</x:v>
      </x:c>
      <x:c r="J303" s="14" t="str">
        <x:v>Người khai thác tàu bay</x:v>
      </x:c>
      <x:c r="K303" s="14" t="str">
        <x:v>Phối hợp/Gián tiếp</x:v>
      </x:c>
      <x:c r="L303" s="14" t="str">
        <x:v>Báo cáo/điều tra/khắc phục</x:v>
      </x:c>
      <x:c r="M303" s="14" t="str"/>
      <x:c r="N303" s="14" t="str">
        <x:v>Điều kiện bề mặt đường cất hạ cánh không bảo đảm như công bố dẫn đến ảnh hưởng tính năng tàu bay khi cất/hạ cánh.</x:v>
      </x:c>
      <x:c r="O303" s="14" t="str">
        <x:v>Thông báo ban đầu ngay khi có thể; gửi MOR đến Cục HKVN trong vòng 24 giờ; điều tra/xác minh nội bộ, phân loại, xác định nguyên nhân và biện pháp khắc phục/phòng ngừa theo Điều 19, 21.</x:v>
      </x:c>
      <x:c r="P303" s="14" t="str"/>
      <x:c r="Q303" s="14" t="str"/>
      <x:c r="R303" s="14" t="str"/>
      <x:c r="S303" s="14" t="str">
        <x:v>Ban An toàn - Chất lượng</x:v>
      </x:c>
      <x:c r="T303" s="14" t="str">
        <x:v>Các Công ty Quản lý bay khu vực Bắc/Trung/Nam; Ban An toàn - Chất lượng</x:v>
      </x:c>
      <x:c r="U303" s="14" t="str"/>
      <x:c r="V303" s="14" t="str">
        <x:v>24 giờ</x:v>
      </x:c>
      <x:c r="W303" s="14" t="str">
        <x:v>P2</x:v>
      </x:c>
      <x:c r="X303" s="14" t="str"/>
      <x:c r="Y303" s="14" t="str">
        <x:v>Chưa bắt đầu</x:v>
      </x:c>
      <x:c r="Z303" s="14" t="str"/>
      <x:c r="AA303" s="14" t="str">
        <x:v>https://datafiles.chinhphu.vn/cpp/files/vbpq/2026/5/18-bxd.pdf</x:v>
      </x:c>
      <x:c r="AB303" s="14" t="str">
        <x:v>sms; an toan; mor</x:v>
      </x:c>
    </x:row>
    <x:row r="304">
      <x:c r="A304" s="14" t="str">
        <x:v>VATM-0303</x:v>
      </x:c>
      <x:c r="B304" s="14" t="str">
        <x:v>I.5.8</x:v>
      </x:c>
      <x:c r="C304" s="14" t="str">
        <x:v>Thông tư 18/2026/TT-BXD - Chương trình an toàn HKDD</x:v>
      </x:c>
      <x:c r="D304" s="14" t="str">
        <x:v>Tong_hop_nhiem_vu_TT18_2026_TT_BXD_VATM_ANSP.xlsx</x:v>
      </x:c>
      <x:c r="E304" s="14" t="str">
        <x:v>05_MOR_PL_III</x:v>
      </x:c>
      <x:c r="F304" s="56" t="n">
        <x:v>54</x:v>
      </x:c>
      <x:c r="G304" s="14" t="str">
        <x:v>Phụ lục III Phần I Chương I Mục 5</x:v>
      </x:c>
      <x:c r="H304" s="14" t="str">
        <x:v>An toàn hàng không / SMS</x:v>
      </x:c>
      <x:c r="I304" s="14" t="str">
        <x:v>Báo cáo MOR, sự cố và điều tra</x:v>
      </x:c>
      <x:c r="J304" s="14" t="str">
        <x:v>Người khai thác tàu bay</x:v>
      </x:c>
      <x:c r="K304" s="14" t="str">
        <x:v>Phối hợp/Gián tiếp</x:v>
      </x:c>
      <x:c r="L304" s="14" t="str">
        <x:v>Báo cáo/điều tra/khắc phục</x:v>
      </x:c>
      <x:c r="M304" s="14" t="str"/>
      <x:c r="N304" s="14" t="str">
        <x:v>Bay vào khu vực nhiễu động ảnh hưởng khả năng duy trì mực bay/đường bay dự kiến hoặc có nguy cơ ảnh hưởng cấu trúc tàu bay.</x:v>
      </x:c>
      <x:c r="O304" s="14" t="str">
        <x:v>Thông báo ban đầu ngay khi có thể; gửi MOR đến Cục HKVN trong vòng 24 giờ; điều tra/xác minh nội bộ, phân loại, xác định nguyên nhân và biện pháp khắc phục/phòng ngừa theo Điều 19, 21.</x:v>
      </x:c>
      <x:c r="P304" s="14" t="str"/>
      <x:c r="Q304" s="14" t="str"/>
      <x:c r="R304" s="14" t="str"/>
      <x:c r="S304" s="14" t="str">
        <x:v>Ban An toàn - Chất lượng</x:v>
      </x:c>
      <x:c r="T304" s="14" t="str">
        <x:v>Các Công ty Quản lý bay khu vực Bắc/Trung/Nam; Ban An toàn - Chất lượng</x:v>
      </x:c>
      <x:c r="U304" s="14" t="str"/>
      <x:c r="V304" s="14" t="str">
        <x:v>24 giờ</x:v>
      </x:c>
      <x:c r="W304" s="14" t="str">
        <x:v>P2</x:v>
      </x:c>
      <x:c r="X304" s="14" t="str"/>
      <x:c r="Y304" s="14" t="str">
        <x:v>Chưa bắt đầu</x:v>
      </x:c>
      <x:c r="Z304" s="14" t="str"/>
      <x:c r="AA304" s="14" t="str">
        <x:v>https://datafiles.chinhphu.vn/cpp/files/vbpq/2026/5/18-bxd.pdf</x:v>
      </x:c>
      <x:c r="AB304" s="14" t="str">
        <x:v>sms; an toan; mor</x:v>
      </x:c>
    </x:row>
    <x:row r="305">
      <x:c r="A305" s="14" t="str">
        <x:v>VATM-0304</x:v>
      </x:c>
      <x:c r="B305" s="14" t="str">
        <x:v>I.5.9</x:v>
      </x:c>
      <x:c r="C305" s="14" t="str">
        <x:v>Thông tư 18/2026/TT-BXD - Chương trình an toàn HKDD</x:v>
      </x:c>
      <x:c r="D305" s="14" t="str">
        <x:v>Tong_hop_nhiem_vu_TT18_2026_TT_BXD_VATM_ANSP.xlsx</x:v>
      </x:c>
      <x:c r="E305" s="14" t="str">
        <x:v>05_MOR_PL_III</x:v>
      </x:c>
      <x:c r="F305" s="56" t="n">
        <x:v>55</x:v>
      </x:c>
      <x:c r="G305" s="14" t="str">
        <x:v>Phụ lục III Phần I Chương I Mục 5</x:v>
      </x:c>
      <x:c r="H305" s="14" t="str">
        <x:v>An toàn hàng không / SMS</x:v>
      </x:c>
      <x:c r="I305" s="14" t="str">
        <x:v>Báo cáo MOR, sự cố và điều tra</x:v>
      </x:c>
      <x:c r="J305" s="14" t="str">
        <x:v>Người khai thác tàu bay</x:v>
      </x:c>
      <x:c r="K305" s="14" t="str">
        <x:v>Phối hợp/Gián tiếp</x:v>
      </x:c>
      <x:c r="L305" s="14" t="str">
        <x:v>Báo cáo/điều tra/khắc phục</x:v>
      </x:c>
      <x:c r="M305" s="14" t="str"/>
      <x:c r="N305" s="14" t="str">
        <x:v>Quỹ đạo hoặc an toàn bay của tàu bay bị ảnh hưởng bởi pháo hoa, diều bay, chiếu laser, đèn công suất cao.</x:v>
      </x:c>
      <x:c r="O305" s="14" t="str">
        <x:v>Thông báo ban đầu ngay khi có thể; gửi MOR đến Cục HKVN trong vòng 24 giờ; điều tra/xác minh nội bộ, phân loại, xác định nguyên nhân và biện pháp khắc phục/phòng ngừa theo Điều 19, 21.</x:v>
      </x:c>
      <x:c r="P305" s="14" t="str"/>
      <x:c r="Q305" s="14" t="str"/>
      <x:c r="R305" s="14" t="str"/>
      <x:c r="S305" s="14" t="str">
        <x:v>Ban An toàn - Chất lượng</x:v>
      </x:c>
      <x:c r="T305" s="14" t="str">
        <x:v>Các Công ty Quản lý bay khu vực Bắc/Trung/Nam; Ban An toàn - Chất lượng</x:v>
      </x:c>
      <x:c r="U305" s="14" t="str"/>
      <x:c r="V305" s="14" t="str">
        <x:v>24 giờ</x:v>
      </x:c>
      <x:c r="W305" s="14" t="str">
        <x:v>P2</x:v>
      </x:c>
      <x:c r="X305" s="14" t="str"/>
      <x:c r="Y305" s="14" t="str">
        <x:v>Chưa bắt đầu</x:v>
      </x:c>
      <x:c r="Z305" s="14" t="str"/>
      <x:c r="AA305" s="14" t="str">
        <x:v>https://datafiles.chinhphu.vn/cpp/files/vbpq/2026/5/18-bxd.pdf</x:v>
      </x:c>
      <x:c r="AB305" s="14" t="str">
        <x:v>sms; an toan; mor</x:v>
      </x:c>
    </x:row>
    <x:row r="306">
      <x:c r="A306" s="14" t="str">
        <x:v>VATM-0305</x:v>
      </x:c>
      <x:c r="B306" s="14" t="str">
        <x:v>I.5.10</x:v>
      </x:c>
      <x:c r="C306" s="14" t="str">
        <x:v>Thông tư 18/2026/TT-BXD - Chương trình an toàn HKDD</x:v>
      </x:c>
      <x:c r="D306" s="14" t="str">
        <x:v>Tong_hop_nhiem_vu_TT18_2026_TT_BXD_VATM_ANSP.xlsx</x:v>
      </x:c>
      <x:c r="E306" s="14" t="str">
        <x:v>05_MOR_PL_III</x:v>
      </x:c>
      <x:c r="F306" s="56" t="n">
        <x:v>56</x:v>
      </x:c>
      <x:c r="G306" s="14" t="str">
        <x:v>Phụ lục III Phần I Chương I Mục 5</x:v>
      </x:c>
      <x:c r="H306" s="14" t="str">
        <x:v>An toàn hàng không / SMS</x:v>
      </x:c>
      <x:c r="I306" s="14" t="str">
        <x:v>Báo cáo MOR, sự cố và điều tra</x:v>
      </x:c>
      <x:c r="J306" s="14" t="str">
        <x:v>Người khai thác tàu bay</x:v>
      </x:c>
      <x:c r="K306" s="14" t="str">
        <x:v>Phối hợp/Gián tiếp</x:v>
      </x:c>
      <x:c r="L306" s="14" t="str">
        <x:v>Báo cáo/điều tra/khắc phục</x:v>
      </x:c>
      <x:c r="M306" s="14" t="str"/>
      <x:c r="N306" s="14" t="str">
        <x:v>Bị sét đánh dẫn đến hư hỏng tàu bay hoặc hệ thống tàu bay.</x:v>
      </x:c>
      <x:c r="O306" s="14" t="str">
        <x:v>Thông báo ban đầu ngay khi có thể; gửi MOR đến Cục HKVN trong vòng 24 giờ; điều tra/xác minh nội bộ, phân loại, xác định nguyên nhân và biện pháp khắc phục/phòng ngừa theo Điều 19, 21.</x:v>
      </x:c>
      <x:c r="P306" s="14" t="str"/>
      <x:c r="Q306" s="14" t="str"/>
      <x:c r="R306" s="14" t="str"/>
      <x:c r="S306" s="14" t="str">
        <x:v>Ban An toàn - Chất lượng</x:v>
      </x:c>
      <x:c r="T306" s="14" t="str">
        <x:v>Các Công ty Quản lý bay khu vực Bắc/Trung/Nam; Ban An toàn - Chất lượng</x:v>
      </x:c>
      <x:c r="U306" s="14" t="str"/>
      <x:c r="V306" s="14" t="str">
        <x:v>24 giờ</x:v>
      </x:c>
      <x:c r="W306" s="14" t="str">
        <x:v>P2</x:v>
      </x:c>
      <x:c r="X306" s="14" t="str"/>
      <x:c r="Y306" s="14" t="str">
        <x:v>Chưa bắt đầu</x:v>
      </x:c>
      <x:c r="Z306" s="14" t="str"/>
      <x:c r="AA306" s="14" t="str">
        <x:v>https://datafiles.chinhphu.vn/cpp/files/vbpq/2026/5/18-bxd.pdf</x:v>
      </x:c>
      <x:c r="AB306" s="14" t="str">
        <x:v>sms; an toan; mor</x:v>
      </x:c>
    </x:row>
    <x:row r="307">
      <x:c r="A307" s="14" t="str">
        <x:v>VATM-0306</x:v>
      </x:c>
      <x:c r="B307" s="14" t="str">
        <x:v>I.5.11</x:v>
      </x:c>
      <x:c r="C307" s="14" t="str">
        <x:v>Thông tư 18/2026/TT-BXD - Chương trình an toàn HKDD</x:v>
      </x:c>
      <x:c r="D307" s="14" t="str">
        <x:v>Tong_hop_nhiem_vu_TT18_2026_TT_BXD_VATM_ANSP.xlsx</x:v>
      </x:c>
      <x:c r="E307" s="14" t="str">
        <x:v>05_MOR_PL_III</x:v>
      </x:c>
      <x:c r="F307" s="56" t="n">
        <x:v>57</x:v>
      </x:c>
      <x:c r="G307" s="14" t="str">
        <x:v>Phụ lục III Phần I Chương I Mục 5</x:v>
      </x:c>
      <x:c r="H307" s="14" t="str">
        <x:v>An toàn hàng không / SMS</x:v>
      </x:c>
      <x:c r="I307" s="14" t="str">
        <x:v>Báo cáo MOR, sự cố và điều tra</x:v>
      </x:c>
      <x:c r="J307" s="14" t="str">
        <x:v>Người khai thác tàu bay</x:v>
      </x:c>
      <x:c r="K307" s="14" t="str">
        <x:v>Phối hợp/Gián tiếp</x:v>
      </x:c>
      <x:c r="L307" s="14" t="str">
        <x:v>Báo cáo/điều tra/khắc phục</x:v>
      </x:c>
      <x:c r="M307" s="14" t="str"/>
      <x:c r="N307" s="14" t="str">
        <x:v>Gặp mưa đá dẫn đến hư hỏng tàu bay hoặc hệ thống tàu bay.</x:v>
      </x:c>
      <x:c r="O307" s="14" t="str">
        <x:v>Thông báo ban đầu ngay khi có thể; gửi MOR đến Cục HKVN trong vòng 24 giờ; điều tra/xác minh nội bộ, phân loại, xác định nguyên nhân và biện pháp khắc phục/phòng ngừa theo Điều 19, 21.</x:v>
      </x:c>
      <x:c r="P307" s="14" t="str"/>
      <x:c r="Q307" s="14" t="str"/>
      <x:c r="R307" s="14" t="str"/>
      <x:c r="S307" s="14" t="str">
        <x:v>Ban An toàn - Chất lượng</x:v>
      </x:c>
      <x:c r="T307" s="14" t="str">
        <x:v>Các Công ty Quản lý bay khu vực Bắc/Trung/Nam; Ban An toàn - Chất lượng</x:v>
      </x:c>
      <x:c r="U307" s="14" t="str"/>
      <x:c r="V307" s="14" t="str">
        <x:v>24 giờ</x:v>
      </x:c>
      <x:c r="W307" s="14" t="str">
        <x:v>P2</x:v>
      </x:c>
      <x:c r="X307" s="14" t="str"/>
      <x:c r="Y307" s="14" t="str">
        <x:v>Chưa bắt đầu</x:v>
      </x:c>
      <x:c r="Z307" s="14" t="str"/>
      <x:c r="AA307" s="14" t="str">
        <x:v>https://datafiles.chinhphu.vn/cpp/files/vbpq/2026/5/18-bxd.pdf</x:v>
      </x:c>
      <x:c r="AB307" s="14" t="str">
        <x:v>sms; an toan; mor</x:v>
      </x:c>
    </x:row>
    <x:row r="308">
      <x:c r="A308" s="14" t="str">
        <x:v>VATM-0307</x:v>
      </x:c>
      <x:c r="B308" s="14" t="str">
        <x:v>I.5.12</x:v>
      </x:c>
      <x:c r="C308" s="14" t="str">
        <x:v>Thông tư 18/2026/TT-BXD - Chương trình an toàn HKDD</x:v>
      </x:c>
      <x:c r="D308" s="14" t="str">
        <x:v>Tong_hop_nhiem_vu_TT18_2026_TT_BXD_VATM_ANSP.xlsx</x:v>
      </x:c>
      <x:c r="E308" s="14" t="str">
        <x:v>05_MOR_PL_III</x:v>
      </x:c>
      <x:c r="F308" s="56" t="n">
        <x:v>58</x:v>
      </x:c>
      <x:c r="G308" s="14" t="str">
        <x:v>Phụ lục III Phần I Chương I Mục 5</x:v>
      </x:c>
      <x:c r="H308" s="14" t="str">
        <x:v>An toàn hàng không / SMS</x:v>
      </x:c>
      <x:c r="I308" s="14" t="str">
        <x:v>Báo cáo MOR, sự cố và điều tra</x:v>
      </x:c>
      <x:c r="J308" s="14" t="str">
        <x:v>Người khai thác tàu bay</x:v>
      </x:c>
      <x:c r="K308" s="14" t="str">
        <x:v>Phối hợp/Gián tiếp</x:v>
      </x:c>
      <x:c r="L308" s="14" t="str">
        <x:v>Báo cáo/điều tra/khắc phục</x:v>
      </x:c>
      <x:c r="M308" s="14" t="str"/>
      <x:c r="N308" s="14" t="str">
        <x:v>Bay vào khu vực có gió đứt hoặc có cảnh báo gió đứt khi cất/hạ cánh.</x:v>
      </x:c>
      <x:c r="O308" s="14" t="str">
        <x:v>Thông báo ban đầu ngay khi có thể; gửi MOR đến Cục HKVN trong vòng 24 giờ; điều tra/xác minh nội bộ, phân loại, xác định nguyên nhân và biện pháp khắc phục/phòng ngừa theo Điều 19, 21.</x:v>
      </x:c>
      <x:c r="P308" s="14" t="str"/>
      <x:c r="Q308" s="14" t="str"/>
      <x:c r="R308" s="14" t="str"/>
      <x:c r="S308" s="14" t="str">
        <x:v>Ban An toàn - Chất lượng</x:v>
      </x:c>
      <x:c r="T308" s="14" t="str">
        <x:v>Các Công ty Quản lý bay khu vực Bắc/Trung/Nam; Ban An toàn - Chất lượng</x:v>
      </x:c>
      <x:c r="U308" s="14" t="str"/>
      <x:c r="V308" s="14" t="str">
        <x:v>24 giờ</x:v>
      </x:c>
      <x:c r="W308" s="14" t="str">
        <x:v>P2</x:v>
      </x:c>
      <x:c r="X308" s="14" t="str"/>
      <x:c r="Y308" s="14" t="str">
        <x:v>Chưa bắt đầu</x:v>
      </x:c>
      <x:c r="Z308" s="14" t="str"/>
      <x:c r="AA308" s="14" t="str">
        <x:v>https://datafiles.chinhphu.vn/cpp/files/vbpq/2026/5/18-bxd.pdf</x:v>
      </x:c>
      <x:c r="AB308" s="14" t="str">
        <x:v>sms; an toan; mor</x:v>
      </x:c>
    </x:row>
    <x:row r="309">
      <x:c r="A309" s="14" t="str">
        <x:v>VATM-0308</x:v>
      </x:c>
      <x:c r="B309" s="14" t="str">
        <x:v>I.5.13</x:v>
      </x:c>
      <x:c r="C309" s="14" t="str">
        <x:v>Thông tư 18/2026/TT-BXD - Chương trình an toàn HKDD</x:v>
      </x:c>
      <x:c r="D309" s="14" t="str">
        <x:v>Tong_hop_nhiem_vu_TT18_2026_TT_BXD_VATM_ANSP.xlsx</x:v>
      </x:c>
      <x:c r="E309" s="14" t="str">
        <x:v>05_MOR_PL_III</x:v>
      </x:c>
      <x:c r="F309" s="56" t="n">
        <x:v>59</x:v>
      </x:c>
      <x:c r="G309" s="14" t="str">
        <x:v>Phụ lục III Phần I Chương I Mục 5</x:v>
      </x:c>
      <x:c r="H309" s="14" t="str">
        <x:v>An toàn hàng không / SMS</x:v>
      </x:c>
      <x:c r="I309" s="14" t="str">
        <x:v>Báo cáo MOR, sự cố và điều tra</x:v>
      </x:c>
      <x:c r="J309" s="14" t="str">
        <x:v>Người khai thác tàu bay</x:v>
      </x:c>
      <x:c r="K309" s="14" t="str">
        <x:v>Phối hợp/Gián tiếp</x:v>
      </x:c>
      <x:c r="L309" s="14" t="str">
        <x:v>Báo cáo/điều tra/khắc phục</x:v>
      </x:c>
      <x:c r="M309" s="14" t="str"/>
      <x:c r="N309" s="14" t="str">
        <x:v>Bay vào khu vực có băng ảnh hưởng đến khả năng điều khiển, gây hư hỏng tàu bay hoặc hệ thống tàu bay.</x:v>
      </x:c>
      <x:c r="O309" s="14" t="str">
        <x:v>Thông báo ban đầu ngay khi có thể; gửi MOR đến Cục HKVN trong vòng 24 giờ; điều tra/xác minh nội bộ, phân loại, xác định nguyên nhân và biện pháp khắc phục/phòng ngừa theo Điều 19, 21.</x:v>
      </x:c>
      <x:c r="P309" s="14" t="str"/>
      <x:c r="Q309" s="14" t="str"/>
      <x:c r="R309" s="14" t="str"/>
      <x:c r="S309" s="14" t="str">
        <x:v>Ban An toàn - Chất lượng</x:v>
      </x:c>
      <x:c r="T309" s="14" t="str">
        <x:v>Các Công ty Quản lý bay khu vực Bắc/Trung/Nam; Ban An toàn - Chất lượng</x:v>
      </x:c>
      <x:c r="U309" s="14" t="str"/>
      <x:c r="V309" s="14" t="str">
        <x:v>24 giờ</x:v>
      </x:c>
      <x:c r="W309" s="14" t="str">
        <x:v>P2</x:v>
      </x:c>
      <x:c r="X309" s="14" t="str"/>
      <x:c r="Y309" s="14" t="str">
        <x:v>Chưa bắt đầu</x:v>
      </x:c>
      <x:c r="Z309" s="14" t="str"/>
      <x:c r="AA309" s="14" t="str">
        <x:v>https://datafiles.chinhphu.vn/cpp/files/vbpq/2026/5/18-bxd.pdf</x:v>
      </x:c>
      <x:c r="AB309" s="14" t="str">
        <x:v>sms; an toan; mor</x:v>
      </x:c>
    </x:row>
    <x:row r="310">
      <x:c r="A310" s="14" t="str">
        <x:v>VATM-0309</x:v>
      </x:c>
      <x:c r="B310" s="14" t="str">
        <x:v>I.5.14</x:v>
      </x:c>
      <x:c r="C310" s="14" t="str">
        <x:v>Thông tư 18/2026/TT-BXD - Chương trình an toàn HKDD</x:v>
      </x:c>
      <x:c r="D310" s="14" t="str">
        <x:v>Tong_hop_nhiem_vu_TT18_2026_TT_BXD_VATM_ANSP.xlsx</x:v>
      </x:c>
      <x:c r="E310" s="14" t="str">
        <x:v>05_MOR_PL_III</x:v>
      </x:c>
      <x:c r="F310" s="56" t="n">
        <x:v>60</x:v>
      </x:c>
      <x:c r="G310" s="14" t="str">
        <x:v>Phụ lục III Phần I Chương I Mục 5</x:v>
      </x:c>
      <x:c r="H310" s="14" t="str">
        <x:v>An toàn hàng không / SMS</x:v>
      </x:c>
      <x:c r="I310" s="14" t="str">
        <x:v>Báo cáo MOR, sự cố và điều tra</x:v>
      </x:c>
      <x:c r="J310" s="14" t="str">
        <x:v>Người khai thác tàu bay</x:v>
      </x:c>
      <x:c r="K310" s="14" t="str">
        <x:v>Phối hợp/Gián tiếp</x:v>
      </x:c>
      <x:c r="L310" s="14" t="str">
        <x:v>Báo cáo/điều tra/khắc phục</x:v>
      </x:c>
      <x:c r="M310" s="14" t="str"/>
      <x:c r="N310" s="14" t="str">
        <x:v>Bay vào khu vực có cảnh báo tro núi lửa.</x:v>
      </x:c>
      <x:c r="O310" s="14" t="str">
        <x:v>Thông báo ban đầu ngay khi có thể; gửi MOR đến Cục HKVN trong vòng 24 giờ; điều tra/xác minh nội bộ, phân loại, xác định nguyên nhân và biện pháp khắc phục/phòng ngừa theo Điều 19, 21.</x:v>
      </x:c>
      <x:c r="P310" s="14" t="str"/>
      <x:c r="Q310" s="14" t="str"/>
      <x:c r="R310" s="14" t="str"/>
      <x:c r="S310" s="14" t="str">
        <x:v>Ban An toàn - Chất lượng</x:v>
      </x:c>
      <x:c r="T310" s="14" t="str">
        <x:v>Các Công ty Quản lý bay khu vực Bắc/Trung/Nam; Ban An toàn - Chất lượng</x:v>
      </x:c>
      <x:c r="U310" s="14" t="str"/>
      <x:c r="V310" s="14" t="str">
        <x:v>24 giờ</x:v>
      </x:c>
      <x:c r="W310" s="14" t="str">
        <x:v>P2</x:v>
      </x:c>
      <x:c r="X310" s="14" t="str"/>
      <x:c r="Y310" s="14" t="str">
        <x:v>Chưa bắt đầu</x:v>
      </x:c>
      <x:c r="Z310" s="14" t="str"/>
      <x:c r="AA310" s="14" t="str">
        <x:v>https://datafiles.chinhphu.vn/cpp/files/vbpq/2026/5/18-bxd.pdf</x:v>
      </x:c>
      <x:c r="AB310" s="14" t="str">
        <x:v>sms; an toan; mor</x:v>
      </x:c>
    </x:row>
    <x:row r="311">
      <x:c r="A311" s="14" t="str">
        <x:v>VATM-0310</x:v>
      </x:c>
      <x:c r="B311" s="14" t="str">
        <x:v>I.6.1</x:v>
      </x:c>
      <x:c r="C311" s="14" t="str">
        <x:v>Thông tư 18/2026/TT-BXD - Chương trình an toàn HKDD</x:v>
      </x:c>
      <x:c r="D311" s="14" t="str">
        <x:v>Tong_hop_nhiem_vu_TT18_2026_TT_BXD_VATM_ANSP.xlsx</x:v>
      </x:c>
      <x:c r="E311" s="14" t="str">
        <x:v>05_MOR_PL_III</x:v>
      </x:c>
      <x:c r="F311" s="56" t="n">
        <x:v>61</x:v>
      </x:c>
      <x:c r="G311" s="14" t="str">
        <x:v>Phụ lục III Phần I Chương I Mục 6</x:v>
      </x:c>
      <x:c r="H311" s="14" t="str">
        <x:v>An toàn hàng không / SMS</x:v>
      </x:c>
      <x:c r="I311" s="14" t="str">
        <x:v>Báo cáo MOR, sự cố và điều tra</x:v>
      </x:c>
      <x:c r="J311" s="14" t="str">
        <x:v>Người khai thác tàu bay</x:v>
      </x:c>
      <x:c r="K311" s="14" t="str">
        <x:v>Phối hợp/Gián tiếp</x:v>
      </x:c>
      <x:c r="L311" s="14" t="str">
        <x:v>Báo cáo/điều tra/khắc phục</x:v>
      </x:c>
      <x:c r="M311" s="14" t="str"/>
      <x:c r="N311" s="14" t="str">
        <x:v>Các hành vi can thiệp bất hợp pháp vào khai thác tàu bay.</x:v>
      </x:c>
      <x:c r="O311" s="14" t="str">
        <x:v>Thông báo ban đầu ngay khi có thể; gửi MOR đến Cục HKVN trong vòng 24 giờ; điều tra/xác minh nội bộ, phân loại, xác định nguyên nhân và biện pháp khắc phục/phòng ngừa theo Điều 19, 21.</x:v>
      </x:c>
      <x:c r="P311" s="14" t="str"/>
      <x:c r="Q311" s="14" t="str"/>
      <x:c r="R311" s="14" t="str"/>
      <x:c r="S311" s="14" t="str">
        <x:v>Ban An toàn - Chất lượng</x:v>
      </x:c>
      <x:c r="T311" s="14" t="str">
        <x:v>Các Công ty Quản lý bay khu vực Bắc/Trung/Nam; Ban An toàn - Chất lượng</x:v>
      </x:c>
      <x:c r="U311" s="14" t="str"/>
      <x:c r="V311" s="14" t="str">
        <x:v>24 giờ</x:v>
      </x:c>
      <x:c r="W311" s="14" t="str">
        <x:v>P2</x:v>
      </x:c>
      <x:c r="X311" s="14" t="str"/>
      <x:c r="Y311" s="14" t="str">
        <x:v>Chưa bắt đầu</x:v>
      </x:c>
      <x:c r="Z311" s="14" t="str"/>
      <x:c r="AA311" s="14" t="str">
        <x:v>https://datafiles.chinhphu.vn/cpp/files/vbpq/2026/5/18-bxd.pdf</x:v>
      </x:c>
      <x:c r="AB311" s="14" t="str">
        <x:v>sms; an toan; mor</x:v>
      </x:c>
    </x:row>
    <x:row r="312">
      <x:c r="A312" s="14" t="str">
        <x:v>VATM-0311</x:v>
      </x:c>
      <x:c r="B312" s="14" t="str">
        <x:v>I.6.5</x:v>
      </x:c>
      <x:c r="C312" s="14" t="str">
        <x:v>Thông tư 18/2026/TT-BXD - Chương trình an toàn HKDD</x:v>
      </x:c>
      <x:c r="D312" s="14" t="str">
        <x:v>Tong_hop_nhiem_vu_TT18_2026_TT_BXD_VATM_ANSP.xlsx</x:v>
      </x:c>
      <x:c r="E312" s="14" t="str">
        <x:v>05_MOR_PL_III</x:v>
      </x:c>
      <x:c r="F312" s="56" t="n">
        <x:v>65</x:v>
      </x:c>
      <x:c r="G312" s="14" t="str">
        <x:v>Phụ lục III Phần I Chương I Mục 6</x:v>
      </x:c>
      <x:c r="H312" s="14" t="str">
        <x:v>An toàn hàng không / SMS</x:v>
      </x:c>
      <x:c r="I312" s="14" t="str">
        <x:v>Báo cáo MOR, sự cố và điều tra</x:v>
      </x:c>
      <x:c r="J312" s="14" t="str">
        <x:v>Người khai thác tàu bay</x:v>
      </x:c>
      <x:c r="K312" s="14" t="str">
        <x:v>Phối hợp/Gián tiếp</x:v>
      </x:c>
      <x:c r="L312" s="14" t="str">
        <x:v>Báo cáo/điều tra/khắc phục</x:v>
      </x:c>
      <x:c r="M312" s="14" t="str"/>
      <x:c r="N312" s="14" t="str">
        <x:v>Phát hiện đồ vật bất hợp pháp trên tàu bay có nguy cơ uy hiếp an ninh, an toàn hàng không.</x:v>
      </x:c>
      <x:c r="O312" s="14" t="str">
        <x:v>Thông báo ban đầu ngay khi có thể; gửi MOR đến Cục HKVN trong vòng 24 giờ; điều tra/xác minh nội bộ, phân loại, xác định nguyên nhân và biện pháp khắc phục/phòng ngừa theo Điều 19, 21.</x:v>
      </x:c>
      <x:c r="P312" s="14" t="str"/>
      <x:c r="Q312" s="14" t="str"/>
      <x:c r="R312" s="14" t="str"/>
      <x:c r="S312" s="14" t="str">
        <x:v>Ban An toàn - Chất lượng</x:v>
      </x:c>
      <x:c r="T312" s="14" t="str">
        <x:v>Các Công ty Quản lý bay khu vực Bắc/Trung/Nam; Ban An toàn - Chất lượng</x:v>
      </x:c>
      <x:c r="U312" s="14" t="str"/>
      <x:c r="V312" s="14" t="str">
        <x:v>24 giờ</x:v>
      </x:c>
      <x:c r="W312" s="14" t="str">
        <x:v>P2</x:v>
      </x:c>
      <x:c r="X312" s="14" t="str"/>
      <x:c r="Y312" s="14" t="str">
        <x:v>Chưa bắt đầu</x:v>
      </x:c>
      <x:c r="Z312" s="14" t="str"/>
      <x:c r="AA312" s="14" t="str">
        <x:v>https://datafiles.chinhphu.vn/cpp/files/vbpq/2026/5/18-bxd.pdf</x:v>
      </x:c>
      <x:c r="AB312" s="14" t="str">
        <x:v>sms; an toan; mor; an ninh</x:v>
      </x:c>
    </x:row>
    <x:row r="313">
      <x:c r="A313" s="14" t="str">
        <x:v>VATM-0312</x:v>
      </x:c>
      <x:c r="B313" s="14" t="str">
        <x:v>II.3.5</x:v>
      </x:c>
      <x:c r="C313" s="14" t="str">
        <x:v>Thông tư 18/2026/TT-BXD - Chương trình an toàn HKDD</x:v>
      </x:c>
      <x:c r="D313" s="14" t="str">
        <x:v>Tong_hop_nhiem_vu_TT18_2026_TT_BXD_VATM_ANSP.xlsx</x:v>
      </x:c>
      <x:c r="E313" s="14" t="str">
        <x:v>05_MOR_PL_III</x:v>
      </x:c>
      <x:c r="F313" s="56" t="n">
        <x:v>72</x:v>
      </x:c>
      <x:c r="G313" s="14" t="str">
        <x:v>Phụ lục III Phần I Chương II Mục 3</x:v>
      </x:c>
      <x:c r="H313" s="14" t="str">
        <x:v>An toàn hàng không / SMS</x:v>
      </x:c>
      <x:c r="I313" s="14" t="str">
        <x:v>Báo cáo MOR, sự cố và điều tra</x:v>
      </x:c>
      <x:c r="J313" s="14" t="str">
        <x:v>Tổ chức thiết kế, sản xuất, bảo dưỡng tàu bay và thiết bị tàu bay</x:v>
      </x:c>
      <x:c r="K313" s="14" t="str">
        <x:v>Phối hợp/Gián tiếp</x:v>
      </x:c>
      <x:c r="L313" s="14" t="str">
        <x:v>Báo cáo/điều tra/khắc phục</x:v>
      </x:c>
      <x:c r="M313" s="14" t="str"/>
      <x:c r="N313" s="14" t="str">
        <x:v>Trục trặc, hư hại hệ thống hoặc thiết bị trọng yếu đối với an toàn bay hoặc hư hỏng thiết bị khẩn nguy trang bị trên tàu bay.</x:v>
      </x:c>
      <x:c r="O313" s="14" t="str">
        <x:v>Thông báo ban đầu ngay khi có thể; gửi MOR đến Cục HKVN trong vòng 24 giờ; điều tra/xác minh nội bộ, phân loại, xác định nguyên nhân và biện pháp khắc phục/phòng ngừa theo Điều 19, 21.</x:v>
      </x:c>
      <x:c r="P313" s="14" t="str"/>
      <x:c r="Q313" s="14" t="str"/>
      <x:c r="R313" s="14" t="str"/>
      <x:c r="S313" s="14" t="str">
        <x:v>Ban An toàn - Chất lượng</x:v>
      </x:c>
      <x:c r="T313" s="14" t="str">
        <x:v>Các Công ty Quản lý bay khu vực Bắc/Trung/Nam; Ban An toàn - Chất lượng</x:v>
      </x:c>
      <x:c r="U313" s="14" t="str"/>
      <x:c r="V313" s="14" t="str">
        <x:v>24 giờ</x:v>
      </x:c>
      <x:c r="W313" s="14" t="str">
        <x:v>P2</x:v>
      </x:c>
      <x:c r="X313" s="14" t="str"/>
      <x:c r="Y313" s="14" t="str">
        <x:v>Chưa bắt đầu</x:v>
      </x:c>
      <x:c r="Z313" s="14" t="str"/>
      <x:c r="AA313" s="14" t="str">
        <x:v>https://datafiles.chinhphu.vn/cpp/files/vbpq/2026/5/18-bxd.pdf</x:v>
      </x:c>
      <x:c r="AB313" s="14" t="str">
        <x:v>sms; an toan; mor</x:v>
      </x:c>
    </x:row>
    <x:row r="314">
      <x:c r="A314" s="14" t="str">
        <x:v>VATM-0313</x:v>
      </x:c>
      <x:c r="B314" s="14" t="str">
        <x:v>II.3.15</x:v>
      </x:c>
      <x:c r="C314" s="14" t="str">
        <x:v>Thông tư 18/2026/TT-BXD - Chương trình an toàn HKDD</x:v>
      </x:c>
      <x:c r="D314" s="14" t="str">
        <x:v>Tong_hop_nhiem_vu_TT18_2026_TT_BXD_VATM_ANSP.xlsx</x:v>
      </x:c>
      <x:c r="E314" s="14" t="str">
        <x:v>05_MOR_PL_III</x:v>
      </x:c>
      <x:c r="F314" s="56" t="n">
        <x:v>82</x:v>
      </x:c>
      <x:c r="G314" s="14" t="str">
        <x:v>Phụ lục III Phần I Chương II Mục 3</x:v>
      </x:c>
      <x:c r="H314" s="14" t="str">
        <x:v>An toàn hàng không / SMS</x:v>
      </x:c>
      <x:c r="I314" s="14" t="str">
        <x:v>Báo cáo MOR, sự cố và điều tra</x:v>
      </x:c>
      <x:c r="J314" s="14" t="str">
        <x:v>Tổ chức thiết kế, sản xuất, bảo dưỡng tàu bay và thiết bị tàu bay</x:v>
      </x:c>
      <x:c r="K314" s="14" t="str">
        <x:v>Phối hợp/Gián tiếp</x:v>
      </x:c>
      <x:c r="L314" s="14" t="str">
        <x:v>Báo cáo/điều tra/khắc phục</x:v>
      </x:c>
      <x:c r="M314" s="14" t="str"/>
      <x:c r="N314" s="14" t="str">
        <x:v>Trục trặc đáng kể, vấn đề độ tin cậy hoặc lỗi chất lượng ghi lặp lại ảnh hưởng hệ thống ghi chuyến bay như FDR, hệ thống ghi dữ liệu liên kết hoặc CVR, hoặc thiếu thông tin cần thiết để bảo đảm khả năng khai thác hệ thống ghi chuyến bay.</x:v>
      </x:c>
      <x:c r="O314" s="14" t="str">
        <x:v>Thông báo ban đầu ngay khi có thể; gửi MOR đến Cục HKVN trong vòng 24 giờ; điều tra/xác minh nội bộ, phân loại, xác định nguyên nhân và biện pháp khắc phục/phòng ngừa theo Điều 19, 21.</x:v>
      </x:c>
      <x:c r="P314" s="14" t="str"/>
      <x:c r="Q314" s="14" t="str"/>
      <x:c r="R314" s="14" t="str"/>
      <x:c r="S314" s="14" t="str">
        <x:v>Ban An toàn - Chất lượng</x:v>
      </x:c>
      <x:c r="T314" s="14" t="str">
        <x:v>Các Công ty Quản lý bay khu vực Bắc/Trung/Nam; Ban An toàn - Chất lượng</x:v>
      </x:c>
      <x:c r="U314" s="14" t="str"/>
      <x:c r="V314" s="14" t="str">
        <x:v>24 giờ</x:v>
      </x:c>
      <x:c r="W314" s="14" t="str">
        <x:v>P2</x:v>
      </x:c>
      <x:c r="X314" s="14" t="str"/>
      <x:c r="Y314" s="14" t="str">
        <x:v>Chưa bắt đầu</x:v>
      </x:c>
      <x:c r="Z314" s="14" t="str"/>
      <x:c r="AA314" s="14" t="str">
        <x:v>https://datafiles.chinhphu.vn/cpp/files/vbpq/2026/5/18-bxd.pdf</x:v>
      </x:c>
      <x:c r="AB314" s="14" t="str">
        <x:v>sms; an toan; mor; du lieu</x:v>
      </x:c>
    </x:row>
    <x:row r="315">
      <x:c r="A315" s="14" t="str">
        <x:v>VATM-0314</x:v>
      </x:c>
      <x:c r="B315" s="14" t="str">
        <x:v>II.3.16</x:v>
      </x:c>
      <x:c r="C315" s="14" t="str">
        <x:v>Thông tư 18/2026/TT-BXD - Chương trình an toàn HKDD</x:v>
      </x:c>
      <x:c r="D315" s="14" t="str">
        <x:v>Tong_hop_nhiem_vu_TT18_2026_TT_BXD_VATM_ANSP.xlsx</x:v>
      </x:c>
      <x:c r="E315" s="14" t="str">
        <x:v>05_MOR_PL_III</x:v>
      </x:c>
      <x:c r="F315" s="56" t="n">
        <x:v>83</x:v>
      </x:c>
      <x:c r="G315" s="14" t="str">
        <x:v>Phụ lục III Phần I Chương II Mục 3</x:v>
      </x:c>
      <x:c r="H315" s="14" t="str">
        <x:v>An toàn hàng không / SMS</x:v>
      </x:c>
      <x:c r="I315" s="14" t="str">
        <x:v>Báo cáo MOR, sự cố và điều tra</x:v>
      </x:c>
      <x:c r="J315" s="14" t="str">
        <x:v>Tổ chức thiết kế, sản xuất, bảo dưỡng tàu bay và thiết bị tàu bay</x:v>
      </x:c>
      <x:c r="K315" s="14" t="str">
        <x:v>Phối hợp/Gián tiếp</x:v>
      </x:c>
      <x:c r="L315" s="14" t="str">
        <x:v>Báo cáo/điều tra/khắc phục</x:v>
      </x:c>
      <x:c r="M315" s="14" t="str"/>
      <x:c r="N315" s="14" t="str">
        <x:v>Nhân viên hàng không bị thương khi thực hiện nhiệm vụ.</x:v>
      </x:c>
      <x:c r="O315" s="14" t="str">
        <x:v>Thông báo ban đầu ngay khi có thể; gửi MOR đến Cục HKVN trong vòng 24 giờ; điều tra/xác minh nội bộ, phân loại, xác định nguyên nhân và biện pháp khắc phục/phòng ngừa theo Điều 19, 21.</x:v>
      </x:c>
      <x:c r="P315" s="14" t="str"/>
      <x:c r="Q315" s="14" t="str"/>
      <x:c r="R315" s="14" t="str"/>
      <x:c r="S315" s="14" t="str">
        <x:v>Ban An toàn - Chất lượng</x:v>
      </x:c>
      <x:c r="T315" s="14" t="str">
        <x:v>Các Công ty Quản lý bay khu vực Bắc/Trung/Nam; Ban An toàn - Chất lượng</x:v>
      </x:c>
      <x:c r="U315" s="14" t="str"/>
      <x:c r="V315" s="14" t="str">
        <x:v>24 giờ</x:v>
      </x:c>
      <x:c r="W315" s="14" t="str">
        <x:v>P2</x:v>
      </x:c>
      <x:c r="X315" s="14" t="str"/>
      <x:c r="Y315" s="14" t="str">
        <x:v>Chưa bắt đầu</x:v>
      </x:c>
      <x:c r="Z315" s="14" t="str"/>
      <x:c r="AA315" s="14" t="str">
        <x:v>https://datafiles.chinhphu.vn/cpp/files/vbpq/2026/5/18-bxd.pdf</x:v>
      </x:c>
      <x:c r="AB315" s="14" t="str">
        <x:v>sms; an toan; mor</x:v>
      </x:c>
    </x:row>
    <x:row r="316">
      <x:c r="A316" s="14" t="str">
        <x:v>VATM-0315</x:v>
      </x:c>
      <x:c r="B316" s="14" t="str">
        <x:v>III.1.1</x:v>
      </x:c>
      <x:c r="C316" s="14" t="str">
        <x:v>Thông tư 18/2026/TT-BXD - Chương trình an toàn HKDD</x:v>
      </x:c>
      <x:c r="D316" s="14" t="str">
        <x:v>Tong_hop_nhiem_vu_TT18_2026_TT_BXD_VATM_ANSP.xlsx</x:v>
      </x:c>
      <x:c r="E316" s="14" t="str">
        <x:v>05_MOR_PL_III</x:v>
      </x:c>
      <x:c r="F316" s="56" t="n">
        <x:v>84</x:v>
      </x:c>
      <x:c r="G316" s="14" t="str">
        <x:v>Phụ lục III Phần I Chương III Mục 1</x:v>
      </x:c>
      <x:c r="H316" s="14" t="str">
        <x:v>An toàn hàng không / SMS</x:v>
      </x:c>
      <x:c r="I316" s="14" t="str">
        <x:v>Báo cáo MOR, sự cố và điều tra</x:v>
      </x:c>
      <x:c r="J316" s="14" t="str">
        <x:v>Tổ chức/doanh nghiệp cung cấp dịch vụ bảo đảm hoạt động bay</x:v>
      </x:c>
      <x:c r="K316" s="14" t="str">
        <x:v>Trực tiếp</x:v>
      </x:c>
      <x:c r="L316" s="14" t="str">
        <x:v>Báo cáo/điều tra/khắc phục</x:v>
      </x:c>
      <x:c r="M316" s="14" t="str"/>
      <x:c r="N316" s="14" t="str">
        <x:v>Cảnh báo va chạm trên không.</x:v>
      </x:c>
      <x:c r="O316" s="14" t="str">
        <x:v>Thông báo ban đầu ngay khi có thể; gửi MOR đến Cục HKVN trong vòng 24 giờ; điều tra/xác minh nội bộ, phân loại, xác định nguyên nhân và biện pháp khắc phục/phòng ngừa theo Điều 19, 21.</x:v>
      </x:c>
      <x:c r="P316" s="14" t="str"/>
      <x:c r="Q316" s="14" t="str"/>
      <x:c r="R316" s="14" t="str"/>
      <x:c r="S316" s="14" t="str">
        <x:v>Ban An toàn - Chất lượng</x:v>
      </x:c>
      <x:c r="T316" s="14" t="str">
        <x:v>Các Công ty Quản lý bay khu vực Bắc/Trung/Nam; Ban An toàn - Chất lượng</x:v>
      </x:c>
      <x:c r="U316" s="14" t="str"/>
      <x:c r="V316" s="14" t="str">
        <x:v>24 giờ</x:v>
      </x:c>
      <x:c r="W316" s="14" t="str">
        <x:v>P2</x:v>
      </x:c>
      <x:c r="X316" s="14" t="str"/>
      <x:c r="Y316" s="14" t="str">
        <x:v>Chưa bắt đầu</x:v>
      </x:c>
      <x:c r="Z316" s="14" t="str"/>
      <x:c r="AA316" s="14" t="str">
        <x:v>https://datafiles.chinhphu.vn/cpp/files/vbpq/2026/5/18-bxd.pdf</x:v>
      </x:c>
      <x:c r="AB316" s="14" t="str">
        <x:v>sms; an toan; mor</x:v>
      </x:c>
    </x:row>
    <x:row r="317">
      <x:c r="A317" s="14" t="str">
        <x:v>VATM-0316</x:v>
      </x:c>
      <x:c r="B317" s="14" t="str">
        <x:v>III.1.2</x:v>
      </x:c>
      <x:c r="C317" s="14" t="str">
        <x:v>Thông tư 18/2026/TT-BXD - Chương trình an toàn HKDD</x:v>
      </x:c>
      <x:c r="D317" s="14" t="str">
        <x:v>Tong_hop_nhiem_vu_TT18_2026_TT_BXD_VATM_ANSP.xlsx</x:v>
      </x:c>
      <x:c r="E317" s="14" t="str">
        <x:v>05_MOR_PL_III</x:v>
      </x:c>
      <x:c r="F317" s="56" t="n">
        <x:v>85</x:v>
      </x:c>
      <x:c r="G317" s="14" t="str">
        <x:v>Phụ lục III Phần I Chương III Mục 1</x:v>
      </x:c>
      <x:c r="H317" s="14" t="str">
        <x:v>An toàn hàng không / SMS</x:v>
      </x:c>
      <x:c r="I317" s="14" t="str">
        <x:v>Báo cáo MOR, sự cố và điều tra</x:v>
      </x:c>
      <x:c r="J317" s="14" t="str">
        <x:v>Tổ chức/doanh nghiệp cung cấp dịch vụ bảo đảm hoạt động bay</x:v>
      </x:c>
      <x:c r="K317" s="14" t="str">
        <x:v>Trực tiếp</x:v>
      </x:c>
      <x:c r="L317" s="14" t="str">
        <x:v>Báo cáo/điều tra/khắc phục</x:v>
      </x:c>
      <x:c r="M317" s="14" t="str"/>
      <x:c r="N317" s="14" t="str">
        <x:v>Các tình huống dẫn đến tổ lái phải công bố tình trạng bất thường và khẩn nguy.</x:v>
      </x:c>
      <x:c r="O317" s="14" t="str">
        <x:v>Thông báo ban đầu ngay khi có thể; gửi MOR đến Cục HKVN trong vòng 24 giờ; điều tra/xác minh nội bộ, phân loại, xác định nguyên nhân và biện pháp khắc phục/phòng ngừa theo Điều 19, 21.</x:v>
      </x:c>
      <x:c r="P317" s="14" t="str"/>
      <x:c r="Q317" s="14" t="str"/>
      <x:c r="R317" s="14" t="str"/>
      <x:c r="S317" s="14" t="str">
        <x:v>Ban An toàn - Chất lượng</x:v>
      </x:c>
      <x:c r="T317" s="14" t="str">
        <x:v>Các Công ty Quản lý bay khu vực Bắc/Trung/Nam; Ban An toàn - Chất lượng</x:v>
      </x:c>
      <x:c r="U317" s="14" t="str"/>
      <x:c r="V317" s="14" t="str">
        <x:v>24 giờ</x:v>
      </x:c>
      <x:c r="W317" s="14" t="str">
        <x:v>P2</x:v>
      </x:c>
      <x:c r="X317" s="14" t="str"/>
      <x:c r="Y317" s="14" t="str">
        <x:v>Chưa bắt đầu</x:v>
      </x:c>
      <x:c r="Z317" s="14" t="str"/>
      <x:c r="AA317" s="14" t="str">
        <x:v>https://datafiles.chinhphu.vn/cpp/files/vbpq/2026/5/18-bxd.pdf</x:v>
      </x:c>
      <x:c r="AB317" s="14" t="str">
        <x:v>sms; an toan; mor</x:v>
      </x:c>
    </x:row>
    <x:row r="318">
      <x:c r="A318" s="14" t="str">
        <x:v>VATM-0317</x:v>
      </x:c>
      <x:c r="B318" s="14" t="str">
        <x:v>III.1.3</x:v>
      </x:c>
      <x:c r="C318" s="14" t="str">
        <x:v>Thông tư 18/2026/TT-BXD - Chương trình an toàn HKDD</x:v>
      </x:c>
      <x:c r="D318" s="14" t="str">
        <x:v>Tong_hop_nhiem_vu_TT18_2026_TT_BXD_VATM_ANSP.xlsx</x:v>
      </x:c>
      <x:c r="E318" s="14" t="str">
        <x:v>05_MOR_PL_III</x:v>
      </x:c>
      <x:c r="F318" s="56" t="n">
        <x:v>86</x:v>
      </x:c>
      <x:c r="G318" s="14" t="str">
        <x:v>Phụ lục III Phần I Chương III Mục 1</x:v>
      </x:c>
      <x:c r="H318" s="14" t="str">
        <x:v>An toàn hàng không / SMS</x:v>
      </x:c>
      <x:c r="I318" s="14" t="str">
        <x:v>Báo cáo MOR, sự cố và điều tra</x:v>
      </x:c>
      <x:c r="J318" s="14" t="str">
        <x:v>Tổ chức/doanh nghiệp cung cấp dịch vụ bảo đảm hoạt động bay</x:v>
      </x:c>
      <x:c r="K318" s="14" t="str">
        <x:v>Trực tiếp</x:v>
      </x:c>
      <x:c r="L318" s="14" t="str">
        <x:v>Báo cáo/điều tra/khắc phục</x:v>
      </x:c>
      <x:c r="M318" s="14" t="str"/>
      <x:c r="N318" s="14" t="str">
        <x:v>Nguy cơ va chạm giữa các tàu bay với nhau hoặc giữa tàu bay với vật thể bay khác.</x:v>
      </x:c>
      <x:c r="O318" s="14" t="str">
        <x:v>Thông báo ban đầu ngay khi có thể; gửi MOR đến Cục HKVN trong vòng 24 giờ; điều tra/xác minh nội bộ, phân loại, xác định nguyên nhân và biện pháp khắc phục/phòng ngừa theo Điều 19, 21.</x:v>
      </x:c>
      <x:c r="P318" s="14" t="str"/>
      <x:c r="Q318" s="14" t="str"/>
      <x:c r="R318" s="14" t="str"/>
      <x:c r="S318" s="14" t="str">
        <x:v>Ban An toàn - Chất lượng</x:v>
      </x:c>
      <x:c r="T318" s="14" t="str">
        <x:v>Các Công ty Quản lý bay khu vực Bắc/Trung/Nam; Ban An toàn - Chất lượng</x:v>
      </x:c>
      <x:c r="U318" s="14" t="str"/>
      <x:c r="V318" s="14" t="str">
        <x:v>24 giờ</x:v>
      </x:c>
      <x:c r="W318" s="14" t="str">
        <x:v>P2</x:v>
      </x:c>
      <x:c r="X318" s="14" t="str"/>
      <x:c r="Y318" s="14" t="str">
        <x:v>Chưa bắt đầu</x:v>
      </x:c>
      <x:c r="Z318" s="14" t="str"/>
      <x:c r="AA318" s="14" t="str">
        <x:v>https://datafiles.chinhphu.vn/cpp/files/vbpq/2026/5/18-bxd.pdf</x:v>
      </x:c>
      <x:c r="AB318" s="14" t="str">
        <x:v>sms; an toan; mor</x:v>
      </x:c>
    </x:row>
    <x:row r="319">
      <x:c r="A319" s="14" t="str">
        <x:v>VATM-0318</x:v>
      </x:c>
      <x:c r="B319" s="14" t="str">
        <x:v>III.1.4</x:v>
      </x:c>
      <x:c r="C319" s="14" t="str">
        <x:v>Thông tư 18/2026/TT-BXD - Chương trình an toàn HKDD</x:v>
      </x:c>
      <x:c r="D319" s="14" t="str">
        <x:v>Tong_hop_nhiem_vu_TT18_2026_TT_BXD_VATM_ANSP.xlsx</x:v>
      </x:c>
      <x:c r="E319" s="14" t="str">
        <x:v>05_MOR_PL_III</x:v>
      </x:c>
      <x:c r="F319" s="56" t="n">
        <x:v>87</x:v>
      </x:c>
      <x:c r="G319" s="14" t="str">
        <x:v>Phụ lục III Phần I Chương III Mục 1</x:v>
      </x:c>
      <x:c r="H319" s="14" t="str">
        <x:v>An toàn hàng không / SMS</x:v>
      </x:c>
      <x:c r="I319" s="14" t="str">
        <x:v>Báo cáo MOR, sự cố và điều tra</x:v>
      </x:c>
      <x:c r="J319" s="14" t="str">
        <x:v>Tổ chức/doanh nghiệp cung cấp dịch vụ bảo đảm hoạt động bay</x:v>
      </x:c>
      <x:c r="K319" s="14" t="str">
        <x:v>Trực tiếp</x:v>
      </x:c>
      <x:c r="L319" s="14" t="str">
        <x:v>Báo cáo/điều tra/khắc phục</x:v>
      </x:c>
      <x:c r="M319" s="14" t="str"/>
      <x:c r="N319" s="14" t="str">
        <x:v>Nguy cơ va chạm giữa các tàu bay với nhau và giữa tàu bay với phương tiện hoặc chướng ngại vật khi đang lăn.</x:v>
      </x:c>
      <x:c r="O319" s="14" t="str">
        <x:v>Thông báo ban đầu ngay khi có thể; gửi MOR đến Cục HKVN trong vòng 24 giờ; điều tra/xác minh nội bộ, phân loại, xác định nguyên nhân và biện pháp khắc phục/phòng ngừa theo Điều 19, 21.</x:v>
      </x:c>
      <x:c r="P319" s="14" t="str"/>
      <x:c r="Q319" s="14" t="str"/>
      <x:c r="R319" s="14" t="str"/>
      <x:c r="S319" s="14" t="str">
        <x:v>Ban An toàn - Chất lượng</x:v>
      </x:c>
      <x:c r="T319" s="14" t="str">
        <x:v>Các Công ty Quản lý bay khu vực Bắc/Trung/Nam; Ban An toàn - Chất lượng</x:v>
      </x:c>
      <x:c r="U319" s="14" t="str"/>
      <x:c r="V319" s="14" t="str">
        <x:v>24 giờ</x:v>
      </x:c>
      <x:c r="W319" s="14" t="str">
        <x:v>P2</x:v>
      </x:c>
      <x:c r="X319" s="14" t="str"/>
      <x:c r="Y319" s="14" t="str">
        <x:v>Chưa bắt đầu</x:v>
      </x:c>
      <x:c r="Z319" s="14" t="str"/>
      <x:c r="AA319" s="14" t="str">
        <x:v>https://datafiles.chinhphu.vn/cpp/files/vbpq/2026/5/18-bxd.pdf</x:v>
      </x:c>
      <x:c r="AB319" s="14" t="str">
        <x:v>sms; an toan; mor</x:v>
      </x:c>
    </x:row>
    <x:row r="320">
      <x:c r="A320" s="14" t="str">
        <x:v>VATM-0319</x:v>
      </x:c>
      <x:c r="B320" s="14" t="str">
        <x:v>III.1.5</x:v>
      </x:c>
      <x:c r="C320" s="14" t="str">
        <x:v>Thông tư 18/2026/TT-BXD - Chương trình an toàn HKDD</x:v>
      </x:c>
      <x:c r="D320" s="14" t="str">
        <x:v>Tong_hop_nhiem_vu_TT18_2026_TT_BXD_VATM_ANSP.xlsx</x:v>
      </x:c>
      <x:c r="E320" s="14" t="str">
        <x:v>05_MOR_PL_III</x:v>
      </x:c>
      <x:c r="F320" s="56" t="n">
        <x:v>88</x:v>
      </x:c>
      <x:c r="G320" s="14" t="str">
        <x:v>Phụ lục III Phần I Chương III Mục 1</x:v>
      </x:c>
      <x:c r="H320" s="14" t="str">
        <x:v>An toàn hàng không / SMS</x:v>
      </x:c>
      <x:c r="I320" s="14" t="str">
        <x:v>Báo cáo MOR, sự cố và điều tra</x:v>
      </x:c>
      <x:c r="J320" s="14" t="str">
        <x:v>Tổ chức/doanh nghiệp cung cấp dịch vụ bảo đảm hoạt động bay</x:v>
      </x:c>
      <x:c r="K320" s="14" t="str">
        <x:v>Trực tiếp</x:v>
      </x:c>
      <x:c r="L320" s="14" t="str">
        <x:v>Báo cáo/điều tra/khắc phục</x:v>
      </x:c>
      <x:c r="M320" s="14" t="str"/>
      <x:c r="N320" s="14" t="str">
        <x:v>Tàu bay bay vào khu vực cấm bay, khu vực hạn chế hoặc khu vực nguy hiểm.</x:v>
      </x:c>
      <x:c r="O320" s="14" t="str">
        <x:v>Thông báo ban đầu ngay khi có thể; gửi MOR đến Cục HKVN trong vòng 24 giờ; điều tra/xác minh nội bộ, phân loại, xác định nguyên nhân và biện pháp khắc phục/phòng ngừa theo Điều 19, 21.</x:v>
      </x:c>
      <x:c r="P320" s="14" t="str"/>
      <x:c r="Q320" s="14" t="str"/>
      <x:c r="R320" s="14" t="str"/>
      <x:c r="S320" s="14" t="str">
        <x:v>Ban An toàn - Chất lượng</x:v>
      </x:c>
      <x:c r="T320" s="14" t="str">
        <x:v>Các Công ty Quản lý bay khu vực Bắc/Trung/Nam; Ban An toàn - Chất lượng</x:v>
      </x:c>
      <x:c r="U320" s="14" t="str"/>
      <x:c r="V320" s="14" t="str">
        <x:v>24 giờ</x:v>
      </x:c>
      <x:c r="W320" s="14" t="str">
        <x:v>P2</x:v>
      </x:c>
      <x:c r="X320" s="14" t="str"/>
      <x:c r="Y320" s="14" t="str">
        <x:v>Chưa bắt đầu</x:v>
      </x:c>
      <x:c r="Z320" s="14" t="str"/>
      <x:c r="AA320" s="14" t="str">
        <x:v>https://datafiles.chinhphu.vn/cpp/files/vbpq/2026/5/18-bxd.pdf</x:v>
      </x:c>
      <x:c r="AB320" s="14" t="str">
        <x:v>sms; an toan; mor</x:v>
      </x:c>
    </x:row>
    <x:row r="321">
      <x:c r="A321" s="14" t="str">
        <x:v>VATM-0320</x:v>
      </x:c>
      <x:c r="B321" s="14" t="str">
        <x:v>III.1.6</x:v>
      </x:c>
      <x:c r="C321" s="14" t="str">
        <x:v>Thông tư 18/2026/TT-BXD - Chương trình an toàn HKDD</x:v>
      </x:c>
      <x:c r="D321" s="14" t="str">
        <x:v>Tong_hop_nhiem_vu_TT18_2026_TT_BXD_VATM_ANSP.xlsx</x:v>
      </x:c>
      <x:c r="E321" s="14" t="str">
        <x:v>05_MOR_PL_III</x:v>
      </x:c>
      <x:c r="F321" s="56" t="n">
        <x:v>89</x:v>
      </x:c>
      <x:c r="G321" s="14" t="str">
        <x:v>Phụ lục III Phần I Chương III Mục 1</x:v>
      </x:c>
      <x:c r="H321" s="14" t="str">
        <x:v>An toàn hàng không / SMS</x:v>
      </x:c>
      <x:c r="I321" s="14" t="str">
        <x:v>Báo cáo MOR, sự cố và điều tra</x:v>
      </x:c>
      <x:c r="J321" s="14" t="str">
        <x:v>Tổ chức/doanh nghiệp cung cấp dịch vụ bảo đảm hoạt động bay</x:v>
      </x:c>
      <x:c r="K321" s="14" t="str">
        <x:v>Trực tiếp</x:v>
      </x:c>
      <x:c r="L321" s="14" t="str">
        <x:v>Báo cáo/điều tra/khắc phục</x:v>
      </x:c>
      <x:c r="M321" s="14" t="str"/>
      <x:c r="N321" s="14" t="str">
        <x:v>Tàu bay hạ cánh hoặc cất cánh không đúng đường CHC được chỉ định.</x:v>
      </x:c>
      <x:c r="O321" s="14" t="str">
        <x:v>Thông báo ban đầu ngay khi có thể; gửi MOR đến Cục HKVN trong vòng 24 giờ; điều tra/xác minh nội bộ, phân loại, xác định nguyên nhân và biện pháp khắc phục/phòng ngừa theo Điều 19, 21.</x:v>
      </x:c>
      <x:c r="P321" s="14" t="str"/>
      <x:c r="Q321" s="14" t="str"/>
      <x:c r="R321" s="14" t="str"/>
      <x:c r="S321" s="14" t="str">
        <x:v>Ban An toàn - Chất lượng</x:v>
      </x:c>
      <x:c r="T321" s="14" t="str">
        <x:v>Các Công ty Quản lý bay khu vực Bắc/Trung/Nam; Ban An toàn - Chất lượng</x:v>
      </x:c>
      <x:c r="U321" s="14" t="str"/>
      <x:c r="V321" s="14" t="str">
        <x:v>24 giờ</x:v>
      </x:c>
      <x:c r="W321" s="14" t="str">
        <x:v>P2</x:v>
      </x:c>
      <x:c r="X321" s="14" t="str"/>
      <x:c r="Y321" s="14" t="str">
        <x:v>Chưa bắt đầu</x:v>
      </x:c>
      <x:c r="Z321" s="14" t="str"/>
      <x:c r="AA321" s="14" t="str">
        <x:v>https://datafiles.chinhphu.vn/cpp/files/vbpq/2026/5/18-bxd.pdf</x:v>
      </x:c>
      <x:c r="AB321" s="14" t="str">
        <x:v>sms; an toan; mor</x:v>
      </x:c>
    </x:row>
    <x:row r="322">
      <x:c r="A322" s="14" t="str">
        <x:v>VATM-0321</x:v>
      </x:c>
      <x:c r="B322" s="14" t="str">
        <x:v>III.1.7</x:v>
      </x:c>
      <x:c r="C322" s="14" t="str">
        <x:v>Thông tư 18/2026/TT-BXD - Chương trình an toàn HKDD</x:v>
      </x:c>
      <x:c r="D322" s="14" t="str">
        <x:v>Tong_hop_nhiem_vu_TT18_2026_TT_BXD_VATM_ANSP.xlsx</x:v>
      </x:c>
      <x:c r="E322" s="14" t="str">
        <x:v>05_MOR_PL_III</x:v>
      </x:c>
      <x:c r="F322" s="56" t="n">
        <x:v>90</x:v>
      </x:c>
      <x:c r="G322" s="14" t="str">
        <x:v>Phụ lục III Phần I Chương III Mục 1</x:v>
      </x:c>
      <x:c r="H322" s="14" t="str">
        <x:v>An toàn hàng không / SMS</x:v>
      </x:c>
      <x:c r="I322" s="14" t="str">
        <x:v>Báo cáo MOR, sự cố và điều tra</x:v>
      </x:c>
      <x:c r="J322" s="14" t="str">
        <x:v>Tổ chức/doanh nghiệp cung cấp dịch vụ bảo đảm hoạt động bay</x:v>
      </x:c>
      <x:c r="K322" s="14" t="str">
        <x:v>Trực tiếp</x:v>
      </x:c>
      <x:c r="L322" s="14" t="str">
        <x:v>Báo cáo/điều tra/khắc phục</x:v>
      </x:c>
      <x:c r="M322" s="14" t="str"/>
      <x:c r="N322" s="14" t="str">
        <x:v>Tàu bay lăn nhầm đường lăn.</x:v>
      </x:c>
      <x:c r="O322" s="14" t="str">
        <x:v>Thông báo ban đầu ngay khi có thể; gửi MOR đến Cục HKVN trong vòng 24 giờ; điều tra/xác minh nội bộ, phân loại, xác định nguyên nhân và biện pháp khắc phục/phòng ngừa theo Điều 19, 21.</x:v>
      </x:c>
      <x:c r="P322" s="14" t="str"/>
      <x:c r="Q322" s="14" t="str"/>
      <x:c r="R322" s="14" t="str"/>
      <x:c r="S322" s="14" t="str">
        <x:v>Ban An toàn - Chất lượng</x:v>
      </x:c>
      <x:c r="T322" s="14" t="str">
        <x:v>Các Công ty Quản lý bay khu vực Bắc/Trung/Nam; Ban An toàn - Chất lượng</x:v>
      </x:c>
      <x:c r="U322" s="14" t="str"/>
      <x:c r="V322" s="14" t="str">
        <x:v>24 giờ</x:v>
      </x:c>
      <x:c r="W322" s="14" t="str">
        <x:v>P2</x:v>
      </x:c>
      <x:c r="X322" s="14" t="str"/>
      <x:c r="Y322" s="14" t="str">
        <x:v>Chưa bắt đầu</x:v>
      </x:c>
      <x:c r="Z322" s="14" t="str"/>
      <x:c r="AA322" s="14" t="str">
        <x:v>https://datafiles.chinhphu.vn/cpp/files/vbpq/2026/5/18-bxd.pdf</x:v>
      </x:c>
      <x:c r="AB322" s="14" t="str">
        <x:v>sms; an toan; mor</x:v>
      </x:c>
    </x:row>
    <x:row r="323">
      <x:c r="A323" s="14" t="str">
        <x:v>VATM-0322</x:v>
      </x:c>
      <x:c r="B323" s="14" t="str">
        <x:v>III.1.8</x:v>
      </x:c>
      <x:c r="C323" s="14" t="str">
        <x:v>Thông tư 18/2026/TT-BXD - Chương trình an toàn HKDD</x:v>
      </x:c>
      <x:c r="D323" s="14" t="str">
        <x:v>Tong_hop_nhiem_vu_TT18_2026_TT_BXD_VATM_ANSP.xlsx</x:v>
      </x:c>
      <x:c r="E323" s="14" t="str">
        <x:v>05_MOR_PL_III</x:v>
      </x:c>
      <x:c r="F323" s="56" t="n">
        <x:v>91</x:v>
      </x:c>
      <x:c r="G323" s="14" t="str">
        <x:v>Phụ lục III Phần I Chương III Mục 1</x:v>
      </x:c>
      <x:c r="H323" s="14" t="str">
        <x:v>An toàn hàng không / SMS</x:v>
      </x:c>
      <x:c r="I323" s="14" t="str">
        <x:v>Báo cáo MOR, sự cố và điều tra</x:v>
      </x:c>
      <x:c r="J323" s="14" t="str">
        <x:v>Tổ chức/doanh nghiệp cung cấp dịch vụ bảo đảm hoạt động bay</x:v>
      </x:c>
      <x:c r="K323" s="14" t="str">
        <x:v>Trực tiếp</x:v>
      </x:c>
      <x:c r="L323" s="14" t="str">
        <x:v>Báo cáo/điều tra/khắc phục</x:v>
      </x:c>
      <x:c r="M323" s="14" t="str"/>
      <x:c r="N323" s="14" t="str">
        <x:v>Tàu bay vi phạm độ cao an toàn tối thiểu, gần va chạm với địa hình hoặc chướng ngại vật trên mặt đất.</x:v>
      </x:c>
      <x:c r="O323" s="14" t="str">
        <x:v>Thông báo ban đầu ngay khi có thể; gửi MOR đến Cục HKVN trong vòng 24 giờ; điều tra/xác minh nội bộ, phân loại, xác định nguyên nhân và biện pháp khắc phục/phòng ngừa theo Điều 19, 21.</x:v>
      </x:c>
      <x:c r="P323" s="14" t="str"/>
      <x:c r="Q323" s="14" t="str"/>
      <x:c r="R323" s="14" t="str"/>
      <x:c r="S323" s="14" t="str">
        <x:v>Ban An toàn - Chất lượng</x:v>
      </x:c>
      <x:c r="T323" s="14" t="str">
        <x:v>Các Công ty Quản lý bay khu vực Bắc/Trung/Nam; Ban An toàn - Chất lượng</x:v>
      </x:c>
      <x:c r="U323" s="14" t="str"/>
      <x:c r="V323" s="14" t="str">
        <x:v>24 giờ</x:v>
      </x:c>
      <x:c r="W323" s="14" t="str">
        <x:v>P2</x:v>
      </x:c>
      <x:c r="X323" s="14" t="str"/>
      <x:c r="Y323" s="14" t="str">
        <x:v>Chưa bắt đầu</x:v>
      </x:c>
      <x:c r="Z323" s="14" t="str"/>
      <x:c r="AA323" s="14" t="str">
        <x:v>https://datafiles.chinhphu.vn/cpp/files/vbpq/2026/5/18-bxd.pdf</x:v>
      </x:c>
      <x:c r="AB323" s="14" t="str">
        <x:v>sms; an toan; mor</x:v>
      </x:c>
    </x:row>
    <x:row r="324">
      <x:c r="A324" s="14" t="str">
        <x:v>VATM-0323</x:v>
      </x:c>
      <x:c r="B324" s="14" t="str">
        <x:v>III.1.9</x:v>
      </x:c>
      <x:c r="C324" s="14" t="str">
        <x:v>Thông tư 18/2026/TT-BXD - Chương trình an toàn HKDD</x:v>
      </x:c>
      <x:c r="D324" s="14" t="str">
        <x:v>Tong_hop_nhiem_vu_TT18_2026_TT_BXD_VATM_ANSP.xlsx</x:v>
      </x:c>
      <x:c r="E324" s="14" t="str">
        <x:v>05_MOR_PL_III</x:v>
      </x:c>
      <x:c r="F324" s="56" t="n">
        <x:v>92</x:v>
      </x:c>
      <x:c r="G324" s="14" t="str">
        <x:v>Phụ lục III Phần I Chương III Mục 1</x:v>
      </x:c>
      <x:c r="H324" s="14" t="str">
        <x:v>An toàn hàng không / SMS</x:v>
      </x:c>
      <x:c r="I324" s="14" t="str">
        <x:v>Báo cáo MOR, sự cố và điều tra</x:v>
      </x:c>
      <x:c r="J324" s="14" t="str">
        <x:v>Tổ chức/doanh nghiệp cung cấp dịch vụ bảo đảm hoạt động bay</x:v>
      </x:c>
      <x:c r="K324" s="14" t="str">
        <x:v>Trực tiếp</x:v>
      </x:c>
      <x:c r="L324" s="14" t="str">
        <x:v>Báo cáo/điều tra/khắc phục</x:v>
      </x:c>
      <x:c r="M324" s="14" t="str"/>
      <x:c r="N324" s="14" t="str">
        <x:v>Tàu bay xông ra khỏi đường lăn hoặc đường CHC.</x:v>
      </x:c>
      <x:c r="O324" s="14" t="str">
        <x:v>Thông báo ban đầu ngay khi có thể; gửi MOR đến Cục HKVN trong vòng 24 giờ; điều tra/xác minh nội bộ, phân loại, xác định nguyên nhân và biện pháp khắc phục/phòng ngừa theo Điều 19, 21.</x:v>
      </x:c>
      <x:c r="P324" s="14" t="str"/>
      <x:c r="Q324" s="14" t="str"/>
      <x:c r="R324" s="14" t="str"/>
      <x:c r="S324" s="14" t="str">
        <x:v>Ban An toàn - Chất lượng</x:v>
      </x:c>
      <x:c r="T324" s="14" t="str">
        <x:v>Các Công ty Quản lý bay khu vực Bắc/Trung/Nam; Ban An toàn - Chất lượng</x:v>
      </x:c>
      <x:c r="U324" s="14" t="str"/>
      <x:c r="V324" s="14" t="str">
        <x:v>24 giờ</x:v>
      </x:c>
      <x:c r="W324" s="14" t="str">
        <x:v>P2</x:v>
      </x:c>
      <x:c r="X324" s="14" t="str"/>
      <x:c r="Y324" s="14" t="str">
        <x:v>Chưa bắt đầu</x:v>
      </x:c>
      <x:c r="Z324" s="14" t="str"/>
      <x:c r="AA324" s="14" t="str">
        <x:v>https://datafiles.chinhphu.vn/cpp/files/vbpq/2026/5/18-bxd.pdf</x:v>
      </x:c>
      <x:c r="AB324" s="14" t="str">
        <x:v>sms; an toan; mor</x:v>
      </x:c>
    </x:row>
    <x:row r="325">
      <x:c r="A325" s="14" t="str">
        <x:v>VATM-0324</x:v>
      </x:c>
      <x:c r="B325" s="14" t="str">
        <x:v>III.1.10</x:v>
      </x:c>
      <x:c r="C325" s="14" t="str">
        <x:v>Thông tư 18/2026/TT-BXD - Chương trình an toàn HKDD</x:v>
      </x:c>
      <x:c r="D325" s="14" t="str">
        <x:v>Tong_hop_nhiem_vu_TT18_2026_TT_BXD_VATM_ANSP.xlsx</x:v>
      </x:c>
      <x:c r="E325" s="14" t="str">
        <x:v>05_MOR_PL_III</x:v>
      </x:c>
      <x:c r="F325" s="56" t="n">
        <x:v>93</x:v>
      </x:c>
      <x:c r="G325" s="14" t="str">
        <x:v>Phụ lục III Phần I Chương III Mục 1</x:v>
      </x:c>
      <x:c r="H325" s="14" t="str">
        <x:v>An toàn hàng không / SMS</x:v>
      </x:c>
      <x:c r="I325" s="14" t="str">
        <x:v>Báo cáo MOR, sự cố và điều tra</x:v>
      </x:c>
      <x:c r="J325" s="14" t="str">
        <x:v>Tổ chức/doanh nghiệp cung cấp dịch vụ bảo đảm hoạt động bay</x:v>
      </x:c>
      <x:c r="K325" s="14" t="str">
        <x:v>Trực tiếp</x:v>
      </x:c>
      <x:c r="L325" s="14" t="str">
        <x:v>Báo cáo/điều tra/khắc phục</x:v>
      </x:c>
      <x:c r="M325" s="14" t="str"/>
      <x:c r="N325" s="14" t="str">
        <x:v>Tình huống xâm nhập đường CHC trái phép.</x:v>
      </x:c>
      <x:c r="O325" s="14" t="str">
        <x:v>Thông báo ban đầu ngay khi có thể; gửi MOR đến Cục HKVN trong vòng 24 giờ; điều tra/xác minh nội bộ, phân loại, xác định nguyên nhân và biện pháp khắc phục/phòng ngừa theo Điều 19, 21.</x:v>
      </x:c>
      <x:c r="P325" s="14" t="str"/>
      <x:c r="Q325" s="14" t="str"/>
      <x:c r="R325" s="14" t="str"/>
      <x:c r="S325" s="14" t="str">
        <x:v>Ban An toàn - Chất lượng</x:v>
      </x:c>
      <x:c r="T325" s="14" t="str">
        <x:v>Các Công ty Quản lý bay khu vực Bắc/Trung/Nam; Ban An toàn - Chất lượng</x:v>
      </x:c>
      <x:c r="U325" s="14" t="str"/>
      <x:c r="V325" s="14" t="str">
        <x:v>24 giờ</x:v>
      </x:c>
      <x:c r="W325" s="14" t="str">
        <x:v>P2</x:v>
      </x:c>
      <x:c r="X325" s="14" t="str"/>
      <x:c r="Y325" s="14" t="str">
        <x:v>Chưa bắt đầu</x:v>
      </x:c>
      <x:c r="Z325" s="14" t="str"/>
      <x:c r="AA325" s="14" t="str">
        <x:v>https://datafiles.chinhphu.vn/cpp/files/vbpq/2026/5/18-bxd.pdf</x:v>
      </x:c>
      <x:c r="AB325" s="14" t="str">
        <x:v>sms; an toan; mor</x:v>
      </x:c>
    </x:row>
    <x:row r="326">
      <x:c r="A326" s="14" t="str">
        <x:v>VATM-0325</x:v>
      </x:c>
      <x:c r="B326" s="14" t="str">
        <x:v>III.1.11</x:v>
      </x:c>
      <x:c r="C326" s="14" t="str">
        <x:v>Thông tư 18/2026/TT-BXD - Chương trình an toàn HKDD</x:v>
      </x:c>
      <x:c r="D326" s="14" t="str">
        <x:v>Tong_hop_nhiem_vu_TT18_2026_TT_BXD_VATM_ANSP.xlsx</x:v>
      </x:c>
      <x:c r="E326" s="14" t="str">
        <x:v>05_MOR_PL_III</x:v>
      </x:c>
      <x:c r="F326" s="56" t="n">
        <x:v>94</x:v>
      </x:c>
      <x:c r="G326" s="14" t="str">
        <x:v>Phụ lục III Phần I Chương III Mục 1</x:v>
      </x:c>
      <x:c r="H326" s="14" t="str">
        <x:v>An toàn hàng không / SMS</x:v>
      </x:c>
      <x:c r="I326" s="14" t="str">
        <x:v>Báo cáo MOR, sự cố và điều tra</x:v>
      </x:c>
      <x:c r="J326" s="14" t="str">
        <x:v>Tổ chức/doanh nghiệp cung cấp dịch vụ bảo đảm hoạt động bay</x:v>
      </x:c>
      <x:c r="K326" s="14" t="str">
        <x:v>Trực tiếp</x:v>
      </x:c>
      <x:c r="L326" s="14" t="str">
        <x:v>Báo cáo/điều tra/khắc phục</x:v>
      </x:c>
      <x:c r="M326" s="14" t="str"/>
      <x:c r="N326" s="14" t="str">
        <x:v>Tình huống xâm nhập khu vực tiếp cận cuối và cất cánh đối với trực thăng trái phép.</x:v>
      </x:c>
      <x:c r="O326" s="14" t="str">
        <x:v>Thông báo ban đầu ngay khi có thể; gửi MOR đến Cục HKVN trong vòng 24 giờ; điều tra/xác minh nội bộ, phân loại, xác định nguyên nhân và biện pháp khắc phục/phòng ngừa theo Điều 19, 21.</x:v>
      </x:c>
      <x:c r="P326" s="14" t="str"/>
      <x:c r="Q326" s="14" t="str"/>
      <x:c r="R326" s="14" t="str"/>
      <x:c r="S326" s="14" t="str">
        <x:v>Ban An toàn - Chất lượng</x:v>
      </x:c>
      <x:c r="T326" s="14" t="str">
        <x:v>Các Công ty Quản lý bay khu vực Bắc/Trung/Nam; Ban An toàn - Chất lượng</x:v>
      </x:c>
      <x:c r="U326" s="14" t="str"/>
      <x:c r="V326" s="14" t="str">
        <x:v>24 giờ</x:v>
      </x:c>
      <x:c r="W326" s="14" t="str">
        <x:v>P2</x:v>
      </x:c>
      <x:c r="X326" s="14" t="str"/>
      <x:c r="Y326" s="14" t="str">
        <x:v>Chưa bắt đầu</x:v>
      </x:c>
      <x:c r="Z326" s="14" t="str"/>
      <x:c r="AA326" s="14" t="str">
        <x:v>https://datafiles.chinhphu.vn/cpp/files/vbpq/2026/5/18-bxd.pdf</x:v>
      </x:c>
      <x:c r="AB326" s="14" t="str">
        <x:v>sms; an toan; mor</x:v>
      </x:c>
    </x:row>
    <x:row r="327">
      <x:c r="A327" s="14" t="str">
        <x:v>VATM-0326</x:v>
      </x:c>
      <x:c r="B327" s="14" t="str">
        <x:v>III.1.12</x:v>
      </x:c>
      <x:c r="C327" s="14" t="str">
        <x:v>Thông tư 18/2026/TT-BXD - Chương trình an toàn HKDD</x:v>
      </x:c>
      <x:c r="D327" s="14" t="str">
        <x:v>Tong_hop_nhiem_vu_TT18_2026_TT_BXD_VATM_ANSP.xlsx</x:v>
      </x:c>
      <x:c r="E327" s="14" t="str">
        <x:v>05_MOR_PL_III</x:v>
      </x:c>
      <x:c r="F327" s="56" t="n">
        <x:v>95</x:v>
      </x:c>
      <x:c r="G327" s="14" t="str">
        <x:v>Phụ lục III Phần I Chương III Mục 1</x:v>
      </x:c>
      <x:c r="H327" s="14" t="str">
        <x:v>An toàn hàng không / SMS</x:v>
      </x:c>
      <x:c r="I327" s="14" t="str">
        <x:v>Báo cáo MOR, sự cố và điều tra</x:v>
      </x:c>
      <x:c r="J327" s="14" t="str">
        <x:v>Tổ chức/doanh nghiệp cung cấp dịch vụ bảo đảm hoạt động bay</x:v>
      </x:c>
      <x:c r="K327" s="14" t="str">
        <x:v>Trực tiếp</x:v>
      </x:c>
      <x:c r="L327" s="14" t="str">
        <x:v>Báo cáo/điều tra/khắc phục</x:v>
      </x:c>
      <x:c r="M327" s="14" t="str"/>
      <x:c r="N327" s="14" t="str">
        <x:v>Vi phạm tiêu chuẩn phân cách tối thiểu giữa các tàu bay.</x:v>
      </x:c>
      <x:c r="O327" s="14" t="str">
        <x:v>Thông báo ban đầu ngay khi có thể; gửi MOR đến Cục HKVN trong vòng 24 giờ; điều tra/xác minh nội bộ, phân loại, xác định nguyên nhân và biện pháp khắc phục/phòng ngừa theo Điều 19, 21.</x:v>
      </x:c>
      <x:c r="P327" s="14" t="str"/>
      <x:c r="Q327" s="14" t="str"/>
      <x:c r="R327" s="14" t="str"/>
      <x:c r="S327" s="14" t="str">
        <x:v>Ban An toàn - Chất lượng</x:v>
      </x:c>
      <x:c r="T327" s="14" t="str">
        <x:v>Các Công ty Quản lý bay khu vực Bắc/Trung/Nam; Ban An toàn - Chất lượng</x:v>
      </x:c>
      <x:c r="U327" s="14" t="str"/>
      <x:c r="V327" s="14" t="str">
        <x:v>24 giờ</x:v>
      </x:c>
      <x:c r="W327" s="14" t="str">
        <x:v>P2</x:v>
      </x:c>
      <x:c r="X327" s="14" t="str"/>
      <x:c r="Y327" s="14" t="str">
        <x:v>Chưa bắt đầu</x:v>
      </x:c>
      <x:c r="Z327" s="14" t="str"/>
      <x:c r="AA327" s="14" t="str">
        <x:v>https://datafiles.chinhphu.vn/cpp/files/vbpq/2026/5/18-bxd.pdf</x:v>
      </x:c>
      <x:c r="AB327" s="14" t="str">
        <x:v>sms; an toan; mor</x:v>
      </x:c>
    </x:row>
    <x:row r="328">
      <x:c r="A328" s="14" t="str">
        <x:v>VATM-0327</x:v>
      </x:c>
      <x:c r="B328" s="14" t="str">
        <x:v>III.2.1</x:v>
      </x:c>
      <x:c r="C328" s="14" t="str">
        <x:v>Thông tư 18/2026/TT-BXD - Chương trình an toàn HKDD</x:v>
      </x:c>
      <x:c r="D328" s="14" t="str">
        <x:v>Tong_hop_nhiem_vu_TT18_2026_TT_BXD_VATM_ANSP.xlsx</x:v>
      </x:c>
      <x:c r="E328" s="14" t="str">
        <x:v>05_MOR_PL_III</x:v>
      </x:c>
      <x:c r="F328" s="56" t="n">
        <x:v>96</x:v>
      </x:c>
      <x:c r="G328" s="14" t="str">
        <x:v>Phụ lục III Phần I Chương III Mục 2</x:v>
      </x:c>
      <x:c r="H328" s="14" t="str">
        <x:v>An toàn hàng không / SMS</x:v>
      </x:c>
      <x:c r="I328" s="14" t="str">
        <x:v>Báo cáo MOR, sự cố và điều tra</x:v>
      </x:c>
      <x:c r="J328" s="14" t="str">
        <x:v>Tổ chức/doanh nghiệp cung cấp dịch vụ bảo đảm hoạt động bay</x:v>
      </x:c>
      <x:c r="K328" s="14" t="str">
        <x:v>Trực tiếp</x:v>
      </x:c>
      <x:c r="L328" s="14" t="str">
        <x:v>Báo cáo/điều tra/khắc phục</x:v>
      </x:c>
      <x:c r="M328" s="14" t="str"/>
      <x:c r="N328" s="14" t="str">
        <x:v>Can nhiễu tần số vô tuyến điện hàng không ảnh hưởng đến công tác điều hành bay.</x:v>
      </x:c>
      <x:c r="O328" s="14" t="str">
        <x:v>Thông báo ban đầu ngay khi có thể; gửi MOR đến Cục HKVN trong vòng 24 giờ; điều tra/xác minh nội bộ, phân loại, xác định nguyên nhân và biện pháp khắc phục/phòng ngừa theo Điều 19, 21.</x:v>
      </x:c>
      <x:c r="P328" s="14" t="str"/>
      <x:c r="Q328" s="14" t="str"/>
      <x:c r="R328" s="14" t="str"/>
      <x:c r="S328" s="14" t="str">
        <x:v>Ban An toàn - Chất lượng</x:v>
      </x:c>
      <x:c r="T328" s="14" t="str">
        <x:v>Các Công ty Quản lý bay khu vực Bắc/Trung/Nam; Ban An toàn - Chất lượng</x:v>
      </x:c>
      <x:c r="U328" s="14" t="str"/>
      <x:c r="V328" s="14" t="str">
        <x:v>24 giờ</x:v>
      </x:c>
      <x:c r="W328" s="14" t="str">
        <x:v>P2</x:v>
      </x:c>
      <x:c r="X328" s="14" t="str"/>
      <x:c r="Y328" s="14" t="str">
        <x:v>Chưa bắt đầu</x:v>
      </x:c>
      <x:c r="Z328" s="14" t="str"/>
      <x:c r="AA328" s="14" t="str">
        <x:v>https://datafiles.chinhphu.vn/cpp/files/vbpq/2026/5/18-bxd.pdf</x:v>
      </x:c>
      <x:c r="AB328" s="14" t="str">
        <x:v>sms; an toan; mor</x:v>
      </x:c>
    </x:row>
    <x:row r="329">
      <x:c r="A329" s="14" t="str">
        <x:v>VATM-0328</x:v>
      </x:c>
      <x:c r="B329" s="14" t="str">
        <x:v>III.2.2</x:v>
      </x:c>
      <x:c r="C329" s="14" t="str">
        <x:v>Thông tư 18/2026/TT-BXD - Chương trình an toàn HKDD</x:v>
      </x:c>
      <x:c r="D329" s="14" t="str">
        <x:v>Tong_hop_nhiem_vu_TT18_2026_TT_BXD_VATM_ANSP.xlsx</x:v>
      </x:c>
      <x:c r="E329" s="14" t="str">
        <x:v>05_MOR_PL_III</x:v>
      </x:c>
      <x:c r="F329" s="56" t="n">
        <x:v>97</x:v>
      </x:c>
      <x:c r="G329" s="14" t="str">
        <x:v>Phụ lục III Phần I Chương III Mục 2</x:v>
      </x:c>
      <x:c r="H329" s="14" t="str">
        <x:v>An toàn hàng không / SMS</x:v>
      </x:c>
      <x:c r="I329" s="14" t="str">
        <x:v>Báo cáo MOR, sự cố và điều tra</x:v>
      </x:c>
      <x:c r="J329" s="14" t="str">
        <x:v>Tổ chức/doanh nghiệp cung cấp dịch vụ bảo đảm hoạt động bay</x:v>
      </x:c>
      <x:c r="K329" s="14" t="str">
        <x:v>Trực tiếp</x:v>
      </x:c>
      <x:c r="L329" s="14" t="str">
        <x:v>Báo cáo/điều tra/khắc phục</x:v>
      </x:c>
      <x:c r="M329" s="14" t="str"/>
      <x:c r="N329" s="14" t="str">
        <x:v>Can nhiễu, mất hoặc giả mạo tín hiệu vệ tinh gây ảnh hưởng tới các phương thức dẫn đường vệ tinh.</x:v>
      </x:c>
      <x:c r="O329" s="14" t="str">
        <x:v>Thông báo ban đầu ngay khi có thể; gửi MOR đến Cục HKVN trong vòng 24 giờ; điều tra/xác minh nội bộ, phân loại, xác định nguyên nhân và biện pháp khắc phục/phòng ngừa theo Điều 19, 21.</x:v>
      </x:c>
      <x:c r="P329" s="14" t="str"/>
      <x:c r="Q329" s="14" t="str"/>
      <x:c r="R329" s="14" t="str"/>
      <x:c r="S329" s="14" t="str">
        <x:v>Ban An toàn - Chất lượng</x:v>
      </x:c>
      <x:c r="T329" s="14" t="str">
        <x:v>Các Công ty Quản lý bay khu vực Bắc/Trung/Nam; Ban An toàn - Chất lượng</x:v>
      </x:c>
      <x:c r="U329" s="14" t="str"/>
      <x:c r="V329" s="14" t="str">
        <x:v>24 giờ</x:v>
      </x:c>
      <x:c r="W329" s="14" t="str">
        <x:v>P2</x:v>
      </x:c>
      <x:c r="X329" s="14" t="str"/>
      <x:c r="Y329" s="14" t="str">
        <x:v>Chưa bắt đầu</x:v>
      </x:c>
      <x:c r="Z329" s="14" t="str"/>
      <x:c r="AA329" s="14" t="str">
        <x:v>https://datafiles.chinhphu.vn/cpp/files/vbpq/2026/5/18-bxd.pdf</x:v>
      </x:c>
      <x:c r="AB329" s="14" t="str">
        <x:v>sms; an toan; mor</x:v>
      </x:c>
    </x:row>
    <x:row r="330">
      <x:c r="A330" s="14" t="str">
        <x:v>VATM-0329</x:v>
      </x:c>
      <x:c r="B330" s="14" t="str">
        <x:v>III.2.3</x:v>
      </x:c>
      <x:c r="C330" s="14" t="str">
        <x:v>Thông tư 18/2026/TT-BXD - Chương trình an toàn HKDD</x:v>
      </x:c>
      <x:c r="D330" s="14" t="str">
        <x:v>Tong_hop_nhiem_vu_TT18_2026_TT_BXD_VATM_ANSP.xlsx</x:v>
      </x:c>
      <x:c r="E330" s="14" t="str">
        <x:v>05_MOR_PL_III</x:v>
      </x:c>
      <x:c r="F330" s="56" t="n">
        <x:v>98</x:v>
      </x:c>
      <x:c r="G330" s="14" t="str">
        <x:v>Phụ lục III Phần I Chương III Mục 2</x:v>
      </x:c>
      <x:c r="H330" s="14" t="str">
        <x:v>An toàn hàng không / SMS</x:v>
      </x:c>
      <x:c r="I330" s="14" t="str">
        <x:v>Báo cáo MOR, sự cố và điều tra</x:v>
      </x:c>
      <x:c r="J330" s="14" t="str">
        <x:v>Tổ chức/doanh nghiệp cung cấp dịch vụ bảo đảm hoạt động bay</x:v>
      </x:c>
      <x:c r="K330" s="14" t="str">
        <x:v>Trực tiếp</x:v>
      </x:c>
      <x:c r="L330" s="14" t="str">
        <x:v>Báo cáo/điều tra/khắc phục</x:v>
      </x:c>
      <x:c r="M330" s="14" t="str"/>
      <x:c r="N330" s="14" t="str">
        <x:v>Chiếm dụng trái phép tần số vô tuyến điện hàng không.</x:v>
      </x:c>
      <x:c r="O330" s="14" t="str">
        <x:v>Thông báo ban đầu ngay khi có thể; gửi MOR đến Cục HKVN trong vòng 24 giờ; điều tra/xác minh nội bộ, phân loại, xác định nguyên nhân và biện pháp khắc phục/phòng ngừa theo Điều 19, 21.</x:v>
      </x:c>
      <x:c r="P330" s="14" t="str"/>
      <x:c r="Q330" s="14" t="str"/>
      <x:c r="R330" s="14" t="str"/>
      <x:c r="S330" s="14" t="str">
        <x:v>Ban An toàn - Chất lượng</x:v>
      </x:c>
      <x:c r="T330" s="14" t="str">
        <x:v>Các Công ty Quản lý bay khu vực Bắc/Trung/Nam; Ban An toàn - Chất lượng</x:v>
      </x:c>
      <x:c r="U330" s="14" t="str"/>
      <x:c r="V330" s="14" t="str">
        <x:v>24 giờ</x:v>
      </x:c>
      <x:c r="W330" s="14" t="str">
        <x:v>P2</x:v>
      </x:c>
      <x:c r="X330" s="14" t="str"/>
      <x:c r="Y330" s="14" t="str">
        <x:v>Chưa bắt đầu</x:v>
      </x:c>
      <x:c r="Z330" s="14" t="str"/>
      <x:c r="AA330" s="14" t="str">
        <x:v>https://datafiles.chinhphu.vn/cpp/files/vbpq/2026/5/18-bxd.pdf</x:v>
      </x:c>
      <x:c r="AB330" s="14" t="str">
        <x:v>sms; an toan; mor</x:v>
      </x:c>
    </x:row>
    <x:row r="331">
      <x:c r="A331" s="14" t="str">
        <x:v>VATM-0330</x:v>
      </x:c>
      <x:c r="B331" s="14" t="str">
        <x:v>III.2.4</x:v>
      </x:c>
      <x:c r="C331" s="14" t="str">
        <x:v>Thông tư 18/2026/TT-BXD - Chương trình an toàn HKDD</x:v>
      </x:c>
      <x:c r="D331" s="14" t="str">
        <x:v>Tong_hop_nhiem_vu_TT18_2026_TT_BXD_VATM_ANSP.xlsx</x:v>
      </x:c>
      <x:c r="E331" s="14" t="str">
        <x:v>05_MOR_PL_III</x:v>
      </x:c>
      <x:c r="F331" s="56" t="n">
        <x:v>99</x:v>
      </x:c>
      <x:c r="G331" s="14" t="str">
        <x:v>Phụ lục III Phần I Chương III Mục 2</x:v>
      </x:c>
      <x:c r="H331" s="14" t="str">
        <x:v>An toàn hàng không / SMS</x:v>
      </x:c>
      <x:c r="I331" s="14" t="str">
        <x:v>Báo cáo MOR, sự cố và điều tra</x:v>
      </x:c>
      <x:c r="J331" s="14" t="str">
        <x:v>Tổ chức/doanh nghiệp cung cấp dịch vụ bảo đảm hoạt động bay</x:v>
      </x:c>
      <x:c r="K331" s="14" t="str">
        <x:v>Trực tiếp</x:v>
      </x:c>
      <x:c r="L331" s="14" t="str">
        <x:v>Báo cáo/điều tra/khắc phục</x:v>
      </x:c>
      <x:c r="M331" s="14" t="str"/>
      <x:c r="N331" s="14" t="str">
        <x:v>Gián đoạn cung cấp dịch vụ điều hành bay.</x:v>
      </x:c>
      <x:c r="O331" s="14" t="str">
        <x:v>Thông báo ban đầu ngay khi có thể; gửi MOR đến Cục HKVN trong vòng 24 giờ; điều tra/xác minh nội bộ, phân loại, xác định nguyên nhân và biện pháp khắc phục/phòng ngừa theo Điều 19, 21.</x:v>
      </x:c>
      <x:c r="P331" s="14" t="str"/>
      <x:c r="Q331" s="14" t="str"/>
      <x:c r="R331" s="14" t="str"/>
      <x:c r="S331" s="14" t="str">
        <x:v>Ban An toàn - Chất lượng</x:v>
      </x:c>
      <x:c r="T331" s="14" t="str">
        <x:v>Các Công ty Quản lý bay khu vực Bắc/Trung/Nam; Ban An toàn - Chất lượng</x:v>
      </x:c>
      <x:c r="U331" s="14" t="str"/>
      <x:c r="V331" s="14" t="str">
        <x:v>24 giờ</x:v>
      </x:c>
      <x:c r="W331" s="14" t="str">
        <x:v>P2</x:v>
      </x:c>
      <x:c r="X331" s="14" t="str"/>
      <x:c r="Y331" s="14" t="str">
        <x:v>Chưa bắt đầu</x:v>
      </x:c>
      <x:c r="Z331" s="14" t="str"/>
      <x:c r="AA331" s="14" t="str">
        <x:v>https://datafiles.chinhphu.vn/cpp/files/vbpq/2026/5/18-bxd.pdf</x:v>
      </x:c>
      <x:c r="AB331" s="14" t="str">
        <x:v>sms; an toan; mor</x:v>
      </x:c>
    </x:row>
    <x:row r="332">
      <x:c r="A332" s="14" t="str">
        <x:v>VATM-0331</x:v>
      </x:c>
      <x:c r="B332" s="14" t="str">
        <x:v>III.2.5</x:v>
      </x:c>
      <x:c r="C332" s="14" t="str">
        <x:v>Thông tư 18/2026/TT-BXD - Chương trình an toàn HKDD</x:v>
      </x:c>
      <x:c r="D332" s="14" t="str">
        <x:v>Tong_hop_nhiem_vu_TT18_2026_TT_BXD_VATM_ANSP.xlsx</x:v>
      </x:c>
      <x:c r="E332" s="14" t="str">
        <x:v>05_MOR_PL_III</x:v>
      </x:c>
      <x:c r="F332" s="56" t="n">
        <x:v>100</x:v>
      </x:c>
      <x:c r="G332" s="14" t="str">
        <x:v>Phụ lục III Phần I Chương III Mục 2</x:v>
      </x:c>
      <x:c r="H332" s="14" t="str">
        <x:v>An toàn hàng không / SMS</x:v>
      </x:c>
      <x:c r="I332" s="14" t="str">
        <x:v>Báo cáo MOR, sự cố và điều tra</x:v>
      </x:c>
      <x:c r="J332" s="14" t="str">
        <x:v>Tổ chức/doanh nghiệp cung cấp dịch vụ bảo đảm hoạt động bay</x:v>
      </x:c>
      <x:c r="K332" s="14" t="str">
        <x:v>Trực tiếp</x:v>
      </x:c>
      <x:c r="L332" s="14" t="str">
        <x:v>Báo cáo/điều tra/khắc phục</x:v>
      </x:c>
      <x:c r="M332" s="14" t="str"/>
      <x:c r="N332" s="14" t="str">
        <x:v>Gián đoạn cung cấp dịch vụ thông tin-dẫn đường-giám sát, khí tượng hoặc thông báo tin tức hàng không.</x:v>
      </x:c>
      <x:c r="O332" s="14" t="str">
        <x:v>Thông báo ban đầu ngay khi có thể; gửi MOR đến Cục HKVN trong vòng 24 giờ; điều tra/xác minh nội bộ, phân loại, xác định nguyên nhân và biện pháp khắc phục/phòng ngừa theo Điều 19, 21.</x:v>
      </x:c>
      <x:c r="P332" s="14" t="str"/>
      <x:c r="Q332" s="14" t="str"/>
      <x:c r="R332" s="14" t="str"/>
      <x:c r="S332" s="14" t="str">
        <x:v>Ban An toàn - Chất lượng</x:v>
      </x:c>
      <x:c r="T332" s="14" t="str">
        <x:v>Các Công ty Quản lý bay khu vực Bắc/Trung/Nam; Ban An toàn - Chất lượng</x:v>
      </x:c>
      <x:c r="U332" s="14" t="str"/>
      <x:c r="V332" s="14" t="str">
        <x:v>24 giờ</x:v>
      </x:c>
      <x:c r="W332" s="14" t="str">
        <x:v>P2</x:v>
      </x:c>
      <x:c r="X332" s="14" t="str"/>
      <x:c r="Y332" s="14" t="str">
        <x:v>Chưa bắt đầu</x:v>
      </x:c>
      <x:c r="Z332" s="14" t="str"/>
      <x:c r="AA332" s="14" t="str">
        <x:v>https://datafiles.chinhphu.vn/cpp/files/vbpq/2026/5/18-bxd.pdf</x:v>
      </x:c>
      <x:c r="AB332" s="14" t="str">
        <x:v>sms; an toan; mor</x:v>
      </x:c>
    </x:row>
    <x:row r="333">
      <x:c r="A333" s="14" t="str">
        <x:v>VATM-0332</x:v>
      </x:c>
      <x:c r="B333" s="14" t="str">
        <x:v>III.2.6</x:v>
      </x:c>
      <x:c r="C333" s="14" t="str">
        <x:v>Thông tư 18/2026/TT-BXD - Chương trình an toàn HKDD</x:v>
      </x:c>
      <x:c r="D333" s="14" t="str">
        <x:v>Tong_hop_nhiem_vu_TT18_2026_TT_BXD_VATM_ANSP.xlsx</x:v>
      </x:c>
      <x:c r="E333" s="14" t="str">
        <x:v>05_MOR_PL_III</x:v>
      </x:c>
      <x:c r="F333" s="56" t="n">
        <x:v>101</x:v>
      </x:c>
      <x:c r="G333" s="14" t="str">
        <x:v>Phụ lục III Phần I Chương III Mục 2</x:v>
      </x:c>
      <x:c r="H333" s="14" t="str">
        <x:v>An toàn hàng không / SMS</x:v>
      </x:c>
      <x:c r="I333" s="14" t="str">
        <x:v>Báo cáo MOR, sự cố và điều tra</x:v>
      </x:c>
      <x:c r="J333" s="14" t="str">
        <x:v>Tổ chức/doanh nghiệp cung cấp dịch vụ bảo đảm hoạt động bay</x:v>
      </x:c>
      <x:c r="K333" s="14" t="str">
        <x:v>Trực tiếp</x:v>
      </x:c>
      <x:c r="L333" s="14" t="str">
        <x:v>Báo cáo/điều tra/khắc phục</x:v>
      </x:c>
      <x:c r="M333" s="14" t="str"/>
      <x:c r="N333" s="14" t="str">
        <x:v>Mất liên lạc kéo dài với tàu bay hoặc với cơ sở ATS khác.</x:v>
      </x:c>
      <x:c r="O333" s="14" t="str">
        <x:v>Thông báo ban đầu ngay khi có thể; gửi MOR đến Cục HKVN trong vòng 24 giờ; điều tra/xác minh nội bộ, phân loại, xác định nguyên nhân và biện pháp khắc phục/phòng ngừa theo Điều 19, 21.</x:v>
      </x:c>
      <x:c r="P333" s="14" t="str"/>
      <x:c r="Q333" s="14" t="str"/>
      <x:c r="R333" s="14" t="str"/>
      <x:c r="S333" s="14" t="str">
        <x:v>Ban An toàn - Chất lượng</x:v>
      </x:c>
      <x:c r="T333" s="14" t="str">
        <x:v>Các Công ty Quản lý bay khu vực Bắc/Trung/Nam; Ban An toàn - Chất lượng</x:v>
      </x:c>
      <x:c r="U333" s="14" t="str"/>
      <x:c r="V333" s="14" t="str">
        <x:v>24 giờ</x:v>
      </x:c>
      <x:c r="W333" s="14" t="str">
        <x:v>P2</x:v>
      </x:c>
      <x:c r="X333" s="14" t="str"/>
      <x:c r="Y333" s="14" t="str">
        <x:v>Chưa bắt đầu</x:v>
      </x:c>
      <x:c r="Z333" s="14" t="str"/>
      <x:c r="AA333" s="14" t="str">
        <x:v>https://datafiles.chinhphu.vn/cpp/files/vbpq/2026/5/18-bxd.pdf</x:v>
      </x:c>
      <x:c r="AB333" s="14" t="str">
        <x:v>sms; an toan; mor; ats</x:v>
      </x:c>
    </x:row>
    <x:row r="334">
      <x:c r="A334" s="14" t="str">
        <x:v>VATM-0333</x:v>
      </x:c>
      <x:c r="B334" s="14" t="str">
        <x:v>III.2.7</x:v>
      </x:c>
      <x:c r="C334" s="14" t="str">
        <x:v>Thông tư 18/2026/TT-BXD - Chương trình an toàn HKDD</x:v>
      </x:c>
      <x:c r="D334" s="14" t="str">
        <x:v>Tong_hop_nhiem_vu_TT18_2026_TT_BXD_VATM_ANSP.xlsx</x:v>
      </x:c>
      <x:c r="E334" s="14" t="str">
        <x:v>05_MOR_PL_III</x:v>
      </x:c>
      <x:c r="F334" s="56" t="n">
        <x:v>102</x:v>
      </x:c>
      <x:c r="G334" s="14" t="str">
        <x:v>Phụ lục III Phần I Chương III Mục 2</x:v>
      </x:c>
      <x:c r="H334" s="14" t="str">
        <x:v>An toàn hàng không / SMS</x:v>
      </x:c>
      <x:c r="I334" s="14" t="str">
        <x:v>Báo cáo MOR, sự cố và điều tra</x:v>
      </x:c>
      <x:c r="J334" s="14" t="str">
        <x:v>Tổ chức/doanh nghiệp cung cấp dịch vụ bảo đảm hoạt động bay</x:v>
      </x:c>
      <x:c r="K334" s="14" t="str">
        <x:v>Trực tiếp</x:v>
      </x:c>
      <x:c r="L334" s="14" t="str">
        <x:v>Báo cáo/điều tra/khắc phục</x:v>
      </x:c>
      <x:c r="M334" s="14" t="str"/>
      <x:c r="N334" s="14" t="str">
        <x:v>Tổ lái không chấp hành hoặc không thực hiện đúng quy định về lập kế hoạch bay không lưu, quy tắc bay, phương thức bay.</x:v>
      </x:c>
      <x:c r="O334" s="14" t="str">
        <x:v>Thông báo ban đầu ngay khi có thể; gửi MOR đến Cục HKVN trong vòng 24 giờ; điều tra/xác minh nội bộ, phân loại, xác định nguyên nhân và biện pháp khắc phục/phòng ngừa theo Điều 19, 21.</x:v>
      </x:c>
      <x:c r="P334" s="14" t="str"/>
      <x:c r="Q334" s="14" t="str"/>
      <x:c r="R334" s="14" t="str"/>
      <x:c r="S334" s="14" t="str">
        <x:v>Ban An toàn - Chất lượng</x:v>
      </x:c>
      <x:c r="T334" s="14" t="str">
        <x:v>Các Công ty Quản lý bay khu vực Bắc/Trung/Nam; Ban An toàn - Chất lượng</x:v>
      </x:c>
      <x:c r="U334" s="14" t="str"/>
      <x:c r="V334" s="14" t="str">
        <x:v>24 giờ</x:v>
      </x:c>
      <x:c r="W334" s="14" t="str">
        <x:v>P2</x:v>
      </x:c>
      <x:c r="X334" s="14" t="str"/>
      <x:c r="Y334" s="14" t="str">
        <x:v>Chưa bắt đầu</x:v>
      </x:c>
      <x:c r="Z334" s="14" t="str"/>
      <x:c r="AA334" s="14" t="str">
        <x:v>https://datafiles.chinhphu.vn/cpp/files/vbpq/2026/5/18-bxd.pdf</x:v>
      </x:c>
      <x:c r="AB334" s="14" t="str">
        <x:v>sms; an toan; mor</x:v>
      </x:c>
    </x:row>
    <x:row r="335">
      <x:c r="A335" s="14" t="str">
        <x:v>VATM-0334</x:v>
      </x:c>
      <x:c r="B335" s="14" t="str">
        <x:v>III.2.8</x:v>
      </x:c>
      <x:c r="C335" s="14" t="str">
        <x:v>Thông tư 18/2026/TT-BXD - Chương trình an toàn HKDD</x:v>
      </x:c>
      <x:c r="D335" s="14" t="str">
        <x:v>Tong_hop_nhiem_vu_TT18_2026_TT_BXD_VATM_ANSP.xlsx</x:v>
      </x:c>
      <x:c r="E335" s="14" t="str">
        <x:v>05_MOR_PL_III</x:v>
      </x:c>
      <x:c r="F335" s="56" t="n">
        <x:v>103</x:v>
      </x:c>
      <x:c r="G335" s="14" t="str">
        <x:v>Phụ lục III Phần I Chương III Mục 2</x:v>
      </x:c>
      <x:c r="H335" s="14" t="str">
        <x:v>An toàn hàng không / SMS</x:v>
      </x:c>
      <x:c r="I335" s="14" t="str">
        <x:v>Báo cáo MOR, sự cố và điều tra</x:v>
      </x:c>
      <x:c r="J335" s="14" t="str">
        <x:v>Tổ chức/doanh nghiệp cung cấp dịch vụ bảo đảm hoạt động bay</x:v>
      </x:c>
      <x:c r="K335" s="14" t="str">
        <x:v>Trực tiếp</x:v>
      </x:c>
      <x:c r="L335" s="14" t="str">
        <x:v>Báo cáo/điều tra/khắc phục</x:v>
      </x:c>
      <x:c r="M335" s="14" t="str"/>
      <x:c r="N335" s="14" t="str">
        <x:v>Tổ lái thực hiện không đúng nội dung của phép bay gây uy hiếp an toàn bay hoặc ảnh hưởng đến hoạt động bay.</x:v>
      </x:c>
      <x:c r="O335" s="14" t="str">
        <x:v>Thông báo ban đầu ngay khi có thể; gửi MOR đến Cục HKVN trong vòng 24 giờ; điều tra/xác minh nội bộ, phân loại, xác định nguyên nhân và biện pháp khắc phục/phòng ngừa theo Điều 19, 21.</x:v>
      </x:c>
      <x:c r="P335" s="14" t="str"/>
      <x:c r="Q335" s="14" t="str"/>
      <x:c r="R335" s="14" t="str"/>
      <x:c r="S335" s="14" t="str">
        <x:v>Ban An toàn - Chất lượng</x:v>
      </x:c>
      <x:c r="T335" s="14" t="str">
        <x:v>Các Công ty Quản lý bay khu vực Bắc/Trung/Nam; Ban An toàn - Chất lượng</x:v>
      </x:c>
      <x:c r="U335" s="14" t="str"/>
      <x:c r="V335" s="14" t="str">
        <x:v>24 giờ</x:v>
      </x:c>
      <x:c r="W335" s="14" t="str">
        <x:v>P2</x:v>
      </x:c>
      <x:c r="X335" s="14" t="str"/>
      <x:c r="Y335" s="14" t="str">
        <x:v>Chưa bắt đầu</x:v>
      </x:c>
      <x:c r="Z335" s="14" t="str"/>
      <x:c r="AA335" s="14" t="str">
        <x:v>https://datafiles.chinhphu.vn/cpp/files/vbpq/2026/5/18-bxd.pdf</x:v>
      </x:c>
      <x:c r="AB335" s="14" t="str">
        <x:v>sms; an toan; mor</x:v>
      </x:c>
    </x:row>
    <x:row r="336">
      <x:c r="A336" s="14" t="str">
        <x:v>VATM-0335</x:v>
      </x:c>
      <x:c r="B336" s="14" t="str">
        <x:v>III.2.9</x:v>
      </x:c>
      <x:c r="C336" s="14" t="str">
        <x:v>Thông tư 18/2026/TT-BXD - Chương trình an toàn HKDD</x:v>
      </x:c>
      <x:c r="D336" s="14" t="str">
        <x:v>Tong_hop_nhiem_vu_TT18_2026_TT_BXD_VATM_ANSP.xlsx</x:v>
      </x:c>
      <x:c r="E336" s="14" t="str">
        <x:v>05_MOR_PL_III</x:v>
      </x:c>
      <x:c r="F336" s="56" t="n">
        <x:v>104</x:v>
      </x:c>
      <x:c r="G336" s="14" t="str">
        <x:v>Phụ lục III Phần I Chương III Mục 2</x:v>
      </x:c>
      <x:c r="H336" s="14" t="str">
        <x:v>An toàn hàng không / SMS</x:v>
      </x:c>
      <x:c r="I336" s="14" t="str">
        <x:v>Báo cáo MOR, sự cố và điều tra</x:v>
      </x:c>
      <x:c r="J336" s="14" t="str">
        <x:v>Tổ chức/doanh nghiệp cung cấp dịch vụ bảo đảm hoạt động bay</x:v>
      </x:c>
      <x:c r="K336" s="14" t="str">
        <x:v>Trực tiếp</x:v>
      </x:c>
      <x:c r="L336" s="14" t="str">
        <x:v>Báo cáo/điều tra/khắc phục</x:v>
      </x:c>
      <x:c r="M336" s="14" t="str"/>
      <x:c r="N336" s="14" t="str">
        <x:v>Tổ lái không chấp hành huấn lệnh hoặc thực hiện sai huấn lệnh của kiểm soát viên không lưu dẫn đến uy hiếp an toàn hàng không hoặc ảnh hưởng đến hoạt động bay.</x:v>
      </x:c>
      <x:c r="O336" s="14" t="str">
        <x:v>Thông báo ban đầu ngay khi có thể; gửi MOR đến Cục HKVN trong vòng 24 giờ; điều tra/xác minh nội bộ, phân loại, xác định nguyên nhân và biện pháp khắc phục/phòng ngừa theo Điều 19, 21.</x:v>
      </x:c>
      <x:c r="P336" s="14" t="str"/>
      <x:c r="Q336" s="14" t="str"/>
      <x:c r="R336" s="14" t="str"/>
      <x:c r="S336" s="14" t="str">
        <x:v>Ban An toàn - Chất lượng</x:v>
      </x:c>
      <x:c r="T336" s="14" t="str">
        <x:v>Các Công ty Quản lý bay khu vực Bắc/Trung/Nam; Ban An toàn - Chất lượng</x:v>
      </x:c>
      <x:c r="U336" s="14" t="str"/>
      <x:c r="V336" s="14" t="str">
        <x:v>24 giờ</x:v>
      </x:c>
      <x:c r="W336" s="14" t="str">
        <x:v>P2</x:v>
      </x:c>
      <x:c r="X336" s="14" t="str"/>
      <x:c r="Y336" s="14" t="str">
        <x:v>Chưa bắt đầu</x:v>
      </x:c>
      <x:c r="Z336" s="14" t="str"/>
      <x:c r="AA336" s="14" t="str">
        <x:v>https://datafiles.chinhphu.vn/cpp/files/vbpq/2026/5/18-bxd.pdf</x:v>
      </x:c>
      <x:c r="AB336" s="14" t="str">
        <x:v>sms; an toan; mor</x:v>
      </x:c>
    </x:row>
    <x:row r="337">
      <x:c r="A337" s="14" t="str">
        <x:v>VATM-0336</x:v>
      </x:c>
      <x:c r="B337" s="14" t="str">
        <x:v>III.3.1</x:v>
      </x:c>
      <x:c r="C337" s="14" t="str">
        <x:v>Thông tư 18/2026/TT-BXD - Chương trình an toàn HKDD</x:v>
      </x:c>
      <x:c r="D337" s="14" t="str">
        <x:v>Tong_hop_nhiem_vu_TT18_2026_TT_BXD_VATM_ANSP.xlsx</x:v>
      </x:c>
      <x:c r="E337" s="14" t="str">
        <x:v>05_MOR_PL_III</x:v>
      </x:c>
      <x:c r="F337" s="56" t="n">
        <x:v>105</x:v>
      </x:c>
      <x:c r="G337" s="14" t="str">
        <x:v>Phụ lục III Phần I Chương III Mục 3</x:v>
      </x:c>
      <x:c r="H337" s="14" t="str">
        <x:v>An toàn hàng không / SMS</x:v>
      </x:c>
      <x:c r="I337" s="14" t="str">
        <x:v>Báo cáo MOR, sự cố và điều tra</x:v>
      </x:c>
      <x:c r="J337" s="14" t="str">
        <x:v>Tổ chức/doanh nghiệp cung cấp dịch vụ bảo đảm hoạt động bay</x:v>
      </x:c>
      <x:c r="K337" s="14" t="str">
        <x:v>Trực tiếp</x:v>
      </x:c>
      <x:c r="L337" s="14" t="str">
        <x:v>Báo cáo/điều tra/khắc phục</x:v>
      </x:c>
      <x:c r="M337" s="14" t="str"/>
      <x:c r="N337" s="14" t="str">
        <x:v>Các tình huống can thiệp bất hợp pháp vào cơ sở cung cấp dịch vụ điều hành bay hoặc tàu bay như đe dọa khủng bố, đánh bom hoặc cướp tàu bay.</x:v>
      </x:c>
      <x:c r="O337" s="14" t="str">
        <x:v>Thông báo ban đầu ngay khi có thể; gửi MOR đến Cục HKVN trong vòng 24 giờ; điều tra/xác minh nội bộ, phân loại, xác định nguyên nhân và biện pháp khắc phục/phòng ngừa theo Điều 19, 21.</x:v>
      </x:c>
      <x:c r="P337" s="14" t="str"/>
      <x:c r="Q337" s="14" t="str"/>
      <x:c r="R337" s="14" t="str"/>
      <x:c r="S337" s="14" t="str">
        <x:v>Ban An toàn - Chất lượng</x:v>
      </x:c>
      <x:c r="T337" s="14" t="str">
        <x:v>Các Công ty Quản lý bay khu vực Bắc/Trung/Nam; Ban An toàn - Chất lượng</x:v>
      </x:c>
      <x:c r="U337" s="14" t="str"/>
      <x:c r="V337" s="14" t="str">
        <x:v>24 giờ</x:v>
      </x:c>
      <x:c r="W337" s="14" t="str">
        <x:v>P2</x:v>
      </x:c>
      <x:c r="X337" s="14" t="str"/>
      <x:c r="Y337" s="14" t="str">
        <x:v>Chưa bắt đầu</x:v>
      </x:c>
      <x:c r="Z337" s="14" t="str"/>
      <x:c r="AA337" s="14" t="str">
        <x:v>https://datafiles.chinhphu.vn/cpp/files/vbpq/2026/5/18-bxd.pdf</x:v>
      </x:c>
      <x:c r="AB337" s="14" t="str">
        <x:v>sms; an toan; mor</x:v>
      </x:c>
    </x:row>
    <x:row r="338">
      <x:c r="A338" s="14" t="str">
        <x:v>VATM-0337</x:v>
      </x:c>
      <x:c r="B338" s="14" t="str">
        <x:v>III.3.2</x:v>
      </x:c>
      <x:c r="C338" s="14" t="str">
        <x:v>Thông tư 18/2026/TT-BXD - Chương trình an toàn HKDD</x:v>
      </x:c>
      <x:c r="D338" s="14" t="str">
        <x:v>Tong_hop_nhiem_vu_TT18_2026_TT_BXD_VATM_ANSP.xlsx</x:v>
      </x:c>
      <x:c r="E338" s="14" t="str">
        <x:v>05_MOR_PL_III</x:v>
      </x:c>
      <x:c r="F338" s="56" t="n">
        <x:v>106</x:v>
      </x:c>
      <x:c r="G338" s="14" t="str">
        <x:v>Phụ lục III Phần I Chương III Mục 3</x:v>
      </x:c>
      <x:c r="H338" s="14" t="str">
        <x:v>An toàn hàng không / SMS</x:v>
      </x:c>
      <x:c r="I338" s="14" t="str">
        <x:v>Báo cáo MOR, sự cố và điều tra</x:v>
      </x:c>
      <x:c r="J338" s="14" t="str">
        <x:v>Tổ chức/doanh nghiệp cung cấp dịch vụ bảo đảm hoạt động bay</x:v>
      </x:c>
      <x:c r="K338" s="14" t="str">
        <x:v>Trực tiếp</x:v>
      </x:c>
      <x:c r="L338" s="14" t="str">
        <x:v>Báo cáo/điều tra/khắc phục</x:v>
      </x:c>
      <x:c r="M338" s="14" t="str"/>
      <x:c r="N338" s="14" t="str">
        <x:v>Chuyển giao kiểm soát tàu bay không có hiệp đồng hoặc không đúng với nội dung đã hiệp đồng.</x:v>
      </x:c>
      <x:c r="O338" s="14" t="str">
        <x:v>Thông báo ban đầu ngay khi có thể; gửi MOR đến Cục HKVN trong vòng 24 giờ; điều tra/xác minh nội bộ, phân loại, xác định nguyên nhân và biện pháp khắc phục/phòng ngừa theo Điều 19, 21.</x:v>
      </x:c>
      <x:c r="P338" s="14" t="str"/>
      <x:c r="Q338" s="14" t="str"/>
      <x:c r="R338" s="14" t="str"/>
      <x:c r="S338" s="14" t="str">
        <x:v>Ban An toàn - Chất lượng</x:v>
      </x:c>
      <x:c r="T338" s="14" t="str">
        <x:v>Các Công ty Quản lý bay khu vực Bắc/Trung/Nam; Ban An toàn - Chất lượng</x:v>
      </x:c>
      <x:c r="U338" s="14" t="str"/>
      <x:c r="V338" s="14" t="str">
        <x:v>24 giờ</x:v>
      </x:c>
      <x:c r="W338" s="14" t="str">
        <x:v>P2</x:v>
      </x:c>
      <x:c r="X338" s="14" t="str"/>
      <x:c r="Y338" s="14" t="str">
        <x:v>Chưa bắt đầu</x:v>
      </x:c>
      <x:c r="Z338" s="14" t="str"/>
      <x:c r="AA338" s="14" t="str">
        <x:v>https://datafiles.chinhphu.vn/cpp/files/vbpq/2026/5/18-bxd.pdf</x:v>
      </x:c>
      <x:c r="AB338" s="14" t="str">
        <x:v>sms; an toan; mor</x:v>
      </x:c>
    </x:row>
    <x:row r="339">
      <x:c r="A339" s="14" t="str">
        <x:v>VATM-0338</x:v>
      </x:c>
      <x:c r="B339" s="14" t="str">
        <x:v>III.3.3</x:v>
      </x:c>
      <x:c r="C339" s="14" t="str">
        <x:v>Thông tư 18/2026/TT-BXD - Chương trình an toàn HKDD</x:v>
      </x:c>
      <x:c r="D339" s="14" t="str">
        <x:v>Tong_hop_nhiem_vu_TT18_2026_TT_BXD_VATM_ANSP.xlsx</x:v>
      </x:c>
      <x:c r="E339" s="14" t="str">
        <x:v>05_MOR_PL_III</x:v>
      </x:c>
      <x:c r="F339" s="56" t="n">
        <x:v>107</x:v>
      </x:c>
      <x:c r="G339" s="14" t="str">
        <x:v>Phụ lục III Phần I Chương III Mục 3</x:v>
      </x:c>
      <x:c r="H339" s="14" t="str">
        <x:v>An toàn hàng không / SMS</x:v>
      </x:c>
      <x:c r="I339" s="14" t="str">
        <x:v>Báo cáo MOR, sự cố và điều tra</x:v>
      </x:c>
      <x:c r="J339" s="14" t="str">
        <x:v>Tổ chức/doanh nghiệp cung cấp dịch vụ bảo đảm hoạt động bay</x:v>
      </x:c>
      <x:c r="K339" s="14" t="str">
        <x:v>Trực tiếp</x:v>
      </x:c>
      <x:c r="L339" s="14" t="str">
        <x:v>Báo cáo/điều tra/khắc phục</x:v>
      </x:c>
      <x:c r="M339" s="14" t="str"/>
      <x:c r="N339" s="14" t="str">
        <x:v>Kiểm soát viên không lưu thực hiện không đúng quy trình, quy định có nguy cơ ảnh hưởng đến an toàn hoạt động bay.</x:v>
      </x:c>
      <x:c r="O339" s="14" t="str">
        <x:v>Thông báo ban đầu ngay khi có thể; gửi MOR đến Cục HKVN trong vòng 24 giờ; điều tra/xác minh nội bộ, phân loại, xác định nguyên nhân và biện pháp khắc phục/phòng ngừa theo Điều 19, 21.</x:v>
      </x:c>
      <x:c r="P339" s="14" t="str"/>
      <x:c r="Q339" s="14" t="str"/>
      <x:c r="R339" s="14" t="str"/>
      <x:c r="S339" s="14" t="str">
        <x:v>Ban An toàn - Chất lượng</x:v>
      </x:c>
      <x:c r="T339" s="14" t="str">
        <x:v>Các Công ty Quản lý bay khu vực Bắc/Trung/Nam; Ban An toàn - Chất lượng</x:v>
      </x:c>
      <x:c r="U339" s="14" t="str"/>
      <x:c r="V339" s="14" t="str">
        <x:v>24 giờ</x:v>
      </x:c>
      <x:c r="W339" s="14" t="str">
        <x:v>P2</x:v>
      </x:c>
      <x:c r="X339" s="14" t="str"/>
      <x:c r="Y339" s="14" t="str">
        <x:v>Chưa bắt đầu</x:v>
      </x:c>
      <x:c r="Z339" s="14" t="str"/>
      <x:c r="AA339" s="14" t="str">
        <x:v>https://datafiles.chinhphu.vn/cpp/files/vbpq/2026/5/18-bxd.pdf</x:v>
      </x:c>
      <x:c r="AB339" s="14" t="str">
        <x:v>sms; an toan; mor</x:v>
      </x:c>
    </x:row>
    <x:row r="340">
      <x:c r="A340" s="14" t="str">
        <x:v>VATM-0339</x:v>
      </x:c>
      <x:c r="B340" s="14" t="str">
        <x:v>III.3.4</x:v>
      </x:c>
      <x:c r="C340" s="14" t="str">
        <x:v>Thông tư 18/2026/TT-BXD - Chương trình an toàn HKDD</x:v>
      </x:c>
      <x:c r="D340" s="14" t="str">
        <x:v>Tong_hop_nhiem_vu_TT18_2026_TT_BXD_VATM_ANSP.xlsx</x:v>
      </x:c>
      <x:c r="E340" s="14" t="str">
        <x:v>05_MOR_PL_III</x:v>
      </x:c>
      <x:c r="F340" s="56" t="n">
        <x:v>108</x:v>
      </x:c>
      <x:c r="G340" s="14" t="str">
        <x:v>Phụ lục III Phần I Chương III Mục 3</x:v>
      </x:c>
      <x:c r="H340" s="14" t="str">
        <x:v>An toàn hàng không / SMS</x:v>
      </x:c>
      <x:c r="I340" s="14" t="str">
        <x:v>Báo cáo MOR, sự cố và điều tra</x:v>
      </x:c>
      <x:c r="J340" s="14" t="str">
        <x:v>Tổ chức/doanh nghiệp cung cấp dịch vụ bảo đảm hoạt động bay</x:v>
      </x:c>
      <x:c r="K340" s="14" t="str">
        <x:v>Trực tiếp</x:v>
      </x:c>
      <x:c r="L340" s="14" t="str">
        <x:v>Báo cáo/điều tra/khắc phục</x:v>
      </x:c>
      <x:c r="M340" s="14" t="str"/>
      <x:c r="N340" s="14" t="str">
        <x:v>Nhân viên hàng không bị thương khi thực hiện nhiệm vụ.</x:v>
      </x:c>
      <x:c r="O340" s="14" t="str">
        <x:v>Thông báo ban đầu ngay khi có thể; gửi MOR đến Cục HKVN trong vòng 24 giờ; điều tra/xác minh nội bộ, phân loại, xác định nguyên nhân và biện pháp khắc phục/phòng ngừa theo Điều 19, 21.</x:v>
      </x:c>
      <x:c r="P340" s="14" t="str"/>
      <x:c r="Q340" s="14" t="str"/>
      <x:c r="R340" s="14" t="str"/>
      <x:c r="S340" s="14" t="str">
        <x:v>Ban An toàn - Chất lượng</x:v>
      </x:c>
      <x:c r="T340" s="14" t="str">
        <x:v>Các Công ty Quản lý bay khu vực Bắc/Trung/Nam; Ban An toàn - Chất lượng</x:v>
      </x:c>
      <x:c r="U340" s="14" t="str"/>
      <x:c r="V340" s="14" t="str">
        <x:v>24 giờ</x:v>
      </x:c>
      <x:c r="W340" s="14" t="str">
        <x:v>P2</x:v>
      </x:c>
      <x:c r="X340" s="14" t="str"/>
      <x:c r="Y340" s="14" t="str">
        <x:v>Chưa bắt đầu</x:v>
      </x:c>
      <x:c r="Z340" s="14" t="str"/>
      <x:c r="AA340" s="14" t="str">
        <x:v>https://datafiles.chinhphu.vn/cpp/files/vbpq/2026/5/18-bxd.pdf</x:v>
      </x:c>
      <x:c r="AB340" s="14" t="str">
        <x:v>sms; an toan; mor</x:v>
      </x:c>
    </x:row>
    <x:row r="341">
      <x:c r="A341" s="14" t="str">
        <x:v>VATM-0340</x:v>
      </x:c>
      <x:c r="B341" s="14" t="str">
        <x:v>IV.1</x:v>
      </x:c>
      <x:c r="C341" s="14" t="str">
        <x:v>Thông tư 18/2026/TT-BXD - Chương trình an toàn HKDD</x:v>
      </x:c>
      <x:c r="D341" s="14" t="str">
        <x:v>Tong_hop_nhiem_vu_TT18_2026_TT_BXD_VATM_ANSP.xlsx</x:v>
      </x:c>
      <x:c r="E341" s="14" t="str">
        <x:v>05_MOR_PL_III</x:v>
      </x:c>
      <x:c r="F341" s="56" t="n">
        <x:v>109</x:v>
      </x:c>
      <x:c r="G341" s="14" t="str">
        <x:v>Phụ lục III Phần I Chương IV</x:v>
      </x:c>
      <x:c r="H341" s="14" t="str">
        <x:v>An toàn hàng không / SMS</x:v>
      </x:c>
      <x:c r="I341" s="14" t="str">
        <x:v>Báo cáo MOR, sự cố và điều tra</x:v>
      </x:c>
      <x:c r="J341" s="14" t="str">
        <x:v>Người khai thác cảng hàng không</x:v>
      </x:c>
      <x:c r="K341" s="14" t="str">
        <x:v>Phối hợp/Gián tiếp</x:v>
      </x:c>
      <x:c r="L341" s="14" t="str">
        <x:v>Báo cáo/điều tra/khắc phục</x:v>
      </x:c>
      <x:c r="M341" s="14" t="str"/>
      <x:c r="N341" s="14" t="str">
        <x:v>Tàu bay hủy việc thực hiện cất cánh khi đang chạy đà trên đường cất hạ cánh.</x:v>
      </x:c>
      <x:c r="O341" s="14" t="str">
        <x:v>Thông báo ban đầu ngay khi có thể; gửi MOR đến Cục HKVN trong vòng 24 giờ; điều tra/xác minh nội bộ, phân loại, xác định nguyên nhân và biện pháp khắc phục/phòng ngừa theo Điều 19, 21.</x:v>
      </x:c>
      <x:c r="P341" s="14" t="str"/>
      <x:c r="Q341" s="14" t="str"/>
      <x:c r="R341" s="14" t="str"/>
      <x:c r="S341" s="14" t="str">
        <x:v>Ban An toàn - Chất lượng</x:v>
      </x:c>
      <x:c r="T341" s="14" t="str">
        <x:v>Các Công ty Quản lý bay khu vực Bắc/Trung/Nam; Ban An toàn - Chất lượng</x:v>
      </x:c>
      <x:c r="U341" s="14" t="str"/>
      <x:c r="V341" s="14" t="str">
        <x:v>24 giờ</x:v>
      </x:c>
      <x:c r="W341" s="14" t="str">
        <x:v>P2</x:v>
      </x:c>
      <x:c r="X341" s="14" t="str"/>
      <x:c r="Y341" s="14" t="str">
        <x:v>Chưa bắt đầu</x:v>
      </x:c>
      <x:c r="Z341" s="14" t="str"/>
      <x:c r="AA341" s="14" t="str">
        <x:v>https://datafiles.chinhphu.vn/cpp/files/vbpq/2026/5/18-bxd.pdf</x:v>
      </x:c>
      <x:c r="AB341" s="14" t="str">
        <x:v>sms; an toan; mor</x:v>
      </x:c>
    </x:row>
    <x:row r="342">
      <x:c r="A342" s="14" t="str">
        <x:v>VATM-0341</x:v>
      </x:c>
      <x:c r="B342" s="14" t="str">
        <x:v>IV.2</x:v>
      </x:c>
      <x:c r="C342" s="14" t="str">
        <x:v>Thông tư 18/2026/TT-BXD - Chương trình an toàn HKDD</x:v>
      </x:c>
      <x:c r="D342" s="14" t="str">
        <x:v>Tong_hop_nhiem_vu_TT18_2026_TT_BXD_VATM_ANSP.xlsx</x:v>
      </x:c>
      <x:c r="E342" s="14" t="str">
        <x:v>05_MOR_PL_III</x:v>
      </x:c>
      <x:c r="F342" s="56" t="n">
        <x:v>110</x:v>
      </x:c>
      <x:c r="G342" s="14" t="str">
        <x:v>Phụ lục III Phần I Chương IV</x:v>
      </x:c>
      <x:c r="H342" s="14" t="str">
        <x:v>An toàn hàng không / SMS</x:v>
      </x:c>
      <x:c r="I342" s="14" t="str">
        <x:v>Báo cáo MOR, sự cố và điều tra</x:v>
      </x:c>
      <x:c r="J342" s="14" t="str">
        <x:v>Người khai thác cảng hàng không</x:v>
      </x:c>
      <x:c r="K342" s="14" t="str">
        <x:v>Phối hợp/Gián tiếp</x:v>
      </x:c>
      <x:c r="L342" s="14" t="str">
        <x:v>Báo cáo/điều tra/khắc phục</x:v>
      </x:c>
      <x:c r="M342" s="14" t="str"/>
      <x:c r="N342" s="14" t="str">
        <x:v>Tàu bay xông ra ngoài đường cất hạ cánh, đường lăn hoặc hạ lệch đường cất hạ cánh.</x:v>
      </x:c>
      <x:c r="O342" s="14" t="str">
        <x:v>Thông báo ban đầu ngay khi có thể; gửi MOR đến Cục HKVN trong vòng 24 giờ; điều tra/xác minh nội bộ, phân loại, xác định nguyên nhân và biện pháp khắc phục/phòng ngừa theo Điều 19, 21.</x:v>
      </x:c>
      <x:c r="P342" s="14" t="str"/>
      <x:c r="Q342" s="14" t="str"/>
      <x:c r="R342" s="14" t="str"/>
      <x:c r="S342" s="14" t="str">
        <x:v>Ban An toàn - Chất lượng</x:v>
      </x:c>
      <x:c r="T342" s="14" t="str">
        <x:v>Các Công ty Quản lý bay khu vực Bắc/Trung/Nam; Ban An toàn - Chất lượng</x:v>
      </x:c>
      <x:c r="U342" s="14" t="str"/>
      <x:c r="V342" s="14" t="str">
        <x:v>24 giờ</x:v>
      </x:c>
      <x:c r="W342" s="14" t="str">
        <x:v>P2</x:v>
      </x:c>
      <x:c r="X342" s="14" t="str"/>
      <x:c r="Y342" s="14" t="str">
        <x:v>Chưa bắt đầu</x:v>
      </x:c>
      <x:c r="Z342" s="14" t="str"/>
      <x:c r="AA342" s="14" t="str">
        <x:v>https://datafiles.chinhphu.vn/cpp/files/vbpq/2026/5/18-bxd.pdf</x:v>
      </x:c>
      <x:c r="AB342" s="14" t="str">
        <x:v>sms; an toan; mor</x:v>
      </x:c>
    </x:row>
    <x:row r="343">
      <x:c r="A343" s="14" t="str">
        <x:v>VATM-0342</x:v>
      </x:c>
      <x:c r="B343" s="14" t="str">
        <x:v>IV.3</x:v>
      </x:c>
      <x:c r="C343" s="14" t="str">
        <x:v>Thông tư 18/2026/TT-BXD - Chương trình an toàn HKDD</x:v>
      </x:c>
      <x:c r="D343" s="14" t="str">
        <x:v>Tong_hop_nhiem_vu_TT18_2026_TT_BXD_VATM_ANSP.xlsx</x:v>
      </x:c>
      <x:c r="E343" s="14" t="str">
        <x:v>05_MOR_PL_III</x:v>
      </x:c>
      <x:c r="F343" s="56" t="n">
        <x:v>111</x:v>
      </x:c>
      <x:c r="G343" s="14" t="str">
        <x:v>Phụ lục III Phần I Chương IV</x:v>
      </x:c>
      <x:c r="H343" s="14" t="str">
        <x:v>An toàn hàng không / SMS</x:v>
      </x:c>
      <x:c r="I343" s="14" t="str">
        <x:v>Báo cáo MOR, sự cố và điều tra</x:v>
      </x:c>
      <x:c r="J343" s="14" t="str">
        <x:v>Người khai thác cảng hàng không</x:v>
      </x:c>
      <x:c r="K343" s="14" t="str">
        <x:v>Phối hợp/Gián tiếp</x:v>
      </x:c>
      <x:c r="L343" s="14" t="str">
        <x:v>Báo cáo/điều tra/khắc phục</x:v>
      </x:c>
      <x:c r="M343" s="14" t="str"/>
      <x:c r="N343" s="14" t="str">
        <x:v>Va chạm hoặc nguy cơ va chạm giữa tàu bay với tàu bay khác trên đường CHC.</x:v>
      </x:c>
      <x:c r="O343" s="14" t="str">
        <x:v>Thông báo ban đầu ngay khi có thể; gửi MOR đến Cục HKVN trong vòng 24 giờ; điều tra/xác minh nội bộ, phân loại, xác định nguyên nhân và biện pháp khắc phục/phòng ngừa theo Điều 19, 21.</x:v>
      </x:c>
      <x:c r="P343" s="14" t="str"/>
      <x:c r="Q343" s="14" t="str"/>
      <x:c r="R343" s="14" t="str"/>
      <x:c r="S343" s="14" t="str">
        <x:v>Ban An toàn - Chất lượng</x:v>
      </x:c>
      <x:c r="T343" s="14" t="str">
        <x:v>Các Công ty Quản lý bay khu vực Bắc/Trung/Nam; Ban An toàn - Chất lượng</x:v>
      </x:c>
      <x:c r="U343" s="14" t="str"/>
      <x:c r="V343" s="14" t="str">
        <x:v>24 giờ</x:v>
      </x:c>
      <x:c r="W343" s="14" t="str">
        <x:v>P2</x:v>
      </x:c>
      <x:c r="X343" s="14" t="str"/>
      <x:c r="Y343" s="14" t="str">
        <x:v>Chưa bắt đầu</x:v>
      </x:c>
      <x:c r="Z343" s="14" t="str"/>
      <x:c r="AA343" s="14" t="str">
        <x:v>https://datafiles.chinhphu.vn/cpp/files/vbpq/2026/5/18-bxd.pdf</x:v>
      </x:c>
      <x:c r="AB343" s="14" t="str">
        <x:v>sms; an toan; mor</x:v>
      </x:c>
    </x:row>
    <x:row r="344">
      <x:c r="A344" s="14" t="str">
        <x:v>VATM-0343</x:v>
      </x:c>
      <x:c r="B344" s="14" t="str">
        <x:v>IV.4</x:v>
      </x:c>
      <x:c r="C344" s="14" t="str">
        <x:v>Thông tư 18/2026/TT-BXD - Chương trình an toàn HKDD</x:v>
      </x:c>
      <x:c r="D344" s="14" t="str">
        <x:v>Tong_hop_nhiem_vu_TT18_2026_TT_BXD_VATM_ANSP.xlsx</x:v>
      </x:c>
      <x:c r="E344" s="14" t="str">
        <x:v>05_MOR_PL_III</x:v>
      </x:c>
      <x:c r="F344" s="56" t="n">
        <x:v>112</x:v>
      </x:c>
      <x:c r="G344" s="14" t="str">
        <x:v>Phụ lục III Phần I Chương IV</x:v>
      </x:c>
      <x:c r="H344" s="14" t="str">
        <x:v>An toàn hàng không / SMS</x:v>
      </x:c>
      <x:c r="I344" s="14" t="str">
        <x:v>Báo cáo MOR, sự cố và điều tra</x:v>
      </x:c>
      <x:c r="J344" s="14" t="str">
        <x:v>Người khai thác cảng hàng không</x:v>
      </x:c>
      <x:c r="K344" s="14" t="str">
        <x:v>Phối hợp/Gián tiếp</x:v>
      </x:c>
      <x:c r="L344" s="14" t="str">
        <x:v>Báo cáo/điều tra/khắc phục</x:v>
      </x:c>
      <x:c r="M344" s="14" t="str"/>
      <x:c r="N344" s="14" t="str">
        <x:v>Va chạm hoặc nguy cơ va chạm giữa tàu bay với tàu bay, người, phương tiện, thiết bị, công trình trong sân bay và vật thể khác trong sân bay.</x:v>
      </x:c>
      <x:c r="O344" s="14" t="str">
        <x:v>Thông báo ban đầu ngay khi có thể; gửi MOR đến Cục HKVN trong vòng 24 giờ; điều tra/xác minh nội bộ, phân loại, xác định nguyên nhân và biện pháp khắc phục/phòng ngừa theo Điều 19, 21.</x:v>
      </x:c>
      <x:c r="P344" s="14" t="str"/>
      <x:c r="Q344" s="14" t="str"/>
      <x:c r="R344" s="14" t="str"/>
      <x:c r="S344" s="14" t="str">
        <x:v>Ban An toàn - Chất lượng</x:v>
      </x:c>
      <x:c r="T344" s="14" t="str">
        <x:v>Các Công ty Quản lý bay khu vực Bắc/Trung/Nam; Ban An toàn - Chất lượng</x:v>
      </x:c>
      <x:c r="U344" s="14" t="str"/>
      <x:c r="V344" s="14" t="str">
        <x:v>24 giờ</x:v>
      </x:c>
      <x:c r="W344" s="14" t="str">
        <x:v>P2</x:v>
      </x:c>
      <x:c r="X344" s="14" t="str"/>
      <x:c r="Y344" s="14" t="str">
        <x:v>Chưa bắt đầu</x:v>
      </x:c>
      <x:c r="Z344" s="14" t="str"/>
      <x:c r="AA344" s="14" t="str">
        <x:v>https://datafiles.chinhphu.vn/cpp/files/vbpq/2026/5/18-bxd.pdf</x:v>
      </x:c>
      <x:c r="AB344" s="14" t="str">
        <x:v>sms; an toan; mor; san bay</x:v>
      </x:c>
    </x:row>
    <x:row r="345">
      <x:c r="A345" s="14" t="str">
        <x:v>VATM-0344</x:v>
      </x:c>
      <x:c r="B345" s="14" t="str">
        <x:v>IV.5</x:v>
      </x:c>
      <x:c r="C345" s="14" t="str">
        <x:v>Thông tư 18/2026/TT-BXD - Chương trình an toàn HKDD</x:v>
      </x:c>
      <x:c r="D345" s="14" t="str">
        <x:v>Tong_hop_nhiem_vu_TT18_2026_TT_BXD_VATM_ANSP.xlsx</x:v>
      </x:c>
      <x:c r="E345" s="14" t="str">
        <x:v>05_MOR_PL_III</x:v>
      </x:c>
      <x:c r="F345" s="56" t="n">
        <x:v>113</x:v>
      </x:c>
      <x:c r="G345" s="14" t="str">
        <x:v>Phụ lục III Phần I Chương IV</x:v>
      </x:c>
      <x:c r="H345" s="14" t="str">
        <x:v>An toàn hàng không / SMS</x:v>
      </x:c>
      <x:c r="I345" s="14" t="str">
        <x:v>Báo cáo MOR, sự cố và điều tra</x:v>
      </x:c>
      <x:c r="J345" s="14" t="str">
        <x:v>Người khai thác cảng hàng không</x:v>
      </x:c>
      <x:c r="K345" s="14" t="str">
        <x:v>Phối hợp/Gián tiếp</x:v>
      </x:c>
      <x:c r="L345" s="14" t="str">
        <x:v>Báo cáo/điều tra/khắc phục</x:v>
      </x:c>
      <x:c r="M345" s="14" t="str"/>
      <x:c r="N345" s="14" t="str">
        <x:v>Can thiệp bất hợp pháp vào tàu bay kể cả việc đe dọa dùng bom hoặc cướp tàu bay.</x:v>
      </x:c>
      <x:c r="O345" s="14" t="str">
        <x:v>Thông báo ban đầu ngay khi có thể; gửi MOR đến Cục HKVN trong vòng 24 giờ; điều tra/xác minh nội bộ, phân loại, xác định nguyên nhân và biện pháp khắc phục/phòng ngừa theo Điều 19, 21.</x:v>
      </x:c>
      <x:c r="P345" s="14" t="str"/>
      <x:c r="Q345" s="14" t="str"/>
      <x:c r="R345" s="14" t="str"/>
      <x:c r="S345" s="14" t="str">
        <x:v>Ban An toàn - Chất lượng</x:v>
      </x:c>
      <x:c r="T345" s="14" t="str">
        <x:v>Các Công ty Quản lý bay khu vực Bắc/Trung/Nam; Ban An toàn - Chất lượng</x:v>
      </x:c>
      <x:c r="U345" s="14" t="str"/>
      <x:c r="V345" s="14" t="str">
        <x:v>24 giờ</x:v>
      </x:c>
      <x:c r="W345" s="14" t="str">
        <x:v>P2</x:v>
      </x:c>
      <x:c r="X345" s="14" t="str"/>
      <x:c r="Y345" s="14" t="str">
        <x:v>Chưa bắt đầu</x:v>
      </x:c>
      <x:c r="Z345" s="14" t="str"/>
      <x:c r="AA345" s="14" t="str">
        <x:v>https://datafiles.chinhphu.vn/cpp/files/vbpq/2026/5/18-bxd.pdf</x:v>
      </x:c>
      <x:c r="AB345" s="14" t="str">
        <x:v>sms; an toan; mor</x:v>
      </x:c>
    </x:row>
    <x:row r="346">
      <x:c r="A346" s="14" t="str">
        <x:v>VATM-0345</x:v>
      </x:c>
      <x:c r="B346" s="14" t="str">
        <x:v>IV.6</x:v>
      </x:c>
      <x:c r="C346" s="14" t="str">
        <x:v>Thông tư 18/2026/TT-BXD - Chương trình an toàn HKDD</x:v>
      </x:c>
      <x:c r="D346" s="14" t="str">
        <x:v>Tong_hop_nhiem_vu_TT18_2026_TT_BXD_VATM_ANSP.xlsx</x:v>
      </x:c>
      <x:c r="E346" s="14" t="str">
        <x:v>05_MOR_PL_III</x:v>
      </x:c>
      <x:c r="F346" s="56" t="n">
        <x:v>114</x:v>
      </x:c>
      <x:c r="G346" s="14" t="str">
        <x:v>Phụ lục III Phần I Chương IV</x:v>
      </x:c>
      <x:c r="H346" s="14" t="str">
        <x:v>An toàn hàng không / SMS</x:v>
      </x:c>
      <x:c r="I346" s="14" t="str">
        <x:v>Báo cáo MOR, sự cố và điều tra</x:v>
      </x:c>
      <x:c r="J346" s="14" t="str">
        <x:v>Người khai thác cảng hàng không</x:v>
      </x:c>
      <x:c r="K346" s="14" t="str">
        <x:v>Phối hợp/Gián tiếp</x:v>
      </x:c>
      <x:c r="L346" s="14" t="str">
        <x:v>Báo cáo/điều tra/khắc phục</x:v>
      </x:c>
      <x:c r="M346" s="14" t="str"/>
      <x:c r="N346" s="14" t="str">
        <x:v>Tàu bay cất, hạ cánh trên đường CHC đang đóng cửa, đường CHC chưa được phép khai thác hoặc cất/hạ cánh nhầm đường CHC.</x:v>
      </x:c>
      <x:c r="O346" s="14" t="str">
        <x:v>Thông báo ban đầu ngay khi có thể; gửi MOR đến Cục HKVN trong vòng 24 giờ; điều tra/xác minh nội bộ, phân loại, xác định nguyên nhân và biện pháp khắc phục/phòng ngừa theo Điều 19, 21.</x:v>
      </x:c>
      <x:c r="P346" s="14" t="str"/>
      <x:c r="Q346" s="14" t="str"/>
      <x:c r="R346" s="14" t="str"/>
      <x:c r="S346" s="14" t="str">
        <x:v>Ban An toàn - Chất lượng</x:v>
      </x:c>
      <x:c r="T346" s="14" t="str">
        <x:v>Các Công ty Quản lý bay khu vực Bắc/Trung/Nam; Ban An toàn - Chất lượng</x:v>
      </x:c>
      <x:c r="U346" s="14" t="str"/>
      <x:c r="V346" s="14" t="str">
        <x:v>24 giờ</x:v>
      </x:c>
      <x:c r="W346" s="14" t="str">
        <x:v>P2</x:v>
      </x:c>
      <x:c r="X346" s="14" t="str"/>
      <x:c r="Y346" s="14" t="str">
        <x:v>Chưa bắt đầu</x:v>
      </x:c>
      <x:c r="Z346" s="14" t="str"/>
      <x:c r="AA346" s="14" t="str">
        <x:v>https://datafiles.chinhphu.vn/cpp/files/vbpq/2026/5/18-bxd.pdf</x:v>
      </x:c>
      <x:c r="AB346" s="14" t="str">
        <x:v>sms; an toan; mor</x:v>
      </x:c>
    </x:row>
    <x:row r="347">
      <x:c r="A347" s="14" t="str">
        <x:v>VATM-0346</x:v>
      </x:c>
      <x:c r="B347" s="14" t="str">
        <x:v>IV.7</x:v>
      </x:c>
      <x:c r="C347" s="14" t="str">
        <x:v>Thông tư 18/2026/TT-BXD - Chương trình an toàn HKDD</x:v>
      </x:c>
      <x:c r="D347" s="14" t="str">
        <x:v>Tong_hop_nhiem_vu_TT18_2026_TT_BXD_VATM_ANSP.xlsx</x:v>
      </x:c>
      <x:c r="E347" s="14" t="str">
        <x:v>05_MOR_PL_III</x:v>
      </x:c>
      <x:c r="F347" s="56" t="n">
        <x:v>115</x:v>
      </x:c>
      <x:c r="G347" s="14" t="str">
        <x:v>Phụ lục III Phần I Chương IV</x:v>
      </x:c>
      <x:c r="H347" s="14" t="str">
        <x:v>An toàn hàng không / SMS</x:v>
      </x:c>
      <x:c r="I347" s="14" t="str">
        <x:v>Báo cáo MOR, sự cố và điều tra</x:v>
      </x:c>
      <x:c r="J347" s="14" t="str">
        <x:v>Người khai thác cảng hàng không</x:v>
      </x:c>
      <x:c r="K347" s="14" t="str">
        <x:v>Phối hợp/Gián tiếp</x:v>
      </x:c>
      <x:c r="L347" s="14" t="str">
        <x:v>Báo cáo/điều tra/khắc phục</x:v>
      </x:c>
      <x:c r="M347" s="14" t="str"/>
      <x:c r="N347" s="14" t="str">
        <x:v>Tàu bay, phương tiện, con người vi phạm khoảng cách an toàn hoặc xâm nhập đường CHC, đường lăn khi không được phép.</x:v>
      </x:c>
      <x:c r="O347" s="14" t="str">
        <x:v>Thông báo ban đầu ngay khi có thể; gửi MOR đến Cục HKVN trong vòng 24 giờ; điều tra/xác minh nội bộ, phân loại, xác định nguyên nhân và biện pháp khắc phục/phòng ngừa theo Điều 19, 21.</x:v>
      </x:c>
      <x:c r="P347" s="14" t="str"/>
      <x:c r="Q347" s="14" t="str"/>
      <x:c r="R347" s="14" t="str"/>
      <x:c r="S347" s="14" t="str">
        <x:v>Ban An toàn - Chất lượng</x:v>
      </x:c>
      <x:c r="T347" s="14" t="str">
        <x:v>Các Công ty Quản lý bay khu vực Bắc/Trung/Nam; Ban An toàn - Chất lượng</x:v>
      </x:c>
      <x:c r="U347" s="14" t="str"/>
      <x:c r="V347" s="14" t="str">
        <x:v>24 giờ</x:v>
      </x:c>
      <x:c r="W347" s="14" t="str">
        <x:v>P2</x:v>
      </x:c>
      <x:c r="X347" s="14" t="str"/>
      <x:c r="Y347" s="14" t="str">
        <x:v>Chưa bắt đầu</x:v>
      </x:c>
      <x:c r="Z347" s="14" t="str"/>
      <x:c r="AA347" s="14" t="str">
        <x:v>https://datafiles.chinhphu.vn/cpp/files/vbpq/2026/5/18-bxd.pdf</x:v>
      </x:c>
      <x:c r="AB347" s="14" t="str">
        <x:v>sms; an toan; mor</x:v>
      </x:c>
    </x:row>
    <x:row r="348">
      <x:c r="A348" s="14" t="str">
        <x:v>VATM-0347</x:v>
      </x:c>
      <x:c r="B348" s="14" t="str">
        <x:v>IV.8</x:v>
      </x:c>
      <x:c r="C348" s="14" t="str">
        <x:v>Thông tư 18/2026/TT-BXD - Chương trình an toàn HKDD</x:v>
      </x:c>
      <x:c r="D348" s="14" t="str">
        <x:v>Tong_hop_nhiem_vu_TT18_2026_TT_BXD_VATM_ANSP.xlsx</x:v>
      </x:c>
      <x:c r="E348" s="14" t="str">
        <x:v>05_MOR_PL_III</x:v>
      </x:c>
      <x:c r="F348" s="56" t="n">
        <x:v>116</x:v>
      </x:c>
      <x:c r="G348" s="14" t="str">
        <x:v>Phụ lục III Phần I Chương IV</x:v>
      </x:c>
      <x:c r="H348" s="14" t="str">
        <x:v>An toàn hàng không / SMS</x:v>
      </x:c>
      <x:c r="I348" s="14" t="str">
        <x:v>Báo cáo MOR, sự cố và điều tra</x:v>
      </x:c>
      <x:c r="J348" s="14" t="str">
        <x:v>Người khai thác cảng hàng không</x:v>
      </x:c>
      <x:c r="K348" s="14" t="str">
        <x:v>Phối hợp/Gián tiếp</x:v>
      </x:c>
      <x:c r="L348" s="14" t="str">
        <x:v>Báo cáo/điều tra/khắc phục</x:v>
      </x:c>
      <x:c r="M348" s="14" t="str"/>
      <x:c r="N348" s="14" t="str">
        <x:v>Tàu bay lăn nhầm đường lăn, vệt lăn, vị trí đỗ tàu bay.</x:v>
      </x:c>
      <x:c r="O348" s="14" t="str">
        <x:v>Thông báo ban đầu ngay khi có thể; gửi MOR đến Cục HKVN trong vòng 24 giờ; điều tra/xác minh nội bộ, phân loại, xác định nguyên nhân và biện pháp khắc phục/phòng ngừa theo Điều 19, 21.</x:v>
      </x:c>
      <x:c r="P348" s="14" t="str"/>
      <x:c r="Q348" s="14" t="str"/>
      <x:c r="R348" s="14" t="str"/>
      <x:c r="S348" s="14" t="str">
        <x:v>Ban An toàn - Chất lượng</x:v>
      </x:c>
      <x:c r="T348" s="14" t="str">
        <x:v>Các Công ty Quản lý bay khu vực Bắc/Trung/Nam; Ban An toàn - Chất lượng</x:v>
      </x:c>
      <x:c r="U348" s="14" t="str"/>
      <x:c r="V348" s="14" t="str">
        <x:v>24 giờ</x:v>
      </x:c>
      <x:c r="W348" s="14" t="str">
        <x:v>P2</x:v>
      </x:c>
      <x:c r="X348" s="14" t="str"/>
      <x:c r="Y348" s="14" t="str">
        <x:v>Chưa bắt đầu</x:v>
      </x:c>
      <x:c r="Z348" s="14" t="str"/>
      <x:c r="AA348" s="14" t="str">
        <x:v>https://datafiles.chinhphu.vn/cpp/files/vbpq/2026/5/18-bxd.pdf</x:v>
      </x:c>
      <x:c r="AB348" s="14" t="str">
        <x:v>sms; an toan; mor</x:v>
      </x:c>
    </x:row>
    <x:row r="349">
      <x:c r="A349" s="14" t="str">
        <x:v>VATM-0348</x:v>
      </x:c>
      <x:c r="B349" s="14" t="str">
        <x:v>IV.9</x:v>
      </x:c>
      <x:c r="C349" s="14" t="str">
        <x:v>Thông tư 18/2026/TT-BXD - Chương trình an toàn HKDD</x:v>
      </x:c>
      <x:c r="D349" s="14" t="str">
        <x:v>Tong_hop_nhiem_vu_TT18_2026_TT_BXD_VATM_ANSP.xlsx</x:v>
      </x:c>
      <x:c r="E349" s="14" t="str">
        <x:v>05_MOR_PL_III</x:v>
      </x:c>
      <x:c r="F349" s="56" t="n">
        <x:v>117</x:v>
      </x:c>
      <x:c r="G349" s="14" t="str">
        <x:v>Phụ lục III Phần I Chương IV</x:v>
      </x:c>
      <x:c r="H349" s="14" t="str">
        <x:v>An toàn hàng không / SMS</x:v>
      </x:c>
      <x:c r="I349" s="14" t="str">
        <x:v>Báo cáo MOR, sự cố và điều tra</x:v>
      </x:c>
      <x:c r="J349" s="14" t="str">
        <x:v>Người khai thác cảng hàng không</x:v>
      </x:c>
      <x:c r="K349" s="14" t="str">
        <x:v>Phối hợp/Gián tiếp</x:v>
      </x:c>
      <x:c r="L349" s="14" t="str">
        <x:v>Báo cáo/điều tra/khắc phục</x:v>
      </x:c>
      <x:c r="M349" s="14" t="str"/>
      <x:c r="N349" s="14" t="str">
        <x:v>Va chạm với vật ngoại lai gây hư hỏng cho tàu bay.</x:v>
      </x:c>
      <x:c r="O349" s="14" t="str">
        <x:v>Thông báo ban đầu ngay khi có thể; gửi MOR đến Cục HKVN trong vòng 24 giờ; điều tra/xác minh nội bộ, phân loại, xác định nguyên nhân và biện pháp khắc phục/phòng ngừa theo Điều 19, 21.</x:v>
      </x:c>
      <x:c r="P349" s="14" t="str"/>
      <x:c r="Q349" s="14" t="str"/>
      <x:c r="R349" s="14" t="str"/>
      <x:c r="S349" s="14" t="str">
        <x:v>Ban An toàn - Chất lượng</x:v>
      </x:c>
      <x:c r="T349" s="14" t="str">
        <x:v>Các Công ty Quản lý bay khu vực Bắc/Trung/Nam; Ban An toàn - Chất lượng</x:v>
      </x:c>
      <x:c r="U349" s="14" t="str"/>
      <x:c r="V349" s="14" t="str">
        <x:v>24 giờ</x:v>
      </x:c>
      <x:c r="W349" s="14" t="str">
        <x:v>P2</x:v>
      </x:c>
      <x:c r="X349" s="14" t="str"/>
      <x:c r="Y349" s="14" t="str">
        <x:v>Chưa bắt đầu</x:v>
      </x:c>
      <x:c r="Z349" s="14" t="str"/>
      <x:c r="AA349" s="14" t="str">
        <x:v>https://datafiles.chinhphu.vn/cpp/files/vbpq/2026/5/18-bxd.pdf</x:v>
      </x:c>
      <x:c r="AB349" s="14" t="str">
        <x:v>sms; an toan; mor</x:v>
      </x:c>
    </x:row>
    <x:row r="350">
      <x:c r="A350" s="14" t="str">
        <x:v>VATM-0349</x:v>
      </x:c>
      <x:c r="B350" s="14" t="str">
        <x:v>IV.10</x:v>
      </x:c>
      <x:c r="C350" s="14" t="str">
        <x:v>Thông tư 18/2026/TT-BXD - Chương trình an toàn HKDD</x:v>
      </x:c>
      <x:c r="D350" s="14" t="str">
        <x:v>Tong_hop_nhiem_vu_TT18_2026_TT_BXD_VATM_ANSP.xlsx</x:v>
      </x:c>
      <x:c r="E350" s="14" t="str">
        <x:v>05_MOR_PL_III</x:v>
      </x:c>
      <x:c r="F350" s="56" t="n">
        <x:v>118</x:v>
      </x:c>
      <x:c r="G350" s="14" t="str">
        <x:v>Phụ lục III Phần I Chương IV</x:v>
      </x:c>
      <x:c r="H350" s="14" t="str">
        <x:v>An toàn hàng không / SMS</x:v>
      </x:c>
      <x:c r="I350" s="14" t="str">
        <x:v>Báo cáo MOR, sự cố và điều tra</x:v>
      </x:c>
      <x:c r="J350" s="14" t="str">
        <x:v>Người khai thác cảng hàng không</x:v>
      </x:c>
      <x:c r="K350" s="14" t="str">
        <x:v>Phối hợp/Gián tiếp</x:v>
      </x:c>
      <x:c r="L350" s="14" t="str">
        <x:v>Báo cáo/điều tra/khắc phục</x:v>
      </x:c>
      <x:c r="M350" s="14" t="str"/>
      <x:c r="N350" s="14" t="str">
        <x:v>Phát hiện vật ngoại lai tại đường cất hạ cánh, đường lăn, sân đỗ tàu bay gây nguy hiểm hoặc nguy cơ gây nguy hiểm.</x:v>
      </x:c>
      <x:c r="O350" s="14" t="str">
        <x:v>Thông báo ban đầu ngay khi có thể; gửi MOR đến Cục HKVN trong vòng 24 giờ; điều tra/xác minh nội bộ, phân loại, xác định nguyên nhân và biện pháp khắc phục/phòng ngừa theo Điều 19, 21.</x:v>
      </x:c>
      <x:c r="P350" s="14" t="str"/>
      <x:c r="Q350" s="14" t="str"/>
      <x:c r="R350" s="14" t="str"/>
      <x:c r="S350" s="14" t="str">
        <x:v>Ban An toàn - Chất lượng</x:v>
      </x:c>
      <x:c r="T350" s="14" t="str">
        <x:v>Các Công ty Quản lý bay khu vực Bắc/Trung/Nam; Ban An toàn - Chất lượng</x:v>
      </x:c>
      <x:c r="U350" s="14" t="str"/>
      <x:c r="V350" s="14" t="str">
        <x:v>24 giờ</x:v>
      </x:c>
      <x:c r="W350" s="14" t="str">
        <x:v>P2</x:v>
      </x:c>
      <x:c r="X350" s="14" t="str"/>
      <x:c r="Y350" s="14" t="str">
        <x:v>Chưa bắt đầu</x:v>
      </x:c>
      <x:c r="Z350" s="14" t="str"/>
      <x:c r="AA350" s="14" t="str">
        <x:v>https://datafiles.chinhphu.vn/cpp/files/vbpq/2026/5/18-bxd.pdf</x:v>
      </x:c>
      <x:c r="AB350" s="14" t="str">
        <x:v>sms; an toan; mor</x:v>
      </x:c>
    </x:row>
    <x:row r="351">
      <x:c r="A351" s="14" t="str">
        <x:v>VATM-0350</x:v>
      </x:c>
      <x:c r="B351" s="14" t="str">
        <x:v>IV.11</x:v>
      </x:c>
      <x:c r="C351" s="14" t="str">
        <x:v>Thông tư 18/2026/TT-BXD - Chương trình an toàn HKDD</x:v>
      </x:c>
      <x:c r="D351" s="14" t="str">
        <x:v>Tong_hop_nhiem_vu_TT18_2026_TT_BXD_VATM_ANSP.xlsx</x:v>
      </x:c>
      <x:c r="E351" s="14" t="str">
        <x:v>05_MOR_PL_III</x:v>
      </x:c>
      <x:c r="F351" s="56" t="n">
        <x:v>119</x:v>
      </x:c>
      <x:c r="G351" s="14" t="str">
        <x:v>Phụ lục III Phần I Chương IV</x:v>
      </x:c>
      <x:c r="H351" s="14" t="str">
        <x:v>An toàn hàng không / SMS</x:v>
      </x:c>
      <x:c r="I351" s="14" t="str">
        <x:v>Báo cáo MOR, sự cố và điều tra</x:v>
      </x:c>
      <x:c r="J351" s="14" t="str">
        <x:v>Người khai thác cảng hàng không</x:v>
      </x:c>
      <x:c r="K351" s="14" t="str">
        <x:v>Phối hợp/Gián tiếp</x:v>
      </x:c>
      <x:c r="L351" s="14" t="str">
        <x:v>Báo cáo/điều tra/khắc phục</x:v>
      </x:c>
      <x:c r="M351" s="14" t="str"/>
      <x:c r="N351" s="14" t="str">
        <x:v>Tàu bay va chạm chim, động vật hoang dã, vật nuôi.</x:v>
      </x:c>
      <x:c r="O351" s="14" t="str">
        <x:v>Thông báo ban đầu ngay khi có thể; gửi MOR đến Cục HKVN trong vòng 24 giờ; điều tra/xác minh nội bộ, phân loại, xác định nguyên nhân và biện pháp khắc phục/phòng ngừa theo Điều 19, 21.</x:v>
      </x:c>
      <x:c r="P351" s="14" t="str"/>
      <x:c r="Q351" s="14" t="str"/>
      <x:c r="R351" s="14" t="str"/>
      <x:c r="S351" s="14" t="str">
        <x:v>Ban An toàn - Chất lượng</x:v>
      </x:c>
      <x:c r="T351" s="14" t="str">
        <x:v>Các Công ty Quản lý bay khu vực Bắc/Trung/Nam; Ban An toàn - Chất lượng</x:v>
      </x:c>
      <x:c r="U351" s="14" t="str"/>
      <x:c r="V351" s="14" t="str">
        <x:v>24 giờ</x:v>
      </x:c>
      <x:c r="W351" s="14" t="str">
        <x:v>P2</x:v>
      </x:c>
      <x:c r="X351" s="14" t="str"/>
      <x:c r="Y351" s="14" t="str">
        <x:v>Chưa bắt đầu</x:v>
      </x:c>
      <x:c r="Z351" s="14" t="str"/>
      <x:c r="AA351" s="14" t="str">
        <x:v>https://datafiles.chinhphu.vn/cpp/files/vbpq/2026/5/18-bxd.pdf</x:v>
      </x:c>
      <x:c r="AB351" s="14" t="str">
        <x:v>sms; an toan; mor</x:v>
      </x:c>
    </x:row>
    <x:row r="352">
      <x:c r="A352" s="14" t="str">
        <x:v>VATM-0351</x:v>
      </x:c>
      <x:c r="B352" s="14" t="str">
        <x:v>IV.14</x:v>
      </x:c>
      <x:c r="C352" s="14" t="str">
        <x:v>Thông tư 18/2026/TT-BXD - Chương trình an toàn HKDD</x:v>
      </x:c>
      <x:c r="D352" s="14" t="str">
        <x:v>Tong_hop_nhiem_vu_TT18_2026_TT_BXD_VATM_ANSP.xlsx</x:v>
      </x:c>
      <x:c r="E352" s="14" t="str">
        <x:v>05_MOR_PL_III</x:v>
      </x:c>
      <x:c r="F352" s="56" t="n">
        <x:v>122</x:v>
      </x:c>
      <x:c r="G352" s="14" t="str">
        <x:v>Phụ lục III Phần I Chương IV</x:v>
      </x:c>
      <x:c r="H352" s="14" t="str">
        <x:v>An toàn hàng không / SMS</x:v>
      </x:c>
      <x:c r="I352" s="14" t="str">
        <x:v>Báo cáo MOR, sự cố và điều tra</x:v>
      </x:c>
      <x:c r="J352" s="14" t="str">
        <x:v>Người khai thác cảng hàng không</x:v>
      </x:c>
      <x:c r="K352" s="14" t="str">
        <x:v>Phối hợp/Gián tiếp</x:v>
      </x:c>
      <x:c r="L352" s="14" t="str">
        <x:v>Báo cáo/điều tra/khắc phục</x:v>
      </x:c>
      <x:c r="M352" s="14" t="str"/>
      <x:c r="N352" s="14" t="str">
        <x:v>Cung cấp thông tin không chính xác, không đầy đủ hoặc nhầm lẫn về số hiệu chuyến bay, sai vị trí đỗ tàu bay.</x:v>
      </x:c>
      <x:c r="O352" s="14" t="str">
        <x:v>Thông báo ban đầu ngay khi có thể; gửi MOR đến Cục HKVN trong vòng 24 giờ; điều tra/xác minh nội bộ, phân loại, xác định nguyên nhân và biện pháp khắc phục/phòng ngừa theo Điều 19, 21.</x:v>
      </x:c>
      <x:c r="P352" s="14" t="str"/>
      <x:c r="Q352" s="14" t="str"/>
      <x:c r="R352" s="14" t="str"/>
      <x:c r="S352" s="14" t="str">
        <x:v>Ban An toàn - Chất lượng</x:v>
      </x:c>
      <x:c r="T352" s="14" t="str">
        <x:v>Các Công ty Quản lý bay khu vực Bắc/Trung/Nam; Ban An toàn - Chất lượng</x:v>
      </x:c>
      <x:c r="U352" s="14" t="str"/>
      <x:c r="V352" s="14" t="str">
        <x:v>24 giờ</x:v>
      </x:c>
      <x:c r="W352" s="14" t="str">
        <x:v>P2</x:v>
      </x:c>
      <x:c r="X352" s="14" t="str"/>
      <x:c r="Y352" s="14" t="str">
        <x:v>Chưa bắt đầu</x:v>
      </x:c>
      <x:c r="Z352" s="14" t="str"/>
      <x:c r="AA352" s="14" t="str">
        <x:v>https://datafiles.chinhphu.vn/cpp/files/vbpq/2026/5/18-bxd.pdf</x:v>
      </x:c>
      <x:c r="AB352" s="14" t="str">
        <x:v>sms; an toan; mor</x:v>
      </x:c>
    </x:row>
    <x:row r="353">
      <x:c r="A353" s="14" t="str">
        <x:v>VATM-0352</x:v>
      </x:c>
      <x:c r="B353" s="14" t="str">
        <x:v>IV.15</x:v>
      </x:c>
      <x:c r="C353" s="14" t="str">
        <x:v>Thông tư 18/2026/TT-BXD - Chương trình an toàn HKDD</x:v>
      </x:c>
      <x:c r="D353" s="14" t="str">
        <x:v>Tong_hop_nhiem_vu_TT18_2026_TT_BXD_VATM_ANSP.xlsx</x:v>
      </x:c>
      <x:c r="E353" s="14" t="str">
        <x:v>05_MOR_PL_III</x:v>
      </x:c>
      <x:c r="F353" s="56" t="n">
        <x:v>123</x:v>
      </x:c>
      <x:c r="G353" s="14" t="str">
        <x:v>Phụ lục III Phần I Chương IV</x:v>
      </x:c>
      <x:c r="H353" s="14" t="str">
        <x:v>An toàn hàng không / SMS</x:v>
      </x:c>
      <x:c r="I353" s="14" t="str">
        <x:v>Báo cáo MOR, sự cố và điều tra</x:v>
      </x:c>
      <x:c r="J353" s="14" t="str">
        <x:v>Người khai thác cảng hàng không</x:v>
      </x:c>
      <x:c r="K353" s="14" t="str">
        <x:v>Trực tiếp</x:v>
      </x:c>
      <x:c r="L353" s="14" t="str">
        <x:v>Báo cáo/điều tra/khắc phục</x:v>
      </x:c>
      <x:c r="M353" s="14" t="str"/>
      <x:c r="N353" s="14" t="str">
        <x:v>Sự cố kỹ thuật hoặc xuống cấp của công trình trong sân bay; hệ thống chiếu sáng sân đỗ; VDGS; thiết bị dẫn đường hoạt động bay, CNS, khí tượng, thông báo tin tức hoạt động bay dẫn đến dịch vụ BĐHĐB bị gián đoạn.</x:v>
      </x:c>
      <x:c r="O353" s="14" t="str">
        <x:v>Thông báo ban đầu ngay khi có thể; gửi MOR đến Cục HKVN trong vòng 24 giờ; điều tra/xác minh nội bộ, phân loại, xác định nguyên nhân và biện pháp khắc phục/phòng ngừa theo Điều 19, 21.</x:v>
      </x:c>
      <x:c r="P353" s="14" t="str"/>
      <x:c r="Q353" s="14" t="str"/>
      <x:c r="R353" s="14" t="str"/>
      <x:c r="S353" s="14" t="str">
        <x:v>Ban An toàn - Chất lượng</x:v>
      </x:c>
      <x:c r="T353" s="14" t="str">
        <x:v>Các Công ty Quản lý bay khu vực Bắc/Trung/Nam; Ban An toàn - Chất lượng</x:v>
      </x:c>
      <x:c r="U353" s="14" t="str"/>
      <x:c r="V353" s="14" t="str">
        <x:v>24 giờ</x:v>
      </x:c>
      <x:c r="W353" s="14" t="str">
        <x:v>P2</x:v>
      </x:c>
      <x:c r="X353" s="14" t="str"/>
      <x:c r="Y353" s="14" t="str">
        <x:v>Chưa bắt đầu</x:v>
      </x:c>
      <x:c r="Z353" s="14" t="str"/>
      <x:c r="AA353" s="14" t="str">
        <x:v>https://datafiles.chinhphu.vn/cpp/files/vbpq/2026/5/18-bxd.pdf</x:v>
      </x:c>
      <x:c r="AB353" s="14" t="str">
        <x:v>sms; an toan; mor; cns; san bay</x:v>
      </x:c>
    </x:row>
    <x:row r="354">
      <x:c r="A354" s="14" t="str">
        <x:v>VATM-0353</x:v>
      </x:c>
      <x:c r="B354" s="14" t="str">
        <x:v>IV.16</x:v>
      </x:c>
      <x:c r="C354" s="14" t="str">
        <x:v>Thông tư 18/2026/TT-BXD - Chương trình an toàn HKDD</x:v>
      </x:c>
      <x:c r="D354" s="14" t="str">
        <x:v>Tong_hop_nhiem_vu_TT18_2026_TT_BXD_VATM_ANSP.xlsx</x:v>
      </x:c>
      <x:c r="E354" s="14" t="str">
        <x:v>05_MOR_PL_III</x:v>
      </x:c>
      <x:c r="F354" s="56" t="n">
        <x:v>124</x:v>
      </x:c>
      <x:c r="G354" s="14" t="str">
        <x:v>Phụ lục III Phần I Chương IV</x:v>
      </x:c>
      <x:c r="H354" s="14" t="str">
        <x:v>An toàn hàng không / SMS</x:v>
      </x:c>
      <x:c r="I354" s="14" t="str">
        <x:v>Báo cáo MOR, sự cố và điều tra</x:v>
      </x:c>
      <x:c r="J354" s="14" t="str">
        <x:v>Người khai thác cảng hàng không</x:v>
      </x:c>
      <x:c r="K354" s="14" t="str">
        <x:v>Phối hợp/Gián tiếp</x:v>
      </x:c>
      <x:c r="L354" s="14" t="str">
        <x:v>Báo cáo/điều tra/khắc phục</x:v>
      </x:c>
      <x:c r="M354" s="14" t="str"/>
      <x:c r="N354" s="14" t="str">
        <x:v>Người, phương tiện, thiết bị di chuyển vi phạm khoảng cách an toàn đối với tàu bay tại đường lăn/sân đỗ.</x:v>
      </x:c>
      <x:c r="O354" s="14" t="str">
        <x:v>Thông báo ban đầu ngay khi có thể; gửi MOR đến Cục HKVN trong vòng 24 giờ; điều tra/xác minh nội bộ, phân loại, xác định nguyên nhân và biện pháp khắc phục/phòng ngừa theo Điều 19, 21.</x:v>
      </x:c>
      <x:c r="P354" s="14" t="str"/>
      <x:c r="Q354" s="14" t="str"/>
      <x:c r="R354" s="14" t="str"/>
      <x:c r="S354" s="14" t="str">
        <x:v>Ban An toàn - Chất lượng</x:v>
      </x:c>
      <x:c r="T354" s="14" t="str">
        <x:v>Các Công ty Quản lý bay khu vực Bắc/Trung/Nam; Ban An toàn - Chất lượng</x:v>
      </x:c>
      <x:c r="U354" s="14" t="str"/>
      <x:c r="V354" s="14" t="str">
        <x:v>24 giờ</x:v>
      </x:c>
      <x:c r="W354" s="14" t="str">
        <x:v>P2</x:v>
      </x:c>
      <x:c r="X354" s="14" t="str"/>
      <x:c r="Y354" s="14" t="str">
        <x:v>Chưa bắt đầu</x:v>
      </x:c>
      <x:c r="Z354" s="14" t="str"/>
      <x:c r="AA354" s="14" t="str">
        <x:v>https://datafiles.chinhphu.vn/cpp/files/vbpq/2026/5/18-bxd.pdf</x:v>
      </x:c>
      <x:c r="AB354" s="14" t="str">
        <x:v>sms; an toan; mor</x:v>
      </x:c>
    </x:row>
    <x:row r="355">
      <x:c r="A355" s="14" t="str">
        <x:v>VATM-0354</x:v>
      </x:c>
      <x:c r="B355" s="14" t="str">
        <x:v>IV.19</x:v>
      </x:c>
      <x:c r="C355" s="14" t="str">
        <x:v>Thông tư 18/2026/TT-BXD - Chương trình an toàn HKDD</x:v>
      </x:c>
      <x:c r="D355" s="14" t="str">
        <x:v>Tong_hop_nhiem_vu_TT18_2026_TT_BXD_VATM_ANSP.xlsx</x:v>
      </x:c>
      <x:c r="E355" s="14" t="str">
        <x:v>05_MOR_PL_III</x:v>
      </x:c>
      <x:c r="F355" s="56" t="n">
        <x:v>127</x:v>
      </x:c>
      <x:c r="G355" s="14" t="str">
        <x:v>Phụ lục III Phần I Chương IV</x:v>
      </x:c>
      <x:c r="H355" s="14" t="str">
        <x:v>An toàn hàng không / SMS</x:v>
      </x:c>
      <x:c r="I355" s="14" t="str">
        <x:v>Báo cáo MOR, sự cố và điều tra</x:v>
      </x:c>
      <x:c r="J355" s="14" t="str">
        <x:v>Người khai thác cảng hàng không</x:v>
      </x:c>
      <x:c r="K355" s="14" t="str">
        <x:v>Phối hợp/Gián tiếp</x:v>
      </x:c>
      <x:c r="L355" s="14" t="str">
        <x:v>Báo cáo/điều tra/khắc phục</x:v>
      </x:c>
      <x:c r="M355" s="14" t="str"/>
      <x:c r="N355" s="14" t="str">
        <x:v>Chướng ngại vật tại sân bay hoặc khu vực lân cận không được công bố trong AIP/NOTAM hoặc không được đánh dấu/chiếu sáng đúng quy định.</x:v>
      </x:c>
      <x:c r="O355" s="14" t="str">
        <x:v>Thông báo ban đầu ngay khi có thể; gửi MOR đến Cục HKVN trong vòng 24 giờ; điều tra/xác minh nội bộ, phân loại, xác định nguyên nhân và biện pháp khắc phục/phòng ngừa theo Điều 19, 21.</x:v>
      </x:c>
      <x:c r="P355" s="14" t="str"/>
      <x:c r="Q355" s="14" t="str"/>
      <x:c r="R355" s="14" t="str"/>
      <x:c r="S355" s="14" t="str">
        <x:v>Ban An toàn - Chất lượng</x:v>
      </x:c>
      <x:c r="T355" s="14" t="str">
        <x:v>Các Công ty Quản lý bay khu vực Bắc/Trung/Nam; Ban An toàn - Chất lượng</x:v>
      </x:c>
      <x:c r="U355" s="14" t="str"/>
      <x:c r="V355" s="14" t="str">
        <x:v>24 giờ</x:v>
      </x:c>
      <x:c r="W355" s="14" t="str">
        <x:v>P2</x:v>
      </x:c>
      <x:c r="X355" s="14" t="str"/>
      <x:c r="Y355" s="14" t="str">
        <x:v>Chưa bắt đầu</x:v>
      </x:c>
      <x:c r="Z355" s="14" t="str"/>
      <x:c r="AA355" s="14" t="str">
        <x:v>https://datafiles.chinhphu.vn/cpp/files/vbpq/2026/5/18-bxd.pdf</x:v>
      </x:c>
      <x:c r="AB355" s="14" t="str">
        <x:v>sms; an toan; mor; san bay</x:v>
      </x:c>
    </x:row>
    <x:row r="356">
      <x:c r="A356" s="14" t="str">
        <x:v>VATM-0355</x:v>
      </x:c>
      <x:c r="B356" s="14" t="str">
        <x:v>IV.20</x:v>
      </x:c>
      <x:c r="C356" s="14" t="str">
        <x:v>Thông tư 18/2026/TT-BXD - Chương trình an toàn HKDD</x:v>
      </x:c>
      <x:c r="D356" s="14" t="str">
        <x:v>Tong_hop_nhiem_vu_TT18_2026_TT_BXD_VATM_ANSP.xlsx</x:v>
      </x:c>
      <x:c r="E356" s="14" t="str">
        <x:v>05_MOR_PL_III</x:v>
      </x:c>
      <x:c r="F356" s="56" t="n">
        <x:v>128</x:v>
      </x:c>
      <x:c r="G356" s="14" t="str">
        <x:v>Phụ lục III Phần I Chương IV</x:v>
      </x:c>
      <x:c r="H356" s="14" t="str">
        <x:v>An toàn hàng không / SMS</x:v>
      </x:c>
      <x:c r="I356" s="14" t="str">
        <x:v>Báo cáo MOR, sự cố và điều tra</x:v>
      </x:c>
      <x:c r="J356" s="14" t="str">
        <x:v>Người khai thác cảng hàng không</x:v>
      </x:c>
      <x:c r="K356" s="14" t="str">
        <x:v>Phối hợp/Gián tiếp</x:v>
      </x:c>
      <x:c r="L356" s="14" t="str">
        <x:v>Báo cáo/điều tra/khắc phục</x:v>
      </x:c>
      <x:c r="M356" s="14" t="str"/>
      <x:c r="N356" s="14" t="str">
        <x:v>Vi phạm tiêu chuẩn phân cách tối thiểu giữa tàu bay, khoảng cách tối thiểu giữa tàu bay và phương tiện trên đường lăn/sân đỗ.</x:v>
      </x:c>
      <x:c r="O356" s="14" t="str">
        <x:v>Thông báo ban đầu ngay khi có thể; gửi MOR đến Cục HKVN trong vòng 24 giờ; điều tra/xác minh nội bộ, phân loại, xác định nguyên nhân và biện pháp khắc phục/phòng ngừa theo Điều 19, 21.</x:v>
      </x:c>
      <x:c r="P356" s="14" t="str"/>
      <x:c r="Q356" s="14" t="str"/>
      <x:c r="R356" s="14" t="str"/>
      <x:c r="S356" s="14" t="str">
        <x:v>Ban An toàn - Chất lượng</x:v>
      </x:c>
      <x:c r="T356" s="14" t="str">
        <x:v>Các Công ty Quản lý bay khu vực Bắc/Trung/Nam; Ban An toàn - Chất lượng</x:v>
      </x:c>
      <x:c r="U356" s="14" t="str"/>
      <x:c r="V356" s="14" t="str">
        <x:v>24 giờ</x:v>
      </x:c>
      <x:c r="W356" s="14" t="str">
        <x:v>P2</x:v>
      </x:c>
      <x:c r="X356" s="14" t="str"/>
      <x:c r="Y356" s="14" t="str">
        <x:v>Chưa bắt đầu</x:v>
      </x:c>
      <x:c r="Z356" s="14" t="str"/>
      <x:c r="AA356" s="14" t="str">
        <x:v>https://datafiles.chinhphu.vn/cpp/files/vbpq/2026/5/18-bxd.pdf</x:v>
      </x:c>
      <x:c r="AB356" s="14" t="str">
        <x:v>sms; an toan; mor</x:v>
      </x:c>
    </x:row>
    <x:row r="357">
      <x:c r="A357" s="14" t="str">
        <x:v>VATM-0356</x:v>
      </x:c>
      <x:c r="B357" s="14" t="str">
        <x:v>IV.21</x:v>
      </x:c>
      <x:c r="C357" s="14" t="str">
        <x:v>Thông tư 18/2026/TT-BXD - Chương trình an toàn HKDD</x:v>
      </x:c>
      <x:c r="D357" s="14" t="str">
        <x:v>Tong_hop_nhiem_vu_TT18_2026_TT_BXD_VATM_ANSP.xlsx</x:v>
      </x:c>
      <x:c r="E357" s="14" t="str">
        <x:v>05_MOR_PL_III</x:v>
      </x:c>
      <x:c r="F357" s="56" t="n">
        <x:v>129</x:v>
      </x:c>
      <x:c r="G357" s="14" t="str">
        <x:v>Phụ lục III Phần I Chương IV</x:v>
      </x:c>
      <x:c r="H357" s="14" t="str">
        <x:v>An toàn hàng không / SMS</x:v>
      </x:c>
      <x:c r="I357" s="14" t="str">
        <x:v>Báo cáo MOR, sự cố và điều tra</x:v>
      </x:c>
      <x:c r="J357" s="14" t="str">
        <x:v>Người khai thác cảng hàng không</x:v>
      </x:c>
      <x:c r="K357" s="14" t="str">
        <x:v>Phối hợp/Gián tiếp</x:v>
      </x:c>
      <x:c r="L357" s="14" t="str">
        <x:v>Báo cáo/điều tra/khắc phục</x:v>
      </x:c>
      <x:c r="M357" s="14" t="str"/>
      <x:c r="N357" s="14" t="str">
        <x:v>Tàu bay phải bay lại, đình chỉ cất cánh hoặc tiếp cận hạ cánh do chướng ngại vật/vật ngoại lai trên đường cất hạ cánh.</x:v>
      </x:c>
      <x:c r="O357" s="14" t="str">
        <x:v>Thông báo ban đầu ngay khi có thể; gửi MOR đến Cục HKVN trong vòng 24 giờ; điều tra/xác minh nội bộ, phân loại, xác định nguyên nhân và biện pháp khắc phục/phòng ngừa theo Điều 19, 21.</x:v>
      </x:c>
      <x:c r="P357" s="14" t="str"/>
      <x:c r="Q357" s="14" t="str"/>
      <x:c r="R357" s="14" t="str"/>
      <x:c r="S357" s="14" t="str">
        <x:v>Ban An toàn - Chất lượng</x:v>
      </x:c>
      <x:c r="T357" s="14" t="str">
        <x:v>Các Công ty Quản lý bay khu vực Bắc/Trung/Nam; Ban An toàn - Chất lượng</x:v>
      </x:c>
      <x:c r="U357" s="14" t="str"/>
      <x:c r="V357" s="14" t="str">
        <x:v>24 giờ</x:v>
      </x:c>
      <x:c r="W357" s="14" t="str">
        <x:v>P2</x:v>
      </x:c>
      <x:c r="X357" s="14" t="str"/>
      <x:c r="Y357" s="14" t="str">
        <x:v>Chưa bắt đầu</x:v>
      </x:c>
      <x:c r="Z357" s="14" t="str"/>
      <x:c r="AA357" s="14" t="str">
        <x:v>https://datafiles.chinhphu.vn/cpp/files/vbpq/2026/5/18-bxd.pdf</x:v>
      </x:c>
      <x:c r="AB357" s="14" t="str">
        <x:v>sms; an toan; mor</x:v>
      </x:c>
    </x:row>
    <x:row r="358">
      <x:c r="A358" s="14" t="str">
        <x:v>VATM-0357</x:v>
      </x:c>
      <x:c r="B358" s="14" t="str">
        <x:v>IV.22</x:v>
      </x:c>
      <x:c r="C358" s="14" t="str">
        <x:v>Thông tư 18/2026/TT-BXD - Chương trình an toàn HKDD</x:v>
      </x:c>
      <x:c r="D358" s="14" t="str">
        <x:v>Tong_hop_nhiem_vu_TT18_2026_TT_BXD_VATM_ANSP.xlsx</x:v>
      </x:c>
      <x:c r="E358" s="14" t="str">
        <x:v>05_MOR_PL_III</x:v>
      </x:c>
      <x:c r="F358" s="56" t="n">
        <x:v>130</x:v>
      </x:c>
      <x:c r="G358" s="14" t="str">
        <x:v>Phụ lục III Phần I Chương IV</x:v>
      </x:c>
      <x:c r="H358" s="14" t="str">
        <x:v>An toàn hàng không / SMS</x:v>
      </x:c>
      <x:c r="I358" s="14" t="str">
        <x:v>Báo cáo MOR, sự cố và điều tra</x:v>
      </x:c>
      <x:c r="J358" s="14" t="str">
        <x:v>Người khai thác cảng hàng không</x:v>
      </x:c>
      <x:c r="K358" s="14" t="str">
        <x:v>Phối hợp/Gián tiếp</x:v>
      </x:c>
      <x:c r="L358" s="14" t="str">
        <x:v>Báo cáo/điều tra/khắc phục</x:v>
      </x:c>
      <x:c r="M358" s="14" t="str"/>
      <x:c r="N358" s="14" t="str">
        <x:v>Lỗi cảnh báo hoặc cảnh báo chưa đầy đủ về chướng ngại vật, vật ngoại lai hoặc nguy hiểm trong sân bay gây mất an toàn.</x:v>
      </x:c>
      <x:c r="O358" s="14" t="str">
        <x:v>Thông báo ban đầu ngay khi có thể; gửi MOR đến Cục HKVN trong vòng 24 giờ; điều tra/xác minh nội bộ, phân loại, xác định nguyên nhân và biện pháp khắc phục/phòng ngừa theo Điều 19, 21.</x:v>
      </x:c>
      <x:c r="P358" s="14" t="str"/>
      <x:c r="Q358" s="14" t="str"/>
      <x:c r="R358" s="14" t="str"/>
      <x:c r="S358" s="14" t="str">
        <x:v>Ban An toàn - Chất lượng</x:v>
      </x:c>
      <x:c r="T358" s="14" t="str">
        <x:v>Các Công ty Quản lý bay khu vực Bắc/Trung/Nam; Ban An toàn - Chất lượng</x:v>
      </x:c>
      <x:c r="U358" s="14" t="str"/>
      <x:c r="V358" s="14" t="str">
        <x:v>24 giờ</x:v>
      </x:c>
      <x:c r="W358" s="14" t="str">
        <x:v>P2</x:v>
      </x:c>
      <x:c r="X358" s="14" t="str"/>
      <x:c r="Y358" s="14" t="str">
        <x:v>Chưa bắt đầu</x:v>
      </x:c>
      <x:c r="Z358" s="14" t="str"/>
      <x:c r="AA358" s="14" t="str">
        <x:v>https://datafiles.chinhphu.vn/cpp/files/vbpq/2026/5/18-bxd.pdf</x:v>
      </x:c>
      <x:c r="AB358" s="14" t="str">
        <x:v>sms; an toan; mor; san bay</x:v>
      </x:c>
    </x:row>
    <x:row r="359">
      <x:c r="A359" s="14" t="str">
        <x:v>VATM-0358</x:v>
      </x:c>
      <x:c r="B359" s="14" t="str">
        <x:v>IV.23</x:v>
      </x:c>
      <x:c r="C359" s="14" t="str">
        <x:v>Thông tư 18/2026/TT-BXD - Chương trình an toàn HKDD</x:v>
      </x:c>
      <x:c r="D359" s="14" t="str">
        <x:v>Tong_hop_nhiem_vu_TT18_2026_TT_BXD_VATM_ANSP.xlsx</x:v>
      </x:c>
      <x:c r="E359" s="14" t="str">
        <x:v>05_MOR_PL_III</x:v>
      </x:c>
      <x:c r="F359" s="56" t="n">
        <x:v>131</x:v>
      </x:c>
      <x:c r="G359" s="14" t="str">
        <x:v>Phụ lục III Phần I Chương IV</x:v>
      </x:c>
      <x:c r="H359" s="14" t="str">
        <x:v>An toàn hàng không / SMS</x:v>
      </x:c>
      <x:c r="I359" s="14" t="str">
        <x:v>Báo cáo MOR, sự cố và điều tra</x:v>
      </x:c>
      <x:c r="J359" s="14" t="str">
        <x:v>Người khai thác cảng hàng không</x:v>
      </x:c>
      <x:c r="K359" s="14" t="str">
        <x:v>Phối hợp/Gián tiếp</x:v>
      </x:c>
      <x:c r="L359" s="14" t="str">
        <x:v>Báo cáo/điều tra/khắc phục</x:v>
      </x:c>
      <x:c r="M359" s="14" t="str"/>
      <x:c r="N359" s="14" t="str">
        <x:v>Can nhiễu tần số vô tuyến điện hàng không ảnh hưởng đến công tác điều hành bay, hoạt động bay.</x:v>
      </x:c>
      <x:c r="O359" s="14" t="str">
        <x:v>Thông báo ban đầu ngay khi có thể; gửi MOR đến Cục HKVN trong vòng 24 giờ; điều tra/xác minh nội bộ, phân loại, xác định nguyên nhân và biện pháp khắc phục/phòng ngừa theo Điều 19, 21.</x:v>
      </x:c>
      <x:c r="P359" s="14" t="str"/>
      <x:c r="Q359" s="14" t="str"/>
      <x:c r="R359" s="14" t="str"/>
      <x:c r="S359" s="14" t="str">
        <x:v>Ban An toàn - Chất lượng</x:v>
      </x:c>
      <x:c r="T359" s="14" t="str">
        <x:v>Các Công ty Quản lý bay khu vực Bắc/Trung/Nam; Ban An toàn - Chất lượng</x:v>
      </x:c>
      <x:c r="U359" s="14" t="str"/>
      <x:c r="V359" s="14" t="str">
        <x:v>24 giờ</x:v>
      </x:c>
      <x:c r="W359" s="14" t="str">
        <x:v>P2</x:v>
      </x:c>
      <x:c r="X359" s="14" t="str"/>
      <x:c r="Y359" s="14" t="str">
        <x:v>Chưa bắt đầu</x:v>
      </x:c>
      <x:c r="Z359" s="14" t="str"/>
      <x:c r="AA359" s="14" t="str">
        <x:v>https://datafiles.chinhphu.vn/cpp/files/vbpq/2026/5/18-bxd.pdf</x:v>
      </x:c>
      <x:c r="AB359" s="14" t="str">
        <x:v>sms; an toan; mor</x:v>
      </x:c>
    </x:row>
    <x:row r="360">
      <x:c r="A360" s="14" t="str">
        <x:v>VATM-0359</x:v>
      </x:c>
      <x:c r="B360" s="14" t="str">
        <x:v>IV.24</x:v>
      </x:c>
      <x:c r="C360" s="14" t="str">
        <x:v>Thông tư 18/2026/TT-BXD - Chương trình an toàn HKDD</x:v>
      </x:c>
      <x:c r="D360" s="14" t="str">
        <x:v>Tong_hop_nhiem_vu_TT18_2026_TT_BXD_VATM_ANSP.xlsx</x:v>
      </x:c>
      <x:c r="E360" s="14" t="str">
        <x:v>05_MOR_PL_III</x:v>
      </x:c>
      <x:c r="F360" s="56" t="n">
        <x:v>132</x:v>
      </x:c>
      <x:c r="G360" s="14" t="str">
        <x:v>Phụ lục III Phần I Chương IV</x:v>
      </x:c>
      <x:c r="H360" s="14" t="str">
        <x:v>An toàn hàng không / SMS</x:v>
      </x:c>
      <x:c r="I360" s="14" t="str">
        <x:v>Báo cáo MOR, sự cố và điều tra</x:v>
      </x:c>
      <x:c r="J360" s="14" t="str">
        <x:v>Người khai thác cảng hàng không</x:v>
      </x:c>
      <x:c r="K360" s="14" t="str">
        <x:v>Phối hợp/Gián tiếp</x:v>
      </x:c>
      <x:c r="L360" s="14" t="str">
        <x:v>Báo cáo/điều tra/khắc phục</x:v>
      </x:c>
      <x:c r="M360" s="14" t="str"/>
      <x:c r="N360" s="14" t="str">
        <x:v>Phát hiện laser, thiết bị, vật dụng hoặc vật thể khác trong không trung ảnh hưởng đến an toàn bay.</x:v>
      </x:c>
      <x:c r="O360" s="14" t="str">
        <x:v>Thông báo ban đầu ngay khi có thể; gửi MOR đến Cục HKVN trong vòng 24 giờ; điều tra/xác minh nội bộ, phân loại, xác định nguyên nhân và biện pháp khắc phục/phòng ngừa theo Điều 19, 21.</x:v>
      </x:c>
      <x:c r="P360" s="14" t="str"/>
      <x:c r="Q360" s="14" t="str"/>
      <x:c r="R360" s="14" t="str"/>
      <x:c r="S360" s="14" t="str">
        <x:v>Ban An toàn - Chất lượng</x:v>
      </x:c>
      <x:c r="T360" s="14" t="str">
        <x:v>Các Công ty Quản lý bay khu vực Bắc/Trung/Nam; Ban An toàn - Chất lượng</x:v>
      </x:c>
      <x:c r="U360" s="14" t="str"/>
      <x:c r="V360" s="14" t="str">
        <x:v>24 giờ</x:v>
      </x:c>
      <x:c r="W360" s="14" t="str">
        <x:v>P2</x:v>
      </x:c>
      <x:c r="X360" s="14" t="str"/>
      <x:c r="Y360" s="14" t="str">
        <x:v>Chưa bắt đầu</x:v>
      </x:c>
      <x:c r="Z360" s="14" t="str"/>
      <x:c r="AA360" s="14" t="str">
        <x:v>https://datafiles.chinhphu.vn/cpp/files/vbpq/2026/5/18-bxd.pdf</x:v>
      </x:c>
      <x:c r="AB360" s="14" t="str">
        <x:v>sms; an toan; mor</x:v>
      </x:c>
    </x:row>
    <x:row r="361">
      <x:c r="A361" s="14" t="str">
        <x:v>VATM-0360</x:v>
      </x:c>
      <x:c r="B361" s="14" t="str">
        <x:v>IV.25</x:v>
      </x:c>
      <x:c r="C361" s="14" t="str">
        <x:v>Thông tư 18/2026/TT-BXD - Chương trình an toàn HKDD</x:v>
      </x:c>
      <x:c r="D361" s="14" t="str">
        <x:v>Tong_hop_nhiem_vu_TT18_2026_TT_BXD_VATM_ANSP.xlsx</x:v>
      </x:c>
      <x:c r="E361" s="14" t="str">
        <x:v>05_MOR_PL_III</x:v>
      </x:c>
      <x:c r="F361" s="56" t="n">
        <x:v>133</x:v>
      </x:c>
      <x:c r="G361" s="14" t="str">
        <x:v>Phụ lục III Phần I Chương IV</x:v>
      </x:c>
      <x:c r="H361" s="14" t="str">
        <x:v>An toàn hàng không / SMS</x:v>
      </x:c>
      <x:c r="I361" s="14" t="str">
        <x:v>Báo cáo MOR, sự cố và điều tra</x:v>
      </x:c>
      <x:c r="J361" s="14" t="str">
        <x:v>Người khai thác cảng hàng không</x:v>
      </x:c>
      <x:c r="K361" s="14" t="str">
        <x:v>Phối hợp/Gián tiếp</x:v>
      </x:c>
      <x:c r="L361" s="14" t="str">
        <x:v>Báo cáo/điều tra/khắc phục</x:v>
      </x:c>
      <x:c r="M361" s="14" t="str"/>
      <x:c r="N361" s="14" t="str">
        <x:v>Sự cố cháy, nổ, khói tại cảng hàng không ảnh hưởng đến cung cấp dịch vụ hàng không/hoạt động bay; gây hư hỏng công trình, phương tiện, thiết bị, tàu bay hoặc nguy hiểm cho người trong sân bay.</x:v>
      </x:c>
      <x:c r="O361" s="14" t="str">
        <x:v>Thông báo ban đầu ngay khi có thể; gửi MOR đến Cục HKVN trong vòng 24 giờ; điều tra/xác minh nội bộ, phân loại, xác định nguyên nhân và biện pháp khắc phục/phòng ngừa theo Điều 19, 21.</x:v>
      </x:c>
      <x:c r="P361" s="14" t="str"/>
      <x:c r="Q361" s="14" t="str"/>
      <x:c r="R361" s="14" t="str"/>
      <x:c r="S361" s="14" t="str">
        <x:v>Ban An toàn - Chất lượng</x:v>
      </x:c>
      <x:c r="T361" s="14" t="str">
        <x:v>Các Công ty Quản lý bay khu vực Bắc/Trung/Nam; Ban An toàn - Chất lượng</x:v>
      </x:c>
      <x:c r="U361" s="14" t="str"/>
      <x:c r="V361" s="14" t="str">
        <x:v>24 giờ</x:v>
      </x:c>
      <x:c r="W361" s="14" t="str">
        <x:v>P2</x:v>
      </x:c>
      <x:c r="X361" s="14" t="str"/>
      <x:c r="Y361" s="14" t="str">
        <x:v>Chưa bắt đầu</x:v>
      </x:c>
      <x:c r="Z361" s="14" t="str"/>
      <x:c r="AA361" s="14" t="str">
        <x:v>https://datafiles.chinhphu.vn/cpp/files/vbpq/2026/5/18-bxd.pdf</x:v>
      </x:c>
      <x:c r="AB361" s="14" t="str">
        <x:v>sms; an toan; mor; cang; san bay</x:v>
      </x:c>
    </x:row>
    <x:row r="362">
      <x:c r="A362" s="14" t="str">
        <x:v>VATM-0361</x:v>
      </x:c>
      <x:c r="B362" s="14" t="str">
        <x:v>IV.26</x:v>
      </x:c>
      <x:c r="C362" s="14" t="str">
        <x:v>Thông tư 18/2026/TT-BXD - Chương trình an toàn HKDD</x:v>
      </x:c>
      <x:c r="D362" s="14" t="str">
        <x:v>Tong_hop_nhiem_vu_TT18_2026_TT_BXD_VATM_ANSP.xlsx</x:v>
      </x:c>
      <x:c r="E362" s="14" t="str">
        <x:v>05_MOR_PL_III</x:v>
      </x:c>
      <x:c r="F362" s="56" t="n">
        <x:v>134</x:v>
      </x:c>
      <x:c r="G362" s="14" t="str">
        <x:v>Phụ lục III Phần I Chương IV</x:v>
      </x:c>
      <x:c r="H362" s="14" t="str">
        <x:v>An toàn hàng không / SMS</x:v>
      </x:c>
      <x:c r="I362" s="14" t="str">
        <x:v>Báo cáo MOR, sự cố và điều tra</x:v>
      </x:c>
      <x:c r="J362" s="14" t="str">
        <x:v>Người khai thác cảng hàng không</x:v>
      </x:c>
      <x:c r="K362" s="14" t="str">
        <x:v>Phối hợp/Gián tiếp</x:v>
      </x:c>
      <x:c r="L362" s="14" t="str">
        <x:v>Báo cáo/điều tra/khắc phục</x:v>
      </x:c>
      <x:c r="M362" s="14" t="str"/>
      <x:c r="N362" s="14" t="str">
        <x:v>Sự cố do thiên tai, lụt, bão làm hư hỏng công trình trong sân bay, tàu bay, phương tiện, thiết bị dẫn đến ảnh hưởng hoặc có thể gây gián đoạn cung cấp dịch vụ hàng không tại cảng hàng không.</x:v>
      </x:c>
      <x:c r="O362" s="14" t="str">
        <x:v>Thông báo ban đầu ngay khi có thể; gửi MOR đến Cục HKVN trong vòng 24 giờ; điều tra/xác minh nội bộ, phân loại, xác định nguyên nhân và biện pháp khắc phục/phòng ngừa theo Điều 19, 21.</x:v>
      </x:c>
      <x:c r="P362" s="14" t="str"/>
      <x:c r="Q362" s="14" t="str"/>
      <x:c r="R362" s="14" t="str"/>
      <x:c r="S362" s="14" t="str">
        <x:v>Ban An toàn - Chất lượng</x:v>
      </x:c>
      <x:c r="T362" s="14" t="str">
        <x:v>Các Công ty Quản lý bay khu vực Bắc/Trung/Nam; Ban An toàn - Chất lượng</x:v>
      </x:c>
      <x:c r="U362" s="14" t="str"/>
      <x:c r="V362" s="14" t="str">
        <x:v>24 giờ</x:v>
      </x:c>
      <x:c r="W362" s="14" t="str">
        <x:v>P2</x:v>
      </x:c>
      <x:c r="X362" s="14" t="str"/>
      <x:c r="Y362" s="14" t="str">
        <x:v>Chưa bắt đầu</x:v>
      </x:c>
      <x:c r="Z362" s="14" t="str"/>
      <x:c r="AA362" s="14" t="str">
        <x:v>https://datafiles.chinhphu.vn/cpp/files/vbpq/2026/5/18-bxd.pdf</x:v>
      </x:c>
      <x:c r="AB362" s="14" t="str">
        <x:v>sms; an toan; mor; cang; san bay</x:v>
      </x:c>
    </x:row>
    <x:row r="363">
      <x:c r="A363" s="14" t="str">
        <x:v>VATM-0362</x:v>
      </x:c>
      <x:c r="B363" s="14" t="str">
        <x:v>IV.27</x:v>
      </x:c>
      <x:c r="C363" s="14" t="str">
        <x:v>Thông tư 18/2026/TT-BXD - Chương trình an toàn HKDD</x:v>
      </x:c>
      <x:c r="D363" s="14" t="str">
        <x:v>Tong_hop_nhiem_vu_TT18_2026_TT_BXD_VATM_ANSP.xlsx</x:v>
      </x:c>
      <x:c r="E363" s="14" t="str">
        <x:v>05_MOR_PL_III</x:v>
      </x:c>
      <x:c r="F363" s="56" t="n">
        <x:v>135</x:v>
      </x:c>
      <x:c r="G363" s="14" t="str">
        <x:v>Phụ lục III Phần I Chương IV</x:v>
      </x:c>
      <x:c r="H363" s="14" t="str">
        <x:v>An toàn hàng không / SMS</x:v>
      </x:c>
      <x:c r="I363" s="14" t="str">
        <x:v>Báo cáo MOR, sự cố và điều tra</x:v>
      </x:c>
      <x:c r="J363" s="14" t="str">
        <x:v>Người khai thác cảng hàng không</x:v>
      </x:c>
      <x:c r="K363" s="14" t="str">
        <x:v>Phối hợp/Gián tiếp</x:v>
      </x:c>
      <x:c r="L363" s="14" t="str">
        <x:v>Báo cáo/điều tra/khắc phục</x:v>
      </x:c>
      <x:c r="M363" s="14" t="str"/>
      <x:c r="N363" s="14" t="str">
        <x:v>Người xâm nhập trái phép vào sân bay.</x:v>
      </x:c>
      <x:c r="O363" s="14" t="str">
        <x:v>Thông báo ban đầu ngay khi có thể; gửi MOR đến Cục HKVN trong vòng 24 giờ; điều tra/xác minh nội bộ, phân loại, xác định nguyên nhân và biện pháp khắc phục/phòng ngừa theo Điều 19, 21.</x:v>
      </x:c>
      <x:c r="P363" s="14" t="str"/>
      <x:c r="Q363" s="14" t="str"/>
      <x:c r="R363" s="14" t="str"/>
      <x:c r="S363" s="14" t="str">
        <x:v>Ban An toàn - Chất lượng</x:v>
      </x:c>
      <x:c r="T363" s="14" t="str">
        <x:v>Các Công ty Quản lý bay khu vực Bắc/Trung/Nam; Ban An toàn - Chất lượng</x:v>
      </x:c>
      <x:c r="U363" s="14" t="str"/>
      <x:c r="V363" s="14" t="str">
        <x:v>24 giờ</x:v>
      </x:c>
      <x:c r="W363" s="14" t="str">
        <x:v>P2</x:v>
      </x:c>
      <x:c r="X363" s="14" t="str"/>
      <x:c r="Y363" s="14" t="str">
        <x:v>Chưa bắt đầu</x:v>
      </x:c>
      <x:c r="Z363" s="14" t="str"/>
      <x:c r="AA363" s="14" t="str">
        <x:v>https://datafiles.chinhphu.vn/cpp/files/vbpq/2026/5/18-bxd.pdf</x:v>
      </x:c>
      <x:c r="AB363" s="14" t="str">
        <x:v>sms; an toan; mor; san bay</x:v>
      </x:c>
    </x:row>
    <x:row r="364">
      <x:c r="A364" s="14" t="str">
        <x:v>VATM-0363</x:v>
      </x:c>
      <x:c r="B364" s="14" t="str">
        <x:v>IV.28</x:v>
      </x:c>
      <x:c r="C364" s="14" t="str">
        <x:v>Thông tư 18/2026/TT-BXD - Chương trình an toàn HKDD</x:v>
      </x:c>
      <x:c r="D364" s="14" t="str">
        <x:v>Tong_hop_nhiem_vu_TT18_2026_TT_BXD_VATM_ANSP.xlsx</x:v>
      </x:c>
      <x:c r="E364" s="14" t="str">
        <x:v>05_MOR_PL_III</x:v>
      </x:c>
      <x:c r="F364" s="56" t="n">
        <x:v>136</x:v>
      </x:c>
      <x:c r="G364" s="14" t="str">
        <x:v>Phụ lục III Phần I Chương IV</x:v>
      </x:c>
      <x:c r="H364" s="14" t="str">
        <x:v>An toàn hàng không / SMS</x:v>
      </x:c>
      <x:c r="I364" s="14" t="str">
        <x:v>Báo cáo MOR, sự cố và điều tra</x:v>
      </x:c>
      <x:c r="J364" s="14" t="str">
        <x:v>Người khai thác cảng hàng không</x:v>
      </x:c>
      <x:c r="K364" s="14" t="str">
        <x:v>Phối hợp/Gián tiếp</x:v>
      </x:c>
      <x:c r="L364" s="14" t="str">
        <x:v>Báo cáo/điều tra/khắc phục</x:v>
      </x:c>
      <x:c r="M364" s="14" t="str"/>
      <x:c r="N364" s="14" t="str">
        <x:v>Sự cố dẫn đến công bố khẩn nguy sân bay.</x:v>
      </x:c>
      <x:c r="O364" s="14" t="str">
        <x:v>Thông báo ban đầu ngay khi có thể; gửi MOR đến Cục HKVN trong vòng 24 giờ; điều tra/xác minh nội bộ, phân loại, xác định nguyên nhân và biện pháp khắc phục/phòng ngừa theo Điều 19, 21.</x:v>
      </x:c>
      <x:c r="P364" s="14" t="str"/>
      <x:c r="Q364" s="14" t="str"/>
      <x:c r="R364" s="14" t="str"/>
      <x:c r="S364" s="14" t="str">
        <x:v>Ban An toàn - Chất lượng</x:v>
      </x:c>
      <x:c r="T364" s="14" t="str">
        <x:v>Các Công ty Quản lý bay khu vực Bắc/Trung/Nam; Ban An toàn - Chất lượng</x:v>
      </x:c>
      <x:c r="U364" s="14" t="str"/>
      <x:c r="V364" s="14" t="str">
        <x:v>24 giờ</x:v>
      </x:c>
      <x:c r="W364" s="14" t="str">
        <x:v>P2</x:v>
      </x:c>
      <x:c r="X364" s="14" t="str"/>
      <x:c r="Y364" s="14" t="str">
        <x:v>Chưa bắt đầu</x:v>
      </x:c>
      <x:c r="Z364" s="14" t="str"/>
      <x:c r="AA364" s="14" t="str">
        <x:v>https://datafiles.chinhphu.vn/cpp/files/vbpq/2026/5/18-bxd.pdf</x:v>
      </x:c>
      <x:c r="AB364" s="14" t="str">
        <x:v>sms; an toan; mor; san bay</x:v>
      </x:c>
    </x:row>
    <x:row r="365">
      <x:c r="A365" s="14" t="str">
        <x:v>VATM-0364</x:v>
      </x:c>
      <x:c r="B365" s="14" t="str">
        <x:v>IV.29</x:v>
      </x:c>
      <x:c r="C365" s="14" t="str">
        <x:v>Thông tư 18/2026/TT-BXD - Chương trình an toàn HKDD</x:v>
      </x:c>
      <x:c r="D365" s="14" t="str">
        <x:v>Tong_hop_nhiem_vu_TT18_2026_TT_BXD_VATM_ANSP.xlsx</x:v>
      </x:c>
      <x:c r="E365" s="14" t="str">
        <x:v>05_MOR_PL_III</x:v>
      </x:c>
      <x:c r="F365" s="56" t="n">
        <x:v>137</x:v>
      </x:c>
      <x:c r="G365" s="14" t="str">
        <x:v>Phụ lục III Phần I Chương IV</x:v>
      </x:c>
      <x:c r="H365" s="14" t="str">
        <x:v>An toàn hàng không / SMS</x:v>
      </x:c>
      <x:c r="I365" s="14" t="str">
        <x:v>Báo cáo MOR, sự cố và điều tra</x:v>
      </x:c>
      <x:c r="J365" s="14" t="str">
        <x:v>Người khai thác cảng hàng không</x:v>
      </x:c>
      <x:c r="K365" s="14" t="str">
        <x:v>Trực tiếp</x:v>
      </x:c>
      <x:c r="L365" s="14" t="str">
        <x:v>Báo cáo/điều tra/khắc phục</x:v>
      </x:c>
      <x:c r="M365" s="14" t="str"/>
      <x:c r="N365" s="14" t="str">
        <x:v>Mất hoặc gián đoạn liên lạc giữa người, phương tiện với Đài kiểm soát tại sân bay.</x:v>
      </x:c>
      <x:c r="O365" s="14" t="str">
        <x:v>Thông báo ban đầu ngay khi có thể; gửi MOR đến Cục HKVN trong vòng 24 giờ; điều tra/xác minh nội bộ, phân loại, xác định nguyên nhân và biện pháp khắc phục/phòng ngừa theo Điều 19, 21.</x:v>
      </x:c>
      <x:c r="P365" s="14" t="str"/>
      <x:c r="Q365" s="14" t="str"/>
      <x:c r="R365" s="14" t="str"/>
      <x:c r="S365" s="14" t="str">
        <x:v>Ban An toàn - Chất lượng</x:v>
      </x:c>
      <x:c r="T365" s="14" t="str">
        <x:v>Các Công ty Quản lý bay khu vực Bắc/Trung/Nam; Ban An toàn - Chất lượng</x:v>
      </x:c>
      <x:c r="U365" s="14" t="str"/>
      <x:c r="V365" s="14" t="str">
        <x:v>24 giờ</x:v>
      </x:c>
      <x:c r="W365" s="14" t="str">
        <x:v>P2</x:v>
      </x:c>
      <x:c r="X365" s="14" t="str"/>
      <x:c r="Y365" s="14" t="str">
        <x:v>Chưa bắt đầu</x:v>
      </x:c>
      <x:c r="Z365" s="14" t="str"/>
      <x:c r="AA365" s="14" t="str">
        <x:v>https://datafiles.chinhphu.vn/cpp/files/vbpq/2026/5/18-bxd.pdf</x:v>
      </x:c>
      <x:c r="AB365" s="14" t="str">
        <x:v>sms; an toan; mor; san bay</x:v>
      </x:c>
    </x:row>
    <x:row r="366">
      <x:c r="A366" s="14" t="str">
        <x:v>VATM-0365</x:v>
      </x:c>
      <x:c r="B366" s="14" t="str">
        <x:v>IV.30</x:v>
      </x:c>
      <x:c r="C366" s="14" t="str">
        <x:v>Thông tư 18/2026/TT-BXD - Chương trình an toàn HKDD</x:v>
      </x:c>
      <x:c r="D366" s="14" t="str">
        <x:v>Tong_hop_nhiem_vu_TT18_2026_TT_BXD_VATM_ANSP.xlsx</x:v>
      </x:c>
      <x:c r="E366" s="14" t="str">
        <x:v>05_MOR_PL_III</x:v>
      </x:c>
      <x:c r="F366" s="56" t="n">
        <x:v>138</x:v>
      </x:c>
      <x:c r="G366" s="14" t="str">
        <x:v>Phụ lục III Phần I Chương IV</x:v>
      </x:c>
      <x:c r="H366" s="14" t="str">
        <x:v>An toàn hàng không / SMS</x:v>
      </x:c>
      <x:c r="I366" s="14" t="str">
        <x:v>Báo cáo MOR, sự cố và điều tra</x:v>
      </x:c>
      <x:c r="J366" s="14" t="str">
        <x:v>Người khai thác cảng hàng không</x:v>
      </x:c>
      <x:c r="K366" s="14" t="str">
        <x:v>Phối hợp/Gián tiếp</x:v>
      </x:c>
      <x:c r="L366" s="14" t="str">
        <x:v>Báo cáo/điều tra/khắc phục</x:v>
      </x:c>
      <x:c r="M366" s="14" t="str"/>
      <x:c r="N366" s="14" t="str">
        <x:v>Nhân viên hàng không bị thương khi thực hiện nhiệm vụ.</x:v>
      </x:c>
      <x:c r="O366" s="14" t="str">
        <x:v>Thông báo ban đầu ngay khi có thể; gửi MOR đến Cục HKVN trong vòng 24 giờ; điều tra/xác minh nội bộ, phân loại, xác định nguyên nhân và biện pháp khắc phục/phòng ngừa theo Điều 19, 21.</x:v>
      </x:c>
      <x:c r="P366" s="14" t="str"/>
      <x:c r="Q366" s="14" t="str"/>
      <x:c r="R366" s="14" t="str"/>
      <x:c r="S366" s="14" t="str">
        <x:v>Ban An toàn - Chất lượng</x:v>
      </x:c>
      <x:c r="T366" s="14" t="str">
        <x:v>Các Công ty Quản lý bay khu vực Bắc/Trung/Nam; Ban An toàn - Chất lượng</x:v>
      </x:c>
      <x:c r="U366" s="14" t="str"/>
      <x:c r="V366" s="14" t="str">
        <x:v>24 giờ</x:v>
      </x:c>
      <x:c r="W366" s="14" t="str">
        <x:v>P2</x:v>
      </x:c>
      <x:c r="X366" s="14" t="str"/>
      <x:c r="Y366" s="14" t="str">
        <x:v>Chưa bắt đầu</x:v>
      </x:c>
      <x:c r="Z366" s="14" t="str"/>
      <x:c r="AA366" s="14" t="str">
        <x:v>https://datafiles.chinhphu.vn/cpp/files/vbpq/2026/5/18-bxd.pdf</x:v>
      </x:c>
      <x:c r="AB366" s="14" t="str">
        <x:v>sms; an toan; mor</x:v>
      </x:c>
    </x:row>
    <x:row r="367">
      <x:c r="A367" s="14" t="str">
        <x:v>VATM-0366</x:v>
      </x:c>
      <x:c r="B367" s="14" t="str">
        <x:v>IV.31</x:v>
      </x:c>
      <x:c r="C367" s="14" t="str">
        <x:v>Thông tư 18/2026/TT-BXD - Chương trình an toàn HKDD</x:v>
      </x:c>
      <x:c r="D367" s="14" t="str">
        <x:v>Tong_hop_nhiem_vu_TT18_2026_TT_BXD_VATM_ANSP.xlsx</x:v>
      </x:c>
      <x:c r="E367" s="14" t="str">
        <x:v>05_MOR_PL_III</x:v>
      </x:c>
      <x:c r="F367" s="56" t="n">
        <x:v>139</x:v>
      </x:c>
      <x:c r="G367" s="14" t="str">
        <x:v>Phụ lục III Phần I Chương IV</x:v>
      </x:c>
      <x:c r="H367" s="14" t="str">
        <x:v>An toàn hàng không / SMS</x:v>
      </x:c>
      <x:c r="I367" s="14" t="str">
        <x:v>Báo cáo MOR, sự cố và điều tra</x:v>
      </x:c>
      <x:c r="J367" s="14" t="str">
        <x:v>Người khai thác cảng hàng không</x:v>
      </x:c>
      <x:c r="K367" s="14" t="str">
        <x:v>Phối hợp/Gián tiếp</x:v>
      </x:c>
      <x:c r="L367" s="14" t="str">
        <x:v>Báo cáo/điều tra/khắc phục</x:v>
      </x:c>
      <x:c r="M367" s="14" t="str"/>
      <x:c r="N367" s="14" t="str">
        <x:v>Chim, động vật hoang dã, vật nuôi xâm nhập khu vực sân bay/khu vực lân cận trong phạm vi 13km từ điểm quy chiếu sân bay gây ảnh hưởng trực tiếp đến an toàn khai thác tàu bay.</x:v>
      </x:c>
      <x:c r="O367" s="14" t="str">
        <x:v>Thông báo ban đầu ngay khi có thể; gửi MOR đến Cục HKVN trong vòng 24 giờ; điều tra/xác minh nội bộ, phân loại, xác định nguyên nhân và biện pháp khắc phục/phòng ngừa theo Điều 19, 21.</x:v>
      </x:c>
      <x:c r="P367" s="14" t="str"/>
      <x:c r="Q367" s="14" t="str"/>
      <x:c r="R367" s="14" t="str"/>
      <x:c r="S367" s="14" t="str">
        <x:v>Ban An toàn - Chất lượng</x:v>
      </x:c>
      <x:c r="T367" s="14" t="str">
        <x:v>Các Công ty Quản lý bay khu vực Bắc/Trung/Nam; Ban An toàn - Chất lượng</x:v>
      </x:c>
      <x:c r="U367" s="14" t="str"/>
      <x:c r="V367" s="14" t="str">
        <x:v>24 giờ</x:v>
      </x:c>
      <x:c r="W367" s="14" t="str">
        <x:v>P2</x:v>
      </x:c>
      <x:c r="X367" s="14" t="str"/>
      <x:c r="Y367" s="14" t="str">
        <x:v>Chưa bắt đầu</x:v>
      </x:c>
      <x:c r="Z367" s="14" t="str"/>
      <x:c r="AA367" s="14" t="str">
        <x:v>https://datafiles.chinhphu.vn/cpp/files/vbpq/2026/5/18-bxd.pdf</x:v>
      </x:c>
      <x:c r="AB367" s="14" t="str">
        <x:v>sms; an toan; mor; san bay</x:v>
      </x:c>
    </x:row>
    <x:row r="368">
      <x:c r="A368" s="14" t="str">
        <x:v>VATM-0367</x:v>
      </x:c>
      <x:c r="B368" s="14" t="str">
        <x:v>V.1</x:v>
      </x:c>
      <x:c r="C368" s="14" t="str">
        <x:v>Thông tư 18/2026/TT-BXD - Chương trình an toàn HKDD</x:v>
      </x:c>
      <x:c r="D368" s="14" t="str">
        <x:v>Tong_hop_nhiem_vu_TT18_2026_TT_BXD_VATM_ANSP.xlsx</x:v>
      </x:c>
      <x:c r="E368" s="14" t="str">
        <x:v>05_MOR_PL_III</x:v>
      </x:c>
      <x:c r="F368" s="56" t="n">
        <x:v>140</x:v>
      </x:c>
      <x:c r="G368" s="14" t="str">
        <x:v>Phụ lục III Phần I Chương V</x:v>
      </x:c>
      <x:c r="H368" s="14" t="str">
        <x:v>An toàn hàng không / SMS</x:v>
      </x:c>
      <x:c r="I368" s="14" t="str">
        <x:v>Báo cáo MOR, sự cố và điều tra</x:v>
      </x:c>
      <x:c r="J368" s="14" t="str">
        <x:v>Doanh nghiệp cung cấp dịch vụ hàng không tại cảng hàng không</x:v>
      </x:c>
      <x:c r="K368" s="14" t="str">
        <x:v>Phối hợp/Gián tiếp</x:v>
      </x:c>
      <x:c r="L368" s="14" t="str">
        <x:v>Báo cáo/điều tra/khắc phục</x:v>
      </x:c>
      <x:c r="M368" s="14" t="str"/>
      <x:c r="N368" s="14" t="str">
        <x:v>Va chạm hoặc nguy cơ va chạm giữa phương tiện, thiết bị với tàu bay, người, phương tiện, thiết bị, công trình trong sân đỗ tàu bay.</x:v>
      </x:c>
      <x:c r="O368" s="14" t="str">
        <x:v>Thông báo ban đầu ngay khi có thể; gửi MOR đến Cục HKVN trong vòng 24 giờ; điều tra/xác minh nội bộ, phân loại, xác định nguyên nhân và biện pháp khắc phục/phòng ngừa theo Điều 19, 21.</x:v>
      </x:c>
      <x:c r="P368" s="14" t="str"/>
      <x:c r="Q368" s="14" t="str"/>
      <x:c r="R368" s="14" t="str"/>
      <x:c r="S368" s="14" t="str">
        <x:v>Ban An toàn - Chất lượng</x:v>
      </x:c>
      <x:c r="T368" s="14" t="str">
        <x:v>Các Công ty Quản lý bay khu vực Bắc/Trung/Nam; Ban An toàn - Chất lượng</x:v>
      </x:c>
      <x:c r="U368" s="14" t="str"/>
      <x:c r="V368" s="14" t="str">
        <x:v>24 giờ</x:v>
      </x:c>
      <x:c r="W368" s="14" t="str">
        <x:v>P2</x:v>
      </x:c>
      <x:c r="X368" s="14" t="str"/>
      <x:c r="Y368" s="14" t="str">
        <x:v>Chưa bắt đầu</x:v>
      </x:c>
      <x:c r="Z368" s="14" t="str"/>
      <x:c r="AA368" s="14" t="str">
        <x:v>https://datafiles.chinhphu.vn/cpp/files/vbpq/2026/5/18-bxd.pdf</x:v>
      </x:c>
      <x:c r="AB368" s="14" t="str">
        <x:v>sms; an toan; mor</x:v>
      </x:c>
    </x:row>
    <x:row r="369">
      <x:c r="A369" s="14" t="str">
        <x:v>VATM-0368</x:v>
      </x:c>
      <x:c r="B369" s="14" t="str">
        <x:v>V.2</x:v>
      </x:c>
      <x:c r="C369" s="14" t="str">
        <x:v>Thông tư 18/2026/TT-BXD - Chương trình an toàn HKDD</x:v>
      </x:c>
      <x:c r="D369" s="14" t="str">
        <x:v>Tong_hop_nhiem_vu_TT18_2026_TT_BXD_VATM_ANSP.xlsx</x:v>
      </x:c>
      <x:c r="E369" s="14" t="str">
        <x:v>05_MOR_PL_III</x:v>
      </x:c>
      <x:c r="F369" s="56" t="n">
        <x:v>141</x:v>
      </x:c>
      <x:c r="G369" s="14" t="str">
        <x:v>Phụ lục III Phần I Chương V</x:v>
      </x:c>
      <x:c r="H369" s="14" t="str">
        <x:v>An toàn hàng không / SMS</x:v>
      </x:c>
      <x:c r="I369" s="14" t="str">
        <x:v>Báo cáo MOR, sự cố và điều tra</x:v>
      </x:c>
      <x:c r="J369" s="14" t="str">
        <x:v>Doanh nghiệp cung cấp dịch vụ hàng không tại cảng hàng không</x:v>
      </x:c>
      <x:c r="K369" s="14" t="str">
        <x:v>Phối hợp/Gián tiếp</x:v>
      </x:c>
      <x:c r="L369" s="14" t="str">
        <x:v>Báo cáo/điều tra/khắc phục</x:v>
      </x:c>
      <x:c r="M369" s="14" t="str"/>
      <x:c r="N369" s="14" t="str">
        <x:v>Người và phương tiện xâm nhập trái phép đường CHC, đường lăn.</x:v>
      </x:c>
      <x:c r="O369" s="14" t="str">
        <x:v>Thông báo ban đầu ngay khi có thể; gửi MOR đến Cục HKVN trong vòng 24 giờ; điều tra/xác minh nội bộ, phân loại, xác định nguyên nhân và biện pháp khắc phục/phòng ngừa theo Điều 19, 21.</x:v>
      </x:c>
      <x:c r="P369" s="14" t="str"/>
      <x:c r="Q369" s="14" t="str"/>
      <x:c r="R369" s="14" t="str"/>
      <x:c r="S369" s="14" t="str">
        <x:v>Ban An toàn - Chất lượng</x:v>
      </x:c>
      <x:c r="T369" s="14" t="str">
        <x:v>Các Công ty Quản lý bay khu vực Bắc/Trung/Nam; Ban An toàn - Chất lượng</x:v>
      </x:c>
      <x:c r="U369" s="14" t="str"/>
      <x:c r="V369" s="14" t="str">
        <x:v>24 giờ</x:v>
      </x:c>
      <x:c r="W369" s="14" t="str">
        <x:v>P2</x:v>
      </x:c>
      <x:c r="X369" s="14" t="str"/>
      <x:c r="Y369" s="14" t="str">
        <x:v>Chưa bắt đầu</x:v>
      </x:c>
      <x:c r="Z369" s="14" t="str"/>
      <x:c r="AA369" s="14" t="str">
        <x:v>https://datafiles.chinhphu.vn/cpp/files/vbpq/2026/5/18-bxd.pdf</x:v>
      </x:c>
      <x:c r="AB369" s="14" t="str">
        <x:v>sms; an toan; mor</x:v>
      </x:c>
    </x:row>
    <x:row r="370">
      <x:c r="A370" s="14" t="str">
        <x:v>VATM-0369</x:v>
      </x:c>
      <x:c r="B370" s="14" t="str">
        <x:v>V.3</x:v>
      </x:c>
      <x:c r="C370" s="14" t="str">
        <x:v>Thông tư 18/2026/TT-BXD - Chương trình an toàn HKDD</x:v>
      </x:c>
      <x:c r="D370" s="14" t="str">
        <x:v>Tong_hop_nhiem_vu_TT18_2026_TT_BXD_VATM_ANSP.xlsx</x:v>
      </x:c>
      <x:c r="E370" s="14" t="str">
        <x:v>05_MOR_PL_III</x:v>
      </x:c>
      <x:c r="F370" s="56" t="n">
        <x:v>142</x:v>
      </x:c>
      <x:c r="G370" s="14" t="str">
        <x:v>Phụ lục III Phần I Chương V</x:v>
      </x:c>
      <x:c r="H370" s="14" t="str">
        <x:v>An toàn hàng không / SMS</x:v>
      </x:c>
      <x:c r="I370" s="14" t="str">
        <x:v>Báo cáo MOR, sự cố và điều tra</x:v>
      </x:c>
      <x:c r="J370" s="14" t="str">
        <x:v>Doanh nghiệp cung cấp dịch vụ hàng không tại cảng hàng không</x:v>
      </x:c>
      <x:c r="K370" s="14" t="str">
        <x:v>Phối hợp/Gián tiếp</x:v>
      </x:c>
      <x:c r="L370" s="14" t="str">
        <x:v>Báo cáo/điều tra/khắc phục</x:v>
      </x:c>
      <x:c r="M370" s="14" t="str"/>
      <x:c r="N370" s="14" t="str">
        <x:v>Tàu bay xông ra ngoài đường CHC, đường lăn do người, phương tiện xâm nhập trái phép đường CHC, đường lăn.</x:v>
      </x:c>
      <x:c r="O370" s="14" t="str">
        <x:v>Thông báo ban đầu ngay khi có thể; gửi MOR đến Cục HKVN trong vòng 24 giờ; điều tra/xác minh nội bộ, phân loại, xác định nguyên nhân và biện pháp khắc phục/phòng ngừa theo Điều 19, 21.</x:v>
      </x:c>
      <x:c r="P370" s="14" t="str"/>
      <x:c r="Q370" s="14" t="str"/>
      <x:c r="R370" s="14" t="str"/>
      <x:c r="S370" s="14" t="str">
        <x:v>Ban An toàn - Chất lượng</x:v>
      </x:c>
      <x:c r="T370" s="14" t="str">
        <x:v>Các Công ty Quản lý bay khu vực Bắc/Trung/Nam; Ban An toàn - Chất lượng</x:v>
      </x:c>
      <x:c r="U370" s="14" t="str"/>
      <x:c r="V370" s="14" t="str">
        <x:v>24 giờ</x:v>
      </x:c>
      <x:c r="W370" s="14" t="str">
        <x:v>P2</x:v>
      </x:c>
      <x:c r="X370" s="14" t="str"/>
      <x:c r="Y370" s="14" t="str">
        <x:v>Chưa bắt đầu</x:v>
      </x:c>
      <x:c r="Z370" s="14" t="str"/>
      <x:c r="AA370" s="14" t="str">
        <x:v>https://datafiles.chinhphu.vn/cpp/files/vbpq/2026/5/18-bxd.pdf</x:v>
      </x:c>
      <x:c r="AB370" s="14" t="str">
        <x:v>sms; an toan; mor</x:v>
      </x:c>
    </x:row>
    <x:row r="371">
      <x:c r="A371" s="14" t="str">
        <x:v>VATM-0370</x:v>
      </x:c>
      <x:c r="B371" s="14" t="str">
        <x:v>V.4</x:v>
      </x:c>
      <x:c r="C371" s="14" t="str">
        <x:v>Thông tư 18/2026/TT-BXD - Chương trình an toàn HKDD</x:v>
      </x:c>
      <x:c r="D371" s="14" t="str">
        <x:v>Tong_hop_nhiem_vu_TT18_2026_TT_BXD_VATM_ANSP.xlsx</x:v>
      </x:c>
      <x:c r="E371" s="14" t="str">
        <x:v>05_MOR_PL_III</x:v>
      </x:c>
      <x:c r="F371" s="56" t="n">
        <x:v>143</x:v>
      </x:c>
      <x:c r="G371" s="14" t="str">
        <x:v>Phụ lục III Phần I Chương V</x:v>
      </x:c>
      <x:c r="H371" s="14" t="str">
        <x:v>An toàn hàng không / SMS</x:v>
      </x:c>
      <x:c r="I371" s="14" t="str">
        <x:v>Báo cáo MOR, sự cố và điều tra</x:v>
      </x:c>
      <x:c r="J371" s="14" t="str">
        <x:v>Doanh nghiệp cung cấp dịch vụ hàng không tại cảng hàng không</x:v>
      </x:c>
      <x:c r="K371" s="14" t="str">
        <x:v>Phối hợp/Gián tiếp</x:v>
      </x:c>
      <x:c r="L371" s="14" t="str">
        <x:v>Báo cáo/điều tra/khắc phục</x:v>
      </x:c>
      <x:c r="M371" s="14" t="str"/>
      <x:c r="N371" s="14" t="str">
        <x:v>Người, phương tiện, thiết bị cản trở hoạt động di chuyển của tàu bay.</x:v>
      </x:c>
      <x:c r="O371" s="14" t="str">
        <x:v>Thông báo ban đầu ngay khi có thể; gửi MOR đến Cục HKVN trong vòng 24 giờ; điều tra/xác minh nội bộ, phân loại, xác định nguyên nhân và biện pháp khắc phục/phòng ngừa theo Điều 19, 21.</x:v>
      </x:c>
      <x:c r="P371" s="14" t="str"/>
      <x:c r="Q371" s="14" t="str"/>
      <x:c r="R371" s="14" t="str"/>
      <x:c r="S371" s="14" t="str">
        <x:v>Ban An toàn - Chất lượng</x:v>
      </x:c>
      <x:c r="T371" s="14" t="str">
        <x:v>Các Công ty Quản lý bay khu vực Bắc/Trung/Nam; Ban An toàn - Chất lượng</x:v>
      </x:c>
      <x:c r="U371" s="14" t="str"/>
      <x:c r="V371" s="14" t="str">
        <x:v>24 giờ</x:v>
      </x:c>
      <x:c r="W371" s="14" t="str">
        <x:v>P2</x:v>
      </x:c>
      <x:c r="X371" s="14" t="str"/>
      <x:c r="Y371" s="14" t="str">
        <x:v>Chưa bắt đầu</x:v>
      </x:c>
      <x:c r="Z371" s="14" t="str"/>
      <x:c r="AA371" s="14" t="str">
        <x:v>https://datafiles.chinhphu.vn/cpp/files/vbpq/2026/5/18-bxd.pdf</x:v>
      </x:c>
      <x:c r="AB371" s="14" t="str">
        <x:v>sms; an toan; mor</x:v>
      </x:c>
    </x:row>
    <x:row r="372">
      <x:c r="A372" s="14" t="str">
        <x:v>VATM-0371</x:v>
      </x:c>
      <x:c r="B372" s="14" t="str">
        <x:v>V.5</x:v>
      </x:c>
      <x:c r="C372" s="14" t="str">
        <x:v>Thông tư 18/2026/TT-BXD - Chương trình an toàn HKDD</x:v>
      </x:c>
      <x:c r="D372" s="14" t="str">
        <x:v>Tong_hop_nhiem_vu_TT18_2026_TT_BXD_VATM_ANSP.xlsx</x:v>
      </x:c>
      <x:c r="E372" s="14" t="str">
        <x:v>05_MOR_PL_III</x:v>
      </x:c>
      <x:c r="F372" s="56" t="n">
        <x:v>144</x:v>
      </x:c>
      <x:c r="G372" s="14" t="str">
        <x:v>Phụ lục III Phần I Chương V</x:v>
      </x:c>
      <x:c r="H372" s="14" t="str">
        <x:v>An toàn hàng không / SMS</x:v>
      </x:c>
      <x:c r="I372" s="14" t="str">
        <x:v>Báo cáo MOR, sự cố và điều tra</x:v>
      </x:c>
      <x:c r="J372" s="14" t="str">
        <x:v>Doanh nghiệp cung cấp dịch vụ hàng không tại cảng hàng không</x:v>
      </x:c>
      <x:c r="K372" s="14" t="str">
        <x:v>Phối hợp/Gián tiếp</x:v>
      </x:c>
      <x:c r="L372" s="14" t="str">
        <x:v>Báo cáo/điều tra/khắc phục</x:v>
      </x:c>
      <x:c r="M372" s="14" t="str"/>
      <x:c r="N372" s="14" t="str">
        <x:v>Phát hiện vật ngoại lai tại sân đỗ tàu bay gây nguy hiểm hoặc nguy cơ gây nguy hiểm cho tàu bay, người trên tàu bay hoặc trong sân bay.</x:v>
      </x:c>
      <x:c r="O372" s="14" t="str">
        <x:v>Thông báo ban đầu ngay khi có thể; gửi MOR đến Cục HKVN trong vòng 24 giờ; điều tra/xác minh nội bộ, phân loại, xác định nguyên nhân và biện pháp khắc phục/phòng ngừa theo Điều 19, 21.</x:v>
      </x:c>
      <x:c r="P372" s="14" t="str"/>
      <x:c r="Q372" s="14" t="str"/>
      <x:c r="R372" s="14" t="str"/>
      <x:c r="S372" s="14" t="str">
        <x:v>Ban An toàn - Chất lượng</x:v>
      </x:c>
      <x:c r="T372" s="14" t="str">
        <x:v>Các Công ty Quản lý bay khu vực Bắc/Trung/Nam; Ban An toàn - Chất lượng</x:v>
      </x:c>
      <x:c r="U372" s="14" t="str"/>
      <x:c r="V372" s="14" t="str">
        <x:v>24 giờ</x:v>
      </x:c>
      <x:c r="W372" s="14" t="str">
        <x:v>P2</x:v>
      </x:c>
      <x:c r="X372" s="14" t="str"/>
      <x:c r="Y372" s="14" t="str">
        <x:v>Chưa bắt đầu</x:v>
      </x:c>
      <x:c r="Z372" s="14" t="str"/>
      <x:c r="AA372" s="14" t="str">
        <x:v>https://datafiles.chinhphu.vn/cpp/files/vbpq/2026/5/18-bxd.pdf</x:v>
      </x:c>
      <x:c r="AB372" s="14" t="str">
        <x:v>sms; an toan; mor; san bay</x:v>
      </x:c>
    </x:row>
    <x:row r="373">
      <x:c r="A373" s="14" t="str">
        <x:v>VATM-0372</x:v>
      </x:c>
      <x:c r="B373" s="14" t="str">
        <x:v>V.6</x:v>
      </x:c>
      <x:c r="C373" s="14" t="str">
        <x:v>Thông tư 18/2026/TT-BXD - Chương trình an toàn HKDD</x:v>
      </x:c>
      <x:c r="D373" s="14" t="str">
        <x:v>Tong_hop_nhiem_vu_TT18_2026_TT_BXD_VATM_ANSP.xlsx</x:v>
      </x:c>
      <x:c r="E373" s="14" t="str">
        <x:v>05_MOR_PL_III</x:v>
      </x:c>
      <x:c r="F373" s="56" t="n">
        <x:v>145</x:v>
      </x:c>
      <x:c r="G373" s="14" t="str">
        <x:v>Phụ lục III Phần I Chương V</x:v>
      </x:c>
      <x:c r="H373" s="14" t="str">
        <x:v>An toàn hàng không / SMS</x:v>
      </x:c>
      <x:c r="I373" s="14" t="str">
        <x:v>Báo cáo MOR, sự cố và điều tra</x:v>
      </x:c>
      <x:c r="J373" s="14" t="str">
        <x:v>Doanh nghiệp cung cấp dịch vụ hàng không tại cảng hàng không</x:v>
      </x:c>
      <x:c r="K373" s="14" t="str">
        <x:v>Phối hợp/Gián tiếp</x:v>
      </x:c>
      <x:c r="L373" s="14" t="str">
        <x:v>Báo cáo/điều tra/khắc phục</x:v>
      </x:c>
      <x:c r="M373" s="14" t="str"/>
      <x:c r="N373" s="14" t="str">
        <x:v>Sự cố cháy, nổ, khói tại cảng hàng không do doanh nghiệp dịch vụ hàng không và đơn vị khác gây ra, ảnh hưởng cung cấp dịch vụ/hoạt động bay hoặc gây hư hỏng/nguy hiểm.</x:v>
      </x:c>
      <x:c r="O373" s="14" t="str">
        <x:v>Thông báo ban đầu ngay khi có thể; gửi MOR đến Cục HKVN trong vòng 24 giờ; điều tra/xác minh nội bộ, phân loại, xác định nguyên nhân và biện pháp khắc phục/phòng ngừa theo Điều 19, 21.</x:v>
      </x:c>
      <x:c r="P373" s="14" t="str"/>
      <x:c r="Q373" s="14" t="str"/>
      <x:c r="R373" s="14" t="str"/>
      <x:c r="S373" s="14" t="str">
        <x:v>Ban An toàn - Chất lượng</x:v>
      </x:c>
      <x:c r="T373" s="14" t="str">
        <x:v>Các Công ty Quản lý bay khu vực Bắc/Trung/Nam; Ban An toàn - Chất lượng</x:v>
      </x:c>
      <x:c r="U373" s="14" t="str"/>
      <x:c r="V373" s="14" t="str">
        <x:v>24 giờ</x:v>
      </x:c>
      <x:c r="W373" s="14" t="str">
        <x:v>P2</x:v>
      </x:c>
      <x:c r="X373" s="14" t="str"/>
      <x:c r="Y373" s="14" t="str">
        <x:v>Chưa bắt đầu</x:v>
      </x:c>
      <x:c r="Z373" s="14" t="str"/>
      <x:c r="AA373" s="14" t="str">
        <x:v>https://datafiles.chinhphu.vn/cpp/files/vbpq/2026/5/18-bxd.pdf</x:v>
      </x:c>
      <x:c r="AB373" s="14" t="str">
        <x:v>sms; an toan; mor; cang</x:v>
      </x:c>
    </x:row>
    <x:row r="374">
      <x:c r="A374" s="14" t="str">
        <x:v>VATM-0373</x:v>
      </x:c>
      <x:c r="B374" s="14" t="str">
        <x:v>V.7</x:v>
      </x:c>
      <x:c r="C374" s="14" t="str">
        <x:v>Thông tư 18/2026/TT-BXD - Chương trình an toàn HKDD</x:v>
      </x:c>
      <x:c r="D374" s="14" t="str">
        <x:v>Tong_hop_nhiem_vu_TT18_2026_TT_BXD_VATM_ANSP.xlsx</x:v>
      </x:c>
      <x:c r="E374" s="14" t="str">
        <x:v>05_MOR_PL_III</x:v>
      </x:c>
      <x:c r="F374" s="56" t="n">
        <x:v>146</x:v>
      </x:c>
      <x:c r="G374" s="14" t="str">
        <x:v>Phụ lục III Phần I Chương V</x:v>
      </x:c>
      <x:c r="H374" s="14" t="str">
        <x:v>An toàn hàng không / SMS</x:v>
      </x:c>
      <x:c r="I374" s="14" t="str">
        <x:v>Báo cáo MOR, sự cố và điều tra</x:v>
      </x:c>
      <x:c r="J374" s="14" t="str">
        <x:v>Doanh nghiệp cung cấp dịch vụ hàng không tại cảng hàng không</x:v>
      </x:c>
      <x:c r="K374" s="14" t="str">
        <x:v>Phối hợp/Gián tiếp</x:v>
      </x:c>
      <x:c r="L374" s="14" t="str">
        <x:v>Báo cáo/điều tra/khắc phục</x:v>
      </x:c>
      <x:c r="M374" s="14" t="str"/>
      <x:c r="N374" s="14" t="str">
        <x:v>Mất hoặc gián đoạn liên lạc với tàu bay và Đài kiểm soát tại sân bay.</x:v>
      </x:c>
      <x:c r="O374" s="14" t="str">
        <x:v>Thông báo ban đầu ngay khi có thể; gửi MOR đến Cục HKVN trong vòng 24 giờ; điều tra/xác minh nội bộ, phân loại, xác định nguyên nhân và biện pháp khắc phục/phòng ngừa theo Điều 19, 21.</x:v>
      </x:c>
      <x:c r="P374" s="14" t="str"/>
      <x:c r="Q374" s="14" t="str"/>
      <x:c r="R374" s="14" t="str"/>
      <x:c r="S374" s="14" t="str">
        <x:v>Ban An toàn - Chất lượng</x:v>
      </x:c>
      <x:c r="T374" s="14" t="str">
        <x:v>Các Công ty Quản lý bay khu vực Bắc/Trung/Nam; Ban An toàn - Chất lượng</x:v>
      </x:c>
      <x:c r="U374" s="14" t="str"/>
      <x:c r="V374" s="14" t="str">
        <x:v>24 giờ</x:v>
      </x:c>
      <x:c r="W374" s="14" t="str">
        <x:v>P2</x:v>
      </x:c>
      <x:c r="X374" s="14" t="str"/>
      <x:c r="Y374" s="14" t="str">
        <x:v>Chưa bắt đầu</x:v>
      </x:c>
      <x:c r="Z374" s="14" t="str"/>
      <x:c r="AA374" s="14" t="str">
        <x:v>https://datafiles.chinhphu.vn/cpp/files/vbpq/2026/5/18-bxd.pdf</x:v>
      </x:c>
      <x:c r="AB374" s="14" t="str">
        <x:v>sms; an toan; mor; san bay</x:v>
      </x:c>
    </x:row>
    <x:row r="375">
      <x:c r="A375" s="14" t="str">
        <x:v>VATM-0374</x:v>
      </x:c>
      <x:c r="B375" s="14" t="str">
        <x:v>V.8</x:v>
      </x:c>
      <x:c r="C375" s="14" t="str">
        <x:v>Thông tư 18/2026/TT-BXD - Chương trình an toàn HKDD</x:v>
      </x:c>
      <x:c r="D375" s="14" t="str">
        <x:v>Tong_hop_nhiem_vu_TT18_2026_TT_BXD_VATM_ANSP.xlsx</x:v>
      </x:c>
      <x:c r="E375" s="14" t="str">
        <x:v>05_MOR_PL_III</x:v>
      </x:c>
      <x:c r="F375" s="56" t="n">
        <x:v>147</x:v>
      </x:c>
      <x:c r="G375" s="14" t="str">
        <x:v>Phụ lục III Phần I Chương V</x:v>
      </x:c>
      <x:c r="H375" s="14" t="str">
        <x:v>An toàn hàng không / SMS</x:v>
      </x:c>
      <x:c r="I375" s="14" t="str">
        <x:v>Báo cáo MOR, sự cố và điều tra</x:v>
      </x:c>
      <x:c r="J375" s="14" t="str">
        <x:v>Doanh nghiệp cung cấp dịch vụ hàng không tại cảng hàng không</x:v>
      </x:c>
      <x:c r="K375" s="14" t="str">
        <x:v>Phối hợp/Gián tiếp</x:v>
      </x:c>
      <x:c r="L375" s="14" t="str">
        <x:v>Báo cáo/điều tra/khắc phục</x:v>
      </x:c>
      <x:c r="M375" s="14" t="str"/>
      <x:c r="N375" s="14" t="str">
        <x:v>Sự cố kỹ thuật của phương tiện, thiết bị, hệ thống gây nguy hiểm hoặc nguy cơ gây nguy hiểm cho tàu bay/người.</x:v>
      </x:c>
      <x:c r="O375" s="14" t="str">
        <x:v>Thông báo ban đầu ngay khi có thể; gửi MOR đến Cục HKVN trong vòng 24 giờ; điều tra/xác minh nội bộ, phân loại, xác định nguyên nhân và biện pháp khắc phục/phòng ngừa theo Điều 19, 21.</x:v>
      </x:c>
      <x:c r="P375" s="14" t="str"/>
      <x:c r="Q375" s="14" t="str"/>
      <x:c r="R375" s="14" t="str"/>
      <x:c r="S375" s="14" t="str">
        <x:v>Ban An toàn - Chất lượng</x:v>
      </x:c>
      <x:c r="T375" s="14" t="str">
        <x:v>Các Công ty Quản lý bay khu vực Bắc/Trung/Nam; Ban An toàn - Chất lượng</x:v>
      </x:c>
      <x:c r="U375" s="14" t="str"/>
      <x:c r="V375" s="14" t="str">
        <x:v>24 giờ</x:v>
      </x:c>
      <x:c r="W375" s="14" t="str">
        <x:v>P2</x:v>
      </x:c>
      <x:c r="X375" s="14" t="str"/>
      <x:c r="Y375" s="14" t="str">
        <x:v>Chưa bắt đầu</x:v>
      </x:c>
      <x:c r="Z375" s="14" t="str"/>
      <x:c r="AA375" s="14" t="str">
        <x:v>https://datafiles.chinhphu.vn/cpp/files/vbpq/2026/5/18-bxd.pdf</x:v>
      </x:c>
      <x:c r="AB375" s="14" t="str">
        <x:v>sms; an toan; mor</x:v>
      </x:c>
    </x:row>
    <x:row r="376">
      <x:c r="A376" s="14" t="str">
        <x:v>VATM-0375</x:v>
      </x:c>
      <x:c r="B376" s="14" t="str">
        <x:v>V.14</x:v>
      </x:c>
      <x:c r="C376" s="14" t="str">
        <x:v>Thông tư 18/2026/TT-BXD - Chương trình an toàn HKDD</x:v>
      </x:c>
      <x:c r="D376" s="14" t="str">
        <x:v>Tong_hop_nhiem_vu_TT18_2026_TT_BXD_VATM_ANSP.xlsx</x:v>
      </x:c>
      <x:c r="E376" s="14" t="str">
        <x:v>05_MOR_PL_III</x:v>
      </x:c>
      <x:c r="F376" s="56" t="n">
        <x:v>153</x:v>
      </x:c>
      <x:c r="G376" s="14" t="str">
        <x:v>Phụ lục III Phần I Chương V</x:v>
      </x:c>
      <x:c r="H376" s="14" t="str">
        <x:v>An toàn hàng không / SMS</x:v>
      </x:c>
      <x:c r="I376" s="14" t="str">
        <x:v>Báo cáo MOR, sự cố và điều tra</x:v>
      </x:c>
      <x:c r="J376" s="14" t="str">
        <x:v>Doanh nghiệp cung cấp dịch vụ hàng không tại cảng hàng không</x:v>
      </x:c>
      <x:c r="K376" s="14" t="str">
        <x:v>Phối hợp/Gián tiếp</x:v>
      </x:c>
      <x:c r="L376" s="14" t="str">
        <x:v>Báo cáo/điều tra/khắc phục</x:v>
      </x:c>
      <x:c r="M376" s="14" t="str"/>
      <x:c r="N376" s="14" t="str">
        <x:v>Tàu bay bị hư hỏng do thiết bị hoặc phương tiện phục vụ mặt đất gây ra.</x:v>
      </x:c>
      <x:c r="O376" s="14" t="str">
        <x:v>Thông báo ban đầu ngay khi có thể; gửi MOR đến Cục HKVN trong vòng 24 giờ; điều tra/xác minh nội bộ, phân loại, xác định nguyên nhân và biện pháp khắc phục/phòng ngừa theo Điều 19, 21.</x:v>
      </x:c>
      <x:c r="P376" s="14" t="str"/>
      <x:c r="Q376" s="14" t="str"/>
      <x:c r="R376" s="14" t="str"/>
      <x:c r="S376" s="14" t="str">
        <x:v>Ban An toàn - Chất lượng</x:v>
      </x:c>
      <x:c r="T376" s="14" t="str">
        <x:v>Các Công ty Quản lý bay khu vực Bắc/Trung/Nam; Ban An toàn - Chất lượng</x:v>
      </x:c>
      <x:c r="U376" s="14" t="str"/>
      <x:c r="V376" s="14" t="str">
        <x:v>24 giờ</x:v>
      </x:c>
      <x:c r="W376" s="14" t="str">
        <x:v>P2</x:v>
      </x:c>
      <x:c r="X376" s="14" t="str"/>
      <x:c r="Y376" s="14" t="str">
        <x:v>Chưa bắt đầu</x:v>
      </x:c>
      <x:c r="Z376" s="14" t="str"/>
      <x:c r="AA376" s="14" t="str">
        <x:v>https://datafiles.chinhphu.vn/cpp/files/vbpq/2026/5/18-bxd.pdf</x:v>
      </x:c>
      <x:c r="AB376" s="14" t="str">
        <x:v>sms; an toan; mor</x:v>
      </x:c>
    </x:row>
    <x:row r="377">
      <x:c r="A377" s="14" t="str">
        <x:v>VATM-0376</x:v>
      </x:c>
      <x:c r="B377" s="14" t="str">
        <x:v>V.16</x:v>
      </x:c>
      <x:c r="C377" s="14" t="str">
        <x:v>Thông tư 18/2026/TT-BXD - Chương trình an toàn HKDD</x:v>
      </x:c>
      <x:c r="D377" s="14" t="str">
        <x:v>Tong_hop_nhiem_vu_TT18_2026_TT_BXD_VATM_ANSP.xlsx</x:v>
      </x:c>
      <x:c r="E377" s="14" t="str">
        <x:v>05_MOR_PL_III</x:v>
      </x:c>
      <x:c r="F377" s="56" t="n">
        <x:v>155</x:v>
      </x:c>
      <x:c r="G377" s="14" t="str">
        <x:v>Phụ lục III Phần I Chương V</x:v>
      </x:c>
      <x:c r="H377" s="14" t="str">
        <x:v>An toàn hàng không / SMS</x:v>
      </x:c>
      <x:c r="I377" s="14" t="str">
        <x:v>Báo cáo MOR, sự cố và điều tra</x:v>
      </x:c>
      <x:c r="J377" s="14" t="str">
        <x:v>Doanh nghiệp cung cấp dịch vụ hàng không tại cảng hàng không</x:v>
      </x:c>
      <x:c r="K377" s="14" t="str">
        <x:v>Phối hợp/Gián tiếp</x:v>
      </x:c>
      <x:c r="L377" s="14" t="str">
        <x:v>Báo cáo/điều tra/khắc phục</x:v>
      </x:c>
      <x:c r="M377" s="14" t="str"/>
      <x:c r="N377" s="14" t="str">
        <x:v>Nhân viên hàng không bị thương khi thực hiện nhiệm vụ.</x:v>
      </x:c>
      <x:c r="O377" s="14" t="str">
        <x:v>Thông báo ban đầu ngay khi có thể; gửi MOR đến Cục HKVN trong vòng 24 giờ; điều tra/xác minh nội bộ, phân loại, xác định nguyên nhân và biện pháp khắc phục/phòng ngừa theo Điều 19, 21.</x:v>
      </x:c>
      <x:c r="P377" s="14" t="str"/>
      <x:c r="Q377" s="14" t="str"/>
      <x:c r="R377" s="14" t="str"/>
      <x:c r="S377" s="14" t="str">
        <x:v>Ban An toàn - Chất lượng</x:v>
      </x:c>
      <x:c r="T377" s="14" t="str">
        <x:v>Các Công ty Quản lý bay khu vực Bắc/Trung/Nam; Ban An toàn - Chất lượng</x:v>
      </x:c>
      <x:c r="U377" s="14" t="str"/>
      <x:c r="V377" s="14" t="str">
        <x:v>24 giờ</x:v>
      </x:c>
      <x:c r="W377" s="14" t="str">
        <x:v>P2</x:v>
      </x:c>
      <x:c r="X377" s="14" t="str"/>
      <x:c r="Y377" s="14" t="str">
        <x:v>Chưa bắt đầu</x:v>
      </x:c>
      <x:c r="Z377" s="14" t="str"/>
      <x:c r="AA377" s="14" t="str">
        <x:v>https://datafiles.chinhphu.vn/cpp/files/vbpq/2026/5/18-bxd.pdf</x:v>
      </x:c>
      <x:c r="AB377" s="14" t="str">
        <x:v>sms; an toan; mor</x:v>
      </x:c>
    </x:row>
    <x:row r="378">
      <x:c r="A378" s="14" t="str">
        <x:v>VATM-0377</x:v>
      </x:c>
      <x:c r="B378" s="14" t="str">
        <x:v>VI.1</x:v>
      </x:c>
      <x:c r="C378" s="14" t="str">
        <x:v>Thông tư 18/2026/TT-BXD - Chương trình an toàn HKDD</x:v>
      </x:c>
      <x:c r="D378" s="14" t="str">
        <x:v>Tong_hop_nhiem_vu_TT18_2026_TT_BXD_VATM_ANSP.xlsx</x:v>
      </x:c>
      <x:c r="E378" s="14" t="str">
        <x:v>05_MOR_PL_III</x:v>
      </x:c>
      <x:c r="F378" s="56" t="n">
        <x:v>156</x:v>
      </x:c>
      <x:c r="G378" s="14" t="str">
        <x:v>Phụ lục III Phần I Chương VI</x:v>
      </x:c>
      <x:c r="H378" s="14" t="str">
        <x:v>An toàn hàng không / SMS</x:v>
      </x:c>
      <x:c r="I378" s="14" t="str">
        <x:v>Báo cáo MOR, sự cố và điều tra</x:v>
      </x:c>
      <x:c r="J378" s="14" t="str">
        <x:v>Người khai thác bãi cất, hạ cánh</x:v>
      </x:c>
      <x:c r="K378" s="14" t="str">
        <x:v>Phối hợp/Gián tiếp</x:v>
      </x:c>
      <x:c r="L378" s="14" t="str">
        <x:v>Báo cáo/điều tra/khắc phục</x:v>
      </x:c>
      <x:c r="M378" s="14" t="str"/>
      <x:c r="N378" s="14" t="str">
        <x:v>Hiện tượng gió xoáy, luồng khí từ cánh quạt trực thăng trong quá trình tiếp cận, cất cánh hoặc hạ cánh gây ảnh hưởng đến an toàn người, phương tiện, thiết bị.</x:v>
      </x:c>
      <x:c r="O378" s="14" t="str">
        <x:v>Thông báo ban đầu ngay khi có thể; gửi MOR đến Cục HKVN trong vòng 24 giờ; điều tra/xác minh nội bộ, phân loại, xác định nguyên nhân và biện pháp khắc phục/phòng ngừa theo Điều 19, 21.</x:v>
      </x:c>
      <x:c r="P378" s="14" t="str"/>
      <x:c r="Q378" s="14" t="str"/>
      <x:c r="R378" s="14" t="str"/>
      <x:c r="S378" s="14" t="str">
        <x:v>Ban An toàn - Chất lượng</x:v>
      </x:c>
      <x:c r="T378" s="14" t="str">
        <x:v>Các Công ty Quản lý bay khu vực Bắc/Trung/Nam; Ban An toàn - Chất lượng</x:v>
      </x:c>
      <x:c r="U378" s="14" t="str"/>
      <x:c r="V378" s="14" t="str">
        <x:v>24 giờ</x:v>
      </x:c>
      <x:c r="W378" s="14" t="str">
        <x:v>P2</x:v>
      </x:c>
      <x:c r="X378" s="14" t="str"/>
      <x:c r="Y378" s="14" t="str">
        <x:v>Chưa bắt đầu</x:v>
      </x:c>
      <x:c r="Z378" s="14" t="str"/>
      <x:c r="AA378" s="14" t="str">
        <x:v>https://datafiles.chinhphu.vn/cpp/files/vbpq/2026/5/18-bxd.pdf</x:v>
      </x:c>
      <x:c r="AB378" s="14" t="str">
        <x:v>sms; an toan; mor</x:v>
      </x:c>
    </x:row>
    <x:row r="379">
      <x:c r="A379" s="14" t="str">
        <x:v>VATM-0378</x:v>
      </x:c>
      <x:c r="B379" s="14" t="str">
        <x:v>VI.5</x:v>
      </x:c>
      <x:c r="C379" s="14" t="str">
        <x:v>Thông tư 18/2026/TT-BXD - Chương trình an toàn HKDD</x:v>
      </x:c>
      <x:c r="D379" s="14" t="str">
        <x:v>Tong_hop_nhiem_vu_TT18_2026_TT_BXD_VATM_ANSP.xlsx</x:v>
      </x:c>
      <x:c r="E379" s="14" t="str">
        <x:v>05_MOR_PL_III</x:v>
      </x:c>
      <x:c r="F379" s="56" t="n">
        <x:v>160</x:v>
      </x:c>
      <x:c r="G379" s="14" t="str">
        <x:v>Phụ lục III Phần I Chương VI</x:v>
      </x:c>
      <x:c r="H379" s="14" t="str">
        <x:v>An toàn hàng không / SMS</x:v>
      </x:c>
      <x:c r="I379" s="14" t="str">
        <x:v>Báo cáo MOR, sự cố và điều tra</x:v>
      </x:c>
      <x:c r="J379" s="14" t="str">
        <x:v>Người khai thác bãi cất, hạ cánh</x:v>
      </x:c>
      <x:c r="K379" s="14" t="str">
        <x:v>Phối hợp/Gián tiếp</x:v>
      </x:c>
      <x:c r="L379" s="14" t="str">
        <x:v>Báo cáo/điều tra/khắc phục</x:v>
      </x:c>
      <x:c r="M379" s="14" t="str"/>
      <x:c r="N379" s="14" t="str">
        <x:v>Có chướng ngại vật không được công bố trong khu vực bãi cất, hạ cánh.</x:v>
      </x:c>
      <x:c r="O379" s="14" t="str">
        <x:v>Thông báo ban đầu ngay khi có thể; gửi MOR đến Cục HKVN trong vòng 24 giờ; điều tra/xác minh nội bộ, phân loại, xác định nguyên nhân và biện pháp khắc phục/phòng ngừa theo Điều 19, 21.</x:v>
      </x:c>
      <x:c r="P379" s="14" t="str"/>
      <x:c r="Q379" s="14" t="str"/>
      <x:c r="R379" s="14" t="str"/>
      <x:c r="S379" s="14" t="str">
        <x:v>Ban An toàn - Chất lượng</x:v>
      </x:c>
      <x:c r="T379" s="14" t="str">
        <x:v>Các Công ty Quản lý bay khu vực Bắc/Trung/Nam; Ban An toàn - Chất lượng</x:v>
      </x:c>
      <x:c r="U379" s="14" t="str"/>
      <x:c r="V379" s="14" t="str">
        <x:v>24 giờ</x:v>
      </x:c>
      <x:c r="W379" s="14" t="str">
        <x:v>P2</x:v>
      </x:c>
      <x:c r="X379" s="14" t="str"/>
      <x:c r="Y379" s="14" t="str">
        <x:v>Chưa bắt đầu</x:v>
      </x:c>
      <x:c r="Z379" s="14" t="str"/>
      <x:c r="AA379" s="14" t="str">
        <x:v>https://datafiles.chinhphu.vn/cpp/files/vbpq/2026/5/18-bxd.pdf</x:v>
      </x:c>
      <x:c r="AB379" s="14" t="str">
        <x:v>sms; an toan; mor</x:v>
      </x:c>
    </x:row>
    <x:row r="380">
      <x:c r="A380" s="14" t="str">
        <x:v>VATM-0379</x:v>
      </x:c>
      <x:c r="B380" s="14" t="str">
        <x:v>VI.6</x:v>
      </x:c>
      <x:c r="C380" s="14" t="str">
        <x:v>Thông tư 18/2026/TT-BXD - Chương trình an toàn HKDD</x:v>
      </x:c>
      <x:c r="D380" s="14" t="str">
        <x:v>Tong_hop_nhiem_vu_TT18_2026_TT_BXD_VATM_ANSP.xlsx</x:v>
      </x:c>
      <x:c r="E380" s="14" t="str">
        <x:v>05_MOR_PL_III</x:v>
      </x:c>
      <x:c r="F380" s="56" t="n">
        <x:v>161</x:v>
      </x:c>
      <x:c r="G380" s="14" t="str">
        <x:v>Phụ lục III Phần I Chương VI</x:v>
      </x:c>
      <x:c r="H380" s="14" t="str">
        <x:v>An toàn hàng không / SMS</x:v>
      </x:c>
      <x:c r="I380" s="14" t="str">
        <x:v>Báo cáo MOR, sự cố và điều tra</x:v>
      </x:c>
      <x:c r="J380" s="14" t="str">
        <x:v>Người khai thác bãi cất, hạ cánh</x:v>
      </x:c>
      <x:c r="K380" s="14" t="str">
        <x:v>Phối hợp/Gián tiếp</x:v>
      </x:c>
      <x:c r="L380" s="14" t="str">
        <x:v>Báo cáo/điều tra/khắc phục</x:v>
      </x:c>
      <x:c r="M380" s="14" t="str"/>
      <x:c r="N380" s="14" t="str">
        <x:v>Hỏng đèn, tín hiệu hoặc điều kiện ảnh hưởng trực tiếp đến an toàn khai thác bãi cất, hạ cánh.</x:v>
      </x:c>
      <x:c r="O380" s="14" t="str">
        <x:v>Thông báo ban đầu ngay khi có thể; gửi MOR đến Cục HKVN trong vòng 24 giờ; điều tra/xác minh nội bộ, phân loại, xác định nguyên nhân và biện pháp khắc phục/phòng ngừa theo Điều 19, 21.</x:v>
      </x:c>
      <x:c r="P380" s="14" t="str"/>
      <x:c r="Q380" s="14" t="str"/>
      <x:c r="R380" s="14" t="str"/>
      <x:c r="S380" s="14" t="str">
        <x:v>Ban An toàn - Chất lượng</x:v>
      </x:c>
      <x:c r="T380" s="14" t="str">
        <x:v>Các Công ty Quản lý bay khu vực Bắc/Trung/Nam; Ban An toàn - Chất lượng</x:v>
      </x:c>
      <x:c r="U380" s="14" t="str"/>
      <x:c r="V380" s="14" t="str">
        <x:v>24 giờ</x:v>
      </x:c>
      <x:c r="W380" s="14" t="str">
        <x:v>P2</x:v>
      </x:c>
      <x:c r="X380" s="14" t="str"/>
      <x:c r="Y380" s="14" t="str">
        <x:v>Chưa bắt đầu</x:v>
      </x:c>
      <x:c r="Z380" s="14" t="str"/>
      <x:c r="AA380" s="14" t="str">
        <x:v>https://datafiles.chinhphu.vn/cpp/files/vbpq/2026/5/18-bxd.pdf</x:v>
      </x:c>
      <x:c r="AB380" s="14" t="str">
        <x:v>sms; an toan; mor</x:v>
      </x:c>
    </x:row>
    <x:row r="381">
      <x:c r="A381" s="14" t="str">
        <x:v>VATM-0380</x:v>
      </x:c>
      <x:c r="B381" s="14" t="str">
        <x:v>VI.7</x:v>
      </x:c>
      <x:c r="C381" s="14" t="str">
        <x:v>Thông tư 18/2026/TT-BXD - Chương trình an toàn HKDD</x:v>
      </x:c>
      <x:c r="D381" s="14" t="str">
        <x:v>Tong_hop_nhiem_vu_TT18_2026_TT_BXD_VATM_ANSP.xlsx</x:v>
      </x:c>
      <x:c r="E381" s="14" t="str">
        <x:v>05_MOR_PL_III</x:v>
      </x:c>
      <x:c r="F381" s="56" t="n">
        <x:v>162</x:v>
      </x:c>
      <x:c r="G381" s="14" t="str">
        <x:v>Phụ lục III Phần I Chương VI</x:v>
      </x:c>
      <x:c r="H381" s="14" t="str">
        <x:v>An toàn hàng không / SMS</x:v>
      </x:c>
      <x:c r="I381" s="14" t="str">
        <x:v>Báo cáo MOR, sự cố và điều tra</x:v>
      </x:c>
      <x:c r="J381" s="14" t="str">
        <x:v>Người khai thác bãi cất, hạ cánh</x:v>
      </x:c>
      <x:c r="K381" s="14" t="str">
        <x:v>Phối hợp/Gián tiếp</x:v>
      </x:c>
      <x:c r="L381" s="14" t="str">
        <x:v>Báo cáo/điều tra/khắc phục</x:v>
      </x:c>
      <x:c r="M381" s="14" t="str"/>
      <x:c r="N381" s="14" t="str">
        <x:v>Chướng ngại vật gây cản trở trong quá trình cất, hạ cánh.</x:v>
      </x:c>
      <x:c r="O381" s="14" t="str">
        <x:v>Thông báo ban đầu ngay khi có thể; gửi MOR đến Cục HKVN trong vòng 24 giờ; điều tra/xác minh nội bộ, phân loại, xác định nguyên nhân và biện pháp khắc phục/phòng ngừa theo Điều 19, 21.</x:v>
      </x:c>
      <x:c r="P381" s="14" t="str"/>
      <x:c r="Q381" s="14" t="str"/>
      <x:c r="R381" s="14" t="str"/>
      <x:c r="S381" s="14" t="str">
        <x:v>Ban An toàn - Chất lượng</x:v>
      </x:c>
      <x:c r="T381" s="14" t="str">
        <x:v>Các Công ty Quản lý bay khu vực Bắc/Trung/Nam; Ban An toàn - Chất lượng</x:v>
      </x:c>
      <x:c r="U381" s="14" t="str"/>
      <x:c r="V381" s="14" t="str">
        <x:v>24 giờ</x:v>
      </x:c>
      <x:c r="W381" s="14" t="str">
        <x:v>P2</x:v>
      </x:c>
      <x:c r="X381" s="14" t="str"/>
      <x:c r="Y381" s="14" t="str">
        <x:v>Chưa bắt đầu</x:v>
      </x:c>
      <x:c r="Z381" s="14" t="str"/>
      <x:c r="AA381" s="14" t="str">
        <x:v>https://datafiles.chinhphu.vn/cpp/files/vbpq/2026/5/18-bxd.pdf</x:v>
      </x:c>
      <x:c r="AB381" s="14" t="str">
        <x:v>sms; an toan; mor</x:v>
      </x:c>
    </x:row>
    <x:row r="382">
      <x:c r="A382" s="14" t="str">
        <x:v>VATM-0381</x:v>
      </x:c>
      <x:c r="B382" s="14" t="str">
        <x:v>VI.8</x:v>
      </x:c>
      <x:c r="C382" s="14" t="str">
        <x:v>Thông tư 18/2026/TT-BXD - Chương trình an toàn HKDD</x:v>
      </x:c>
      <x:c r="D382" s="14" t="str">
        <x:v>Tong_hop_nhiem_vu_TT18_2026_TT_BXD_VATM_ANSP.xlsx</x:v>
      </x:c>
      <x:c r="E382" s="14" t="str">
        <x:v>05_MOR_PL_III</x:v>
      </x:c>
      <x:c r="F382" s="56" t="n">
        <x:v>163</x:v>
      </x:c>
      <x:c r="G382" s="14" t="str">
        <x:v>Phụ lục III Phần I Chương VI</x:v>
      </x:c>
      <x:c r="H382" s="14" t="str">
        <x:v>An toàn hàng không / SMS</x:v>
      </x:c>
      <x:c r="I382" s="14" t="str">
        <x:v>Báo cáo MOR, sự cố và điều tra</x:v>
      </x:c>
      <x:c r="J382" s="14" t="str">
        <x:v>Người khai thác bãi cất, hạ cánh</x:v>
      </x:c>
      <x:c r="K382" s="14" t="str">
        <x:v>Phối hợp/Gián tiếp</x:v>
      </x:c>
      <x:c r="L382" s="14" t="str">
        <x:v>Báo cáo/điều tra/khắc phục</x:v>
      </x:c>
      <x:c r="M382" s="14" t="str"/>
      <x:c r="N382" s="14" t="str">
        <x:v>Nhân viên hàng không bị thương khi thực hiện nhiệm vụ.</x:v>
      </x:c>
      <x:c r="O382" s="14" t="str">
        <x:v>Thông báo ban đầu ngay khi có thể; gửi MOR đến Cục HKVN trong vòng 24 giờ; điều tra/xác minh nội bộ, phân loại, xác định nguyên nhân và biện pháp khắc phục/phòng ngừa theo Điều 19, 21.</x:v>
      </x:c>
      <x:c r="P382" s="14" t="str"/>
      <x:c r="Q382" s="14" t="str"/>
      <x:c r="R382" s="14" t="str"/>
      <x:c r="S382" s="14" t="str">
        <x:v>Ban An toàn - Chất lượng</x:v>
      </x:c>
      <x:c r="T382" s="14" t="str">
        <x:v>Các Công ty Quản lý bay khu vực Bắc/Trung/Nam; Ban An toàn - Chất lượng</x:v>
      </x:c>
      <x:c r="U382" s="14" t="str"/>
      <x:c r="V382" s="14" t="str">
        <x:v>24 giờ</x:v>
      </x:c>
      <x:c r="W382" s="14" t="str">
        <x:v>P2</x:v>
      </x:c>
      <x:c r="X382" s="14" t="str"/>
      <x:c r="Y382" s="14" t="str">
        <x:v>Chưa bắt đầu</x:v>
      </x:c>
      <x:c r="Z382" s="14" t="str"/>
      <x:c r="AA382" s="14" t="str">
        <x:v>https://datafiles.chinhphu.vn/cpp/files/vbpq/2026/5/18-bxd.pdf</x:v>
      </x:c>
      <x:c r="AB382" s="14" t="str">
        <x:v>sms; an toan; mor</x:v>
      </x:c>
    </x:row>
    <x:row r="383">
      <x:c r="A383" s="14" t="str">
        <x:v>VATM-0382</x:v>
      </x:c>
      <x:c r="B383" s="14" t="str">
        <x:v>P.II.1</x:v>
      </x:c>
      <x:c r="C383" s="14" t="str">
        <x:v>Thông tư 18/2026/TT-BXD - Chương trình an toàn HKDD</x:v>
      </x:c>
      <x:c r="D383" s="14" t="str">
        <x:v>Tong_hop_nhiem_vu_TT18_2026_TT_BXD_VATM_ANSP.xlsx</x:v>
      </x:c>
      <x:c r="E383" s="14" t="str">
        <x:v>05_MOR_PL_III</x:v>
      </x:c>
      <x:c r="F383" s="56" t="n">
        <x:v>164</x:v>
      </x:c>
      <x:c r="G383" s="14" t="str">
        <x:v>Phụ lục III Phần II</x:v>
      </x:c>
      <x:c r="H383" s="14" t="str">
        <x:v>An toàn hàng không / SMS</x:v>
      </x:c>
      <x:c r="I383" s="14" t="str">
        <x:v>Báo cáo MOR, sự cố và điều tra</x:v>
      </x:c>
      <x:c r="J383" s="14" t="str">
        <x:v>Tất cả tổ chức/cá nhân liên quan</x:v>
      </x:c>
      <x:c r="K383" s="14" t="str">
        <x:v>Trực tiếp</x:v>
      </x:c>
      <x:c r="L383" s="14" t="str">
        <x:v>Báo cáo/điều tra/khắc phục</x:v>
      </x:c>
      <x:c r="M383" s="14" t="str"/>
      <x:c r="N383" s="14" t="str">
        <x:v>Vụ việc không phải sự cố/tai nạn nhưng cần thu thập, tổng hợp để thống kê, phân tích, đánh giá, nhận diện mối nguy và giảm thiểu/kiểm soát rủi ro; đã gây ra hoặc có nguy cơ gây gián đoạn hoạt động bay, ảnh hưởng kế hoạch/lịch trình khai thác tàu bay, hoặc làm suy giảm/gián đoạn năng lực cung cấp dịch vụ hàng không.</x:v>
      </x:c>
      <x:c r="O383" s="14" t="str">
        <x:v>Gửi báo cáo vụ việc đến Cục HKVN trong vòng 72 giờ; dùng dữ liệu để thống kê, phân tích, nhận diện mối nguy và kiểm soát rủi ro.</x:v>
      </x:c>
      <x:c r="P383" s="14" t="str"/>
      <x:c r="Q383" s="14" t="str"/>
      <x:c r="R383" s="14" t="str"/>
      <x:c r="S383" s="14" t="str">
        <x:v>Ban An toàn - Chất lượng</x:v>
      </x:c>
      <x:c r="T383" s="14" t="str">
        <x:v>Các Công ty Quản lý bay khu vực Bắc/Trung/Nam; Ban An toàn - Chất lượng</x:v>
      </x:c>
      <x:c r="U383" s="14" t="str"/>
      <x:c r="V383" s="14" t="str">
        <x:v>72 giờ</x:v>
      </x:c>
      <x:c r="W383" s="14" t="str">
        <x:v>P2</x:v>
      </x:c>
      <x:c r="X383" s="14" t="str"/>
      <x:c r="Y383" s="14" t="str">
        <x:v>Chưa bắt đầu</x:v>
      </x:c>
      <x:c r="Z383" s="14" t="str"/>
      <x:c r="AA383" s="14" t="str">
        <x:v>https://datafiles.chinhphu.vn/cpp/files/vbpq/2026/5/18-bxd.pdf</x:v>
      </x:c>
      <x:c r="AB383" s="14" t="str">
        <x:v>sms; an toan; mor</x:v>
      </x:c>
    </x:row>
    <x:row r="384">
      <x:c r="A384" s="14" t="str">
        <x:v>VATM-0383</x:v>
      </x:c>
      <x:c r="B384" s="14" t="str">
        <x:v>1</x:v>
      </x:c>
      <x:c r="C384" s="14" t="str">
        <x:v>Nghị định 215/2026/NĐ-CP về an ninh hàng không</x:v>
      </x:c>
      <x:c r="D384" s="14" t="str">
        <x:v>Tong_hop_nhiem_vu_VATM_ND215_2026_ANHK.xlsx</x:v>
      </x:c>
      <x:c r="E384" s="14" t="str">
        <x:v>Nhiem_vu_VATM</x:v>
      </x:c>
      <x:c r="F384" s="56" t="n">
        <x:v>2</x:v>
      </x:c>
      <x:c r="G384" s="14" t="str">
        <x:v>Điều 3 khoản 4,5,7</x:v>
      </x:c>
      <x:c r="H384" s="14" t="str">
        <x:v>An ninh hàng không</x:v>
      </x:c>
      <x:c r="I384" s="14" t="str">
        <x:v>Quản trị, phối hợp và giám sát ANHK</x:v>
      </x:c>
      <x:c r="J384" s="14" t="str">
        <x:v>Nguyên tắc chung</x:v>
      </x:c>
      <x:c r="K384" s="14" t="str">
        <x:v>Trực tiếp</x:v>
      </x:c>
      <x:c r="L384" s="14" t="str">
        <x:v>An ninh/bảo vệ</x:v>
      </x:c>
      <x:c r="M384" s="14" t="str">
        <x:v>Doanh nghiệp hàng không/ANSP</x:v>
      </x:c>
      <x:c r="N384" s="14" t="str">
        <x:v>Xác lập trách nhiệm bảo đảm an ninh hàng không của tất cả tổ chức liên quan; báo cáo/xử lý kịp thời sự cố, hành vi vi phạm; duy trì khai thác an toàn, liên tục, hiệu quả.</x:v>
      </x:c>
      <x:c r="O384" s="14" t="str">
        <x:v>Lồng yêu cầu an ninh vào SMS, QMS và quy chế trực; thiết lập kênh báo cáo 24/7.</x:v>
      </x:c>
      <x:c r="P384" s="14" t="str">
        <x:v>Không bỏ lọt sự kiện an ninh ảnh hưởng ANS; báo cáo đúng tuyến, đúng hạn</x:v>
      </x:c>
      <x:c r="Q384" s="14" t="str">
        <x:v>Nhật ký trực, báo cáo sự cố, biên bản giảng bình, hồ sơ khắc phục</x:v>
      </x:c>
      <x:c r="R384" s="14" t="str">
        <x:v>Quy trình báo cáo sự cố an ninh ANS; quy trình giảng bình an ninh; Mẫu báo cáo sự cố an ninh ANS; checklist giảng bình</x:v>
      </x:c>
      <x:c r="S384" s="14" t="str">
        <x:v>Ban An ninh hàng không; Ban An toàn - Chất lượng; Các Công ty Quản lý bay khu vực Bắc/Trung/Nam</x:v>
      </x:c>
      <x:c r="T384" s="14" t="str">
        <x:v>Ban Không lưu; Các Công ty Quản lý bay khu vực Bắc/Trung/Nam; Ban An ninh hàng không</x:v>
      </x:c>
      <x:c r="U384" s="14" t="str">
        <x:v>Cục QLXNC, CHKVN, Cảng vụ, ACV</x:v>
      </x:c>
      <x:c r="V384" s="14" t="str">
        <x:v>Thường xuyên</x:v>
      </x:c>
      <x:c r="W384" s="14" t="str">
        <x:v>P1</x:v>
      </x:c>
      <x:c r="X384" s="14" t="str">
        <x:v>Cao</x:v>
      </x:c>
      <x:c r="Y384" s="14" t="str">
        <x:v>Chưa bắt đầu</x:v>
      </x:c>
      <x:c r="Z384" s="14" t="str"/>
      <x:c r="AA384" s="14" t="str">
        <x:v>https://thuvienphapluat.vn/van-ban/Giao-thong-Van-tai/Nghi-dinh-215-2026-ND-C%D0%A0-an-ninh-hang-khong-711200.aspx</x:v>
      </x:c>
      <x:c r="AB384" s="14" t="str">
        <x:v>an ninh; anhk; an toan</x:v>
      </x:c>
    </x:row>
    <x:row r="385">
      <x:c r="A385" s="14" t="str">
        <x:v>VATM-0384</x:v>
      </x:c>
      <x:c r="B385" s="14" t="str">
        <x:v>2</x:v>
      </x:c>
      <x:c r="C385" s="14" t="str">
        <x:v>Nghị định 215/2026/NĐ-CP về an ninh hàng không</x:v>
      </x:c>
      <x:c r="D385" s="14" t="str">
        <x:v>Tong_hop_nhiem_vu_VATM_ND215_2026_ANHK.xlsx</x:v>
      </x:c>
      <x:c r="E385" s="14" t="str">
        <x:v>Nhiem_vu_VATM</x:v>
      </x:c>
      <x:c r="F385" s="56" t="n">
        <x:v>3</x:v>
      </x:c>
      <x:c r="G385" s="14" t="str">
        <x:v>Điều 5 khoản 2</x:v>
      </x:c>
      <x:c r="H385" s="14" t="str">
        <x:v>An ninh hàng không</x:v>
      </x:c>
      <x:c r="I385" s="14" t="str">
        <x:v>An ninh hệ thống CNS/ATM/CNTT</x:v>
      </x:c>
      <x:c r="J385" s="14" t="str">
        <x:v>Bảo vệ an ninh hàng không</x:v>
      </x:c>
      <x:c r="K385" s="14" t="str">
        <x:v>Trực tiếp</x:v>
      </x:c>
      <x:c r="L385" s="14" t="str">
        <x:v>An ninh/bảo vệ</x:v>
      </x:c>
      <x:c r="M385" s="14" t="str">
        <x:v>Doanh nghiệp hàng không/ANSP</x:v>
      </x:c>
      <x:c r="N385" s="14" t="str">
        <x:v>Các doanh nghiệp, tổ chức liên quan triển khai công tác bảo vệ an ninh hàng không trong phạm vi trách nhiệm.</x:v>
      </x:c>
      <x:c r="O385" s="14" t="str">
        <x:v>Xây dựng danh mục công trình, hệ thống, khu vực VATM cần bảo vệ; phân công trách nhiệm đến ca/kíp trực.</x:v>
      </x:c>
      <x:c r="P385" s="14" t="str">
        <x:v>Khu vực, hệ thống ANS được bảo vệ liên tục</x:v>
      </x:c>
      <x:c r="Q385" s="14" t="str">
        <x:v>Kế hoạch bảo vệ; phân công ca trực; nhật ký tuần tra/kiểm soát</x:v>
      </x:c>
      <x:c r="R385" s="14" t="str">
        <x:v>Quy chế bảo vệ mục tiêu ANS; Danh mục mục tiêu trọng yếu ANS</x:v>
      </x:c>
      <x:c r="S385" s="14" t="str">
        <x:v>Ban An ninh hàng không; Ban An toàn - Chất lượng</x:v>
      </x:c>
      <x:c r="T385" s="14" t="str">
        <x:v>Ban Không lưu; Các Công ty Quản lý bay khu vực Bắc/Trung/Nam; Ban An ninh hàng không</x:v>
      </x:c>
      <x:c r="U385" s="14" t="str">
        <x:v>Cục QLXNC, CHKVN</x:v>
      </x:c>
      <x:c r="V385" s="14" t="str">
        <x:v>Hằng ngày</x:v>
      </x:c>
      <x:c r="W385" s="14" t="str">
        <x:v>P1</x:v>
      </x:c>
      <x:c r="X385" s="14" t="str">
        <x:v>Cao</x:v>
      </x:c>
      <x:c r="Y385" s="14" t="str">
        <x:v>Chưa bắt đầu</x:v>
      </x:c>
      <x:c r="Z385" s="14" t="str"/>
      <x:c r="AA385" s="14" t="str">
        <x:v>https://thuvienphapluat.vn/van-ban/Giao-thong-Van-tai/Nghi-dinh-215-2026-ND-C%D0%A0-an-ninh-hang-khong-711200.aspx</x:v>
      </x:c>
      <x:c r="AB385" s="14" t="str">
        <x:v>an ninh; atm; cns; an toan</x:v>
      </x:c>
    </x:row>
    <x:row r="386">
      <x:c r="A386" s="14" t="str">
        <x:v>VATM-0385</x:v>
      </x:c>
      <x:c r="B386" s="14" t="str">
        <x:v>3</x:v>
      </x:c>
      <x:c r="C386" s="14" t="str">
        <x:v>Nghị định 215/2026/NĐ-CP về an ninh hàng không</x:v>
      </x:c>
      <x:c r="D386" s="14" t="str">
        <x:v>Tong_hop_nhiem_vu_VATM_ND215_2026_ANHK.xlsx</x:v>
      </x:c>
      <x:c r="E386" s="14" t="str">
        <x:v>Nhiem_vu_VATM</x:v>
      </x:c>
      <x:c r="F386" s="56" t="n">
        <x:v>4</x:v>
      </x:c>
      <x:c r="G386" s="14" t="str">
        <x:v>Điều 6 khoản 2</x:v>
      </x:c>
      <x:c r="H386" s="14" t="str">
        <x:v>An ninh hàng không</x:v>
      </x:c>
      <x:c r="I386" s="14" t="str">
        <x:v>Khu vực hạn chế/kiểm soát ra vào</x:v>
      </x:c>
      <x:c r="J386" s="14" t="str">
        <x:v>Chương trình an ninh hàng không</x:v>
      </x:c>
      <x:c r="K386" s="14" t="str">
        <x:v>Trực tiếp</x:v>
      </x:c>
      <x:c r="L386" s="14" t="str">
        <x:v>An ninh/bảo vệ</x:v>
      </x:c>
      <x:c r="M386" s="14" t="str">
        <x:v>ANSP/doanh nghiệp cung cấp dịch vụ không lưu</x:v>
      </x:c>
      <x:c r="N386" s="14" t="str">
        <x:v>Doanh nghiệp cung cấp dịch vụ không lưu phải xây dựng Chương trình an ninh hàng không của đơn vị, trình Nhà chức trách an ninh hàng không phê duyệt và tổ chức thực hiện.</x:v>
      </x:c>
      <x:c r="O386" s="14" t="str">
        <x:v>Soạn/chỉnh Chương trình an ninh hàng không VATM theo cấu trúc NĐ, bao quát cơ sở không lưu, CNS, AIS, MET, ATFM, ATC.</x:v>
      </x:c>
      <x:c r="P386" s="14" t="str">
        <x:v>Chương trình an ninh VATM hợp lệ, khả thi, được triển khai toàn hệ thống</x:v>
      </x:c>
      <x:c r="Q386" s="14" t="str">
        <x:v>Chương trình được phê duyệt; quyết định ban hành; hồ sơ gửi phê duyệt</x:v>
      </x:c>
      <x:c r="R386" s="14" t="str">
        <x:v>Quy trình xây dựng, phê duyệt và kiểm soát chương trình an ninh VATM; Mẫu đề cương Chương trình an ninh VATM; ma trận trách nhiệm thực hiện</x:v>
      </x:c>
      <x:c r="S386" s="14" t="str">
        <x:v>Ban An ninh hàng không; Ban An toàn - Chất lượng</x:v>
      </x:c>
      <x:c r="T386" s="14" t="str">
        <x:v>Ban An toàn - Chất lượng; Ban An ninh hàng không; Các Công ty Quản lý bay khu vực Bắc/Trung/Nam</x:v>
      </x:c>
      <x:c r="U386" s="14" t="str">
        <x:v>Cục QLXNC, CHKVN</x:v>
      </x:c>
      <x:c r="V386" s="14" t="str">
        <x:v>Trước/Ngay khi NĐ có hiệu lực và khi sửa đổi</x:v>
      </x:c>
      <x:c r="W386" s="14" t="str">
        <x:v>P1</x:v>
      </x:c>
      <x:c r="X386" s="14" t="str">
        <x:v>Rất cao</x:v>
      </x:c>
      <x:c r="Y386" s="14" t="str">
        <x:v>Chưa bắt đầu</x:v>
      </x:c>
      <x:c r="Z386" s="14" t="str"/>
      <x:c r="AA386" s="14" t="str">
        <x:v>https://thuvienphapluat.vn/van-ban/Giao-thong-Van-tai/Nghi-dinh-215-2026-ND-C%D0%A0-an-ninh-hang-khong-711200.aspx</x:v>
      </x:c>
      <x:c r="AB386" s="14" t="str">
        <x:v>an ninh; an toan</x:v>
      </x:c>
    </x:row>
    <x:row r="387">
      <x:c r="A387" s="14" t="str">
        <x:v>VATM-0386</x:v>
      </x:c>
      <x:c r="B387" s="14" t="str">
        <x:v>4</x:v>
      </x:c>
      <x:c r="C387" s="14" t="str">
        <x:v>Nghị định 215/2026/NĐ-CP về an ninh hàng không</x:v>
      </x:c>
      <x:c r="D387" s="14" t="str">
        <x:v>Tong_hop_nhiem_vu_VATM_ND215_2026_ANHK.xlsx</x:v>
      </x:c>
      <x:c r="E387" s="14" t="str">
        <x:v>Nhiem_vu_VATM</x:v>
      </x:c>
      <x:c r="F387" s="56" t="n">
        <x:v>5</x:v>
      </x:c>
      <x:c r="G387" s="14" t="str">
        <x:v>Điều 7 khoản 1 điểm m,n; khoản 3-6</x:v>
      </x:c>
      <x:c r="H387" s="14" t="str">
        <x:v>An ninh hàng không</x:v>
      </x:c>
      <x:c r="I387" s="14" t="str">
        <x:v>Khu vực hạn chế/kiểm soát ra vào</x:v>
      </x:c>
      <x:c r="J387" s="14" t="str">
        <x:v>Khu vực hạn chế</x:v>
      </x:c>
      <x:c r="K387" s="14" t="str">
        <x:v>Trực tiếp</x:v>
      </x:c>
      <x:c r="L387" s="14" t="str">
        <x:v>An ninh/bảo vệ</x:v>
      </x:c>
      <x:c r="M387" s="14" t="str">
        <x:v>ANSP/doanh nghiệp điều hành bay</x:v>
      </x:c>
      <x:c r="N387" s="14" t="str">
        <x:v>Trung tâm kiểm soát đường dài, kiểm soát tiếp cận-tại sân, quản lý luồng không lưu, đài KSKL, trạm radar, trạm thông tin điều hành bay là khu vực hạn chế; VATM phải phối hợp thiết lập, quản lý, kiểm soát người/phương tiện ra vào.</x:v>
      </x:c>
      <x:c r="O387" s="14" t="str">
        <x:v>Xác định ranh giới, điểm kiểm soát, danh sách người/phương tiện; quy định thẻ nội bộ/cảng; tuần tra, giám sát, hộ tống.</x:v>
      </x:c>
      <x:c r="P387" s="14" t="str">
        <x:v>Tất cả cơ sở ANS trọng yếu được thiết lập khu vực hạn chế hợp pháp</x:v>
      </x:c>
      <x:c r="Q387" s="14" t="str">
        <x:v>Sơ đồ khu vực hạn chế; danh sách cấp quyền; nhật ký ra/vào; biên bản phối hợp</x:v>
      </x:c>
      <x:c r="R387" s="14" t="str">
        <x:v>SOP kiểm soát khu vực hạn chế ANS; SOP thẻ/giấy phép nội bộ; Sơ đồ khu vực hạn chế; mẫu phiếu cấp quyền vào cơ sở ANS</x:v>
      </x:c>
      <x:c r="S387" s="14" t="str">
        <x:v>Ban An ninh hàng không; Ban Kỹ thuật - CNS/IT/Môi trường; Trung tâm Quản lý luồng không lưu; Các Công ty Quản lý bay khu vực Bắc/Trung/Nam</x:v>
      </x:c>
      <x:c r="T387" s="14" t="str">
        <x:v>Các Công ty Quản lý bay khu vực Bắc/Trung/Nam; Ban An ninh hàng không</x:v>
      </x:c>
      <x:c r="U387" s="14" t="str">
        <x:v>Lực lượng KSANHK, Cảng vụ, ACV</x:v>
      </x:c>
      <x:c r="V387" s="14" t="str">
        <x:v>Liên tục; rà soát định kỳ và khi thay đổi mặt bằng</x:v>
      </x:c>
      <x:c r="W387" s="14" t="str">
        <x:v>P1</x:v>
      </x:c>
      <x:c r="X387" s="14" t="str">
        <x:v>Rất cao</x:v>
      </x:c>
      <x:c r="Y387" s="14" t="str">
        <x:v>Chưa bắt đầu</x:v>
      </x:c>
      <x:c r="Z387" s="14" t="str"/>
      <x:c r="AA387" s="14" t="str">
        <x:v>https://thuvienphapluat.vn/van-ban/Giao-thong-Van-tai/Nghi-dinh-215-2026-ND-C%D0%A0-an-ninh-hang-khong-711200.aspx</x:v>
      </x:c>
      <x:c r="AB387" s="14" t="str">
        <x:v>an ninh; atm; cns</x:v>
      </x:c>
    </x:row>
    <x:row r="388">
      <x:c r="A388" s="14" t="str">
        <x:v>VATM-0387</x:v>
      </x:c>
      <x:c r="B388" s="14" t="str">
        <x:v>5</x:v>
      </x:c>
      <x:c r="C388" s="14" t="str">
        <x:v>Nghị định 215/2026/NĐ-CP về an ninh hàng không</x:v>
      </x:c>
      <x:c r="D388" s="14" t="str">
        <x:v>Tong_hop_nhiem_vu_VATM_ND215_2026_ANHK.xlsx</x:v>
      </x:c>
      <x:c r="E388" s="14" t="str">
        <x:v>Nhiem_vu_VATM</x:v>
      </x:c>
      <x:c r="F388" s="56" t="n">
        <x:v>6</x:v>
      </x:c>
      <x:c r="G388" s="14" t="str">
        <x:v>Điều 7 khoản 2</x:v>
      </x:c>
      <x:c r="H388" s="14" t="str">
        <x:v>An ninh hàng không</x:v>
      </x:c>
      <x:c r="I388" s="14" t="str">
        <x:v>Khu vực hạn chế/kiểm soát ra vào</x:v>
      </x:c>
      <x:c r="J388" s="14" t="str">
        <x:v>Khu vực hạn chế tạm thời</x:v>
      </x:c>
      <x:c r="K388" s="14" t="str">
        <x:v>Phối hợp/Gián tiếp</x:v>
      </x:c>
      <x:c r="L388" s="14" t="str">
        <x:v>An ninh/bảo vệ</x:v>
      </x:c>
      <x:c r="M388" s="14" t="str">
        <x:v>ANSP</x:v>
      </x:c>
      <x:c r="N388" s="14" t="str">
        <x:v>Khi tăng cường bảo đảm an ninh hoặc bảo vệ hiện trường, phải phối hợp thiết lập khu vực hạn chế tạm thời và thông báo cho đơn vị hoạt động thường xuyên.</x:v>
      </x:c>
      <x:c r="O388" s="14" t="str">
        <x:v>Kích hoạt quy trình khoanh vùng, cách ly hiện trường tại cơ sở ATC/CNS/AIM/MET; truyền thông nội bộ ngay.</x:v>
      </x:c>
      <x:c r="P388" s="14" t="str">
        <x:v>Hiện trường được bảo vệ; hoạt động ANS vẫn duy trì an toàn</x:v>
      </x:c>
      <x:c r="Q388" s="14" t="str">
        <x:v>Lệnh/biên bản thiết lập khu vực; thông báo nội bộ; nhật ký hiện trường</x:v>
      </x:c>
      <x:c r="R388" s="14" t="str">
        <x:v>Quy trình bảo vệ hiện trường an ninh tại cơ sở ANS; Mẫu thông báo khu vực hạn chế tạm thời</x:v>
      </x:c>
      <x:c r="S388" s="14" t="str">
        <x:v>Ban An ninh hàng không; Các Công ty Quản lý bay khu vực Bắc/Trung/Nam</x:v>
      </x:c>
      <x:c r="T388" s="14" t="str">
        <x:v>Ban Không lưu; Các Công ty Quản lý bay khu vực Bắc/Trung/Nam; Ban An ninh hàng không</x:v>
      </x:c>
      <x:c r="U388" s="14" t="str">
        <x:v>Lực lượng KSANHK, Cảng vụ, ACV</x:v>
      </x:c>
      <x:c r="V388" s="14" t="str">
        <x:v>Khi phát sinh</x:v>
      </x:c>
      <x:c r="W388" s="14" t="str">
        <x:v>P1</x:v>
      </x:c>
      <x:c r="X388" s="14" t="str">
        <x:v>Cao</x:v>
      </x:c>
      <x:c r="Y388" s="14" t="str">
        <x:v>Chưa bắt đầu</x:v>
      </x:c>
      <x:c r="Z388" s="14" t="str"/>
      <x:c r="AA388" s="14" t="str">
        <x:v>https://thuvienphapluat.vn/van-ban/Giao-thong-Van-tai/Nghi-dinh-215-2026-ND-C%D0%A0-an-ninh-hang-khong-711200.aspx</x:v>
      </x:c>
      <x:c r="AB388" s="14" t="str">
        <x:v>an ninh</x:v>
      </x:c>
    </x:row>
    <x:row r="389">
      <x:c r="A389" s="14" t="str">
        <x:v>VATM-0388</x:v>
      </x:c>
      <x:c r="B389" s="14" t="str">
        <x:v>6</x:v>
      </x:c>
      <x:c r="C389" s="14" t="str">
        <x:v>Nghị định 215/2026/NĐ-CP về an ninh hàng không</x:v>
      </x:c>
      <x:c r="D389" s="14" t="str">
        <x:v>Tong_hop_nhiem_vu_VATM_ND215_2026_ANHK.xlsx</x:v>
      </x:c>
      <x:c r="E389" s="14" t="str">
        <x:v>Nhiem_vu_VATM</x:v>
      </x:c>
      <x:c r="F389" s="56" t="n">
        <x:v>7</x:v>
      </x:c>
      <x:c r="G389" s="14" t="str">
        <x:v>Điều 7 khoản 4-5</x:v>
      </x:c>
      <x:c r="H389" s="14" t="str">
        <x:v>An ninh hàng không</x:v>
      </x:c>
      <x:c r="I389" s="14" t="str">
        <x:v>Khu vực hạn chế/kiểm soát ra vào</x:v>
      </x:c>
      <x:c r="J389" s="14" t="str">
        <x:v>Kiểm soát ra vào</x:v>
      </x:c>
      <x:c r="K389" s="14" t="str">
        <x:v>Trực tiếp</x:v>
      </x:c>
      <x:c r="L389" s="14" t="str">
        <x:v>An ninh/bảo vệ</x:v>
      </x:c>
      <x:c r="M389" s="14" t="str">
        <x:v>ANSP</x:v>
      </x:c>
      <x:c r="N389" s="14" t="str">
        <x:v>Người, phương tiện vào khu vực hạn chế phải có thẻ/giấy phép, được kiểm tra/giám sát/hộ tống theo quy định.</x:v>
      </x:c>
      <x:c r="O389" s="14" t="str">
        <x:v>Áp dụng nguyên tắc need-to-access; kiểm soát nhà thầu; thu hồi quyền khi hết nhiệm vụ.</x:v>
      </x:c>
      <x:c r="P389" s="14" t="str">
        <x:v>Không có truy cập trái phép vào cơ sở ANS</x:v>
      </x:c>
      <x:c r="Q389" s="14" t="str">
        <x:v>Sổ ra vào, phiếu hộ tống, danh sách quyền truy cập, biên bản thu hồi</x:v>
      </x:c>
      <x:c r="R389" s="14" t="str">
        <x:v>SOP quản lý khách/nhà thầu vào cơ sở ANS; Phiếu đăng ký/hộ tống khách; checklist kiểm tra phương tiện</x:v>
      </x:c>
      <x:c r="S389" s="14" t="str">
        <x:v>Ban An ninh hàng không; Các Công ty Quản lý bay khu vực Bắc/Trung/Nam</x:v>
      </x:c>
      <x:c r="T389" s="14" t="str">
        <x:v>Các Công ty Quản lý bay khu vực Bắc/Trung/Nam; Ban An ninh hàng không</x:v>
      </x:c>
      <x:c r="U389" s="14" t="str">
        <x:v>Lực lượng KSANHK, Cảng vụ</x:v>
      </x:c>
      <x:c r="V389" s="14" t="str">
        <x:v>Thường xuyên</x:v>
      </x:c>
      <x:c r="W389" s="14" t="str">
        <x:v>P1</x:v>
      </x:c>
      <x:c r="X389" s="14" t="str">
        <x:v>Rất cao</x:v>
      </x:c>
      <x:c r="Y389" s="14" t="str">
        <x:v>Chưa bắt đầu</x:v>
      </x:c>
      <x:c r="Z389" s="14" t="str"/>
      <x:c r="AA389" s="14" t="str">
        <x:v>https://thuvienphapluat.vn/van-ban/Giao-thong-Van-tai/Nghi-dinh-215-2026-ND-C%D0%A0-an-ninh-hang-khong-711200.aspx</x:v>
      </x:c>
      <x:c r="AB389" s="14" t="str">
        <x:v>an ninh; giay phep</x:v>
      </x:c>
    </x:row>
    <x:row r="390">
      <x:c r="A390" s="14" t="str">
        <x:v>VATM-0389</x:v>
      </x:c>
      <x:c r="B390" s="14" t="str">
        <x:v>7</x:v>
      </x:c>
      <x:c r="C390" s="14" t="str">
        <x:v>Nghị định 215/2026/NĐ-CP về an ninh hàng không</x:v>
      </x:c>
      <x:c r="D390" s="14" t="str">
        <x:v>Tong_hop_nhiem_vu_VATM_ND215_2026_ANHK.xlsx</x:v>
      </x:c>
      <x:c r="E390" s="14" t="str">
        <x:v>Nhiem_vu_VATM</x:v>
      </x:c>
      <x:c r="F390" s="56" t="n">
        <x:v>8</x:v>
      </x:c>
      <x:c r="G390" s="14" t="str">
        <x:v>Điều 12-13</x:v>
      </x:c>
      <x:c r="H390" s="14" t="str">
        <x:v>An ninh hàng không</x:v>
      </x:c>
      <x:c r="I390" s="14" t="str">
        <x:v>An ninh hệ thống CNS/ATM/CNTT</x:v>
      </x:c>
      <x:c r="J390" s="14" t="str">
        <x:v>Lục soát an ninh</x:v>
      </x:c>
      <x:c r="K390" s="14" t="str">
        <x:v>Phối hợp/Gián tiếp</x:v>
      </x:c>
      <x:c r="L390" s="14" t="str">
        <x:v>An ninh/bảo vệ</x:v>
      </x:c>
      <x:c r="M390" s="14" t="str">
        <x:v>ANSP</x:v>
      </x:c>
      <x:c r="N390" s="14" t="str">
        <x:v>Khi có đối tượng/tình huống cần lục soát liên quan khu vực VATM, phải phối hợp, lập biên bản và bảo vệ hoạt động bay.</x:v>
      </x:c>
      <x:c r="O390" s="14" t="str">
        <x:v>Bố trí đầu mối phối hợp, cô lập khu vực kỹ thuật nhưng không làm gián đoạn dịch vụ trọng yếu nếu có phương án dự phòng.</x:v>
      </x:c>
      <x:c r="P390" s="14" t="str">
        <x:v>Lục soát đúng thẩm quyền, không ảnh hưởng mất an toàn hoạt động bay</x:v>
      </x:c>
      <x:c r="Q390" s="14" t="str">
        <x:v>Biên bản lục soát, nhật ký ảnh hưởng dịch vụ, báo cáo sau vụ việc</x:v>
      </x:c>
      <x:c r="R390" s="14" t="str">
        <x:v>SOP phối hợp lục soát tại cơ sở ANS; Mẫu biên bản phối hợp lục soát cơ sở ANS</x:v>
      </x:c>
      <x:c r="S390" s="14" t="str">
        <x:v>Ban An ninh hàng không; Các Công ty Quản lý bay khu vực Bắc/Trung/Nam</x:v>
      </x:c>
      <x:c r="T390" s="14" t="str">
        <x:v>Các Công ty Quản lý bay khu vực Bắc/Trung/Nam; Ban An ninh hàng không</x:v>
      </x:c>
      <x:c r="U390" s="14" t="str">
        <x:v>Lực lượng KSANHK/Công an/Cảng vụ</x:v>
      </x:c>
      <x:c r="V390" s="14" t="str">
        <x:v>Khi phát sinh</x:v>
      </x:c>
      <x:c r="W390" s="14" t="str">
        <x:v>P1</x:v>
      </x:c>
      <x:c r="X390" s="14" t="str">
        <x:v>Cao</x:v>
      </x:c>
      <x:c r="Y390" s="14" t="str">
        <x:v>Chưa bắt đầu</x:v>
      </x:c>
      <x:c r="Z390" s="14" t="str"/>
      <x:c r="AA390" s="14" t="str">
        <x:v>https://thuvienphapluat.vn/van-ban/Giao-thong-Van-tai/Nghi-dinh-215-2026-ND-C%D0%A0-an-ninh-hang-khong-711200.aspx</x:v>
      </x:c>
      <x:c r="AB390" s="14" t="str">
        <x:v>an ninh; atm; cns</x:v>
      </x:c>
    </x:row>
    <x:row r="391">
      <x:c r="A391" s="14" t="str">
        <x:v>VATM-0390</x:v>
      </x:c>
      <x:c r="B391" s="14" t="str">
        <x:v>8</x:v>
      </x:c>
      <x:c r="C391" s="14" t="str">
        <x:v>Nghị định 215/2026/NĐ-CP về an ninh hàng không</x:v>
      </x:c>
      <x:c r="D391" s="14" t="str">
        <x:v>Tong_hop_nhiem_vu_VATM_ND215_2026_ANHK.xlsx</x:v>
      </x:c>
      <x:c r="E391" s="14" t="str">
        <x:v>Nhiem_vu_VATM</x:v>
      </x:c>
      <x:c r="F391" s="56" t="n">
        <x:v>9</x:v>
      </x:c>
      <x:c r="G391" s="14" t="str">
        <x:v>Điều 14 khoản 7</x:v>
      </x:c>
      <x:c r="H391" s="14" t="str">
        <x:v>An ninh hàng không</x:v>
      </x:c>
      <x:c r="I391" s="14" t="str">
        <x:v>An ninh hệ thống CNS/ATM/CNTT</x:v>
      </x:c>
      <x:c r="J391" s="14" t="str">
        <x:v>Thông tin đe dọa chuyến bay</x:v>
      </x:c>
      <x:c r="K391" s="14" t="str">
        <x:v>Phối hợp/Gián tiếp</x:v>
      </x:c>
      <x:c r="L391" s="14" t="str">
        <x:v>An ninh/bảo vệ</x:v>
      </x:c>
      <x:c r="M391" s="14" t="str">
        <x:v>Doanh nghiệp điều hành bay/ANSP</x:v>
      </x:c>
      <x:c r="N391" s="14" t="str">
        <x:v>Khi nhận thông tin đe dọa an ninh/an toàn tàu bay, người khai thác tàu bay báo BCH khẩn nguy; VATM cần kênh nhận/chuyển tiếp và ưu tiên điều hành bay.</x:v>
      </x:c>
      <x:c r="O391" s="14" t="str">
        <x:v>Thiết lập checklist nhận tin đe dọa, xác minh, phân phối thông tin đến vị trí điều hành bay; bảo đảm ghi âm/ghi nhật ký.</x:v>
      </x:c>
      <x:c r="P391" s="14" t="str">
        <x:v>Thông tin được chuyển đúng tuyến trong thời gian ngắn nhất; hỗ trợ xử lý chuyến bay uy hiếp</x:v>
      </x:c>
      <x:c r="Q391" s="14" t="str">
        <x:v>Bản ghi liên lạc, flight progress strip/nhật ký, báo cáo khẩn</x:v>
      </x:c>
      <x:c r="R391" s="14" t="str">
        <x:v>SOP xử lý thông tin đe dọa chuyến bay trong ATM; Checklist Threat Call/Threat Message</x:v>
      </x:c>
      <x:c r="S391" s="14" t="str">
        <x:v>Ban An ninh hàng không</x:v>
      </x:c>
      <x:c r="T391" s="14" t="str">
        <x:v>Các Công ty Quản lý bay khu vực Bắc/Trung/Nam; Ban Không lưu; Ban Kỹ thuật - CNS/IT/Môi trường; Trung tâm Khí tượng hàng không; Trung tâm Thông báo tin tức hàng không; Ban An ninh hàng không</x:v>
      </x:c>
      <x:c r="U391" s="14" t="str">
        <x:v>Hãng hàng không, BCH khẩn nguy, Cảng vụ</x:v>
      </x:c>
      <x:c r="V391" s="14" t="str">
        <x:v>Ngay khi nhận tin</x:v>
      </x:c>
      <x:c r="W391" s="14" t="str">
        <x:v>P1</x:v>
      </x:c>
      <x:c r="X391" s="14" t="str">
        <x:v>Rất cao</x:v>
      </x:c>
      <x:c r="Y391" s="14" t="str">
        <x:v>Chưa bắt đầu</x:v>
      </x:c>
      <x:c r="Z391" s="14" t="str"/>
      <x:c r="AA391" s="14" t="str">
        <x:v>https://thuvienphapluat.vn/van-ban/Giao-thong-Van-tai/Nghi-dinh-215-2026-ND-C%D0%A0-an-ninh-hang-khong-711200.aspx</x:v>
      </x:c>
      <x:c r="AB391" s="14" t="str">
        <x:v>an ninh; atm; cns; an toan</x:v>
      </x:c>
    </x:row>
    <x:row r="392">
      <x:c r="A392" s="14" t="str">
        <x:v>VATM-0391</x:v>
      </x:c>
      <x:c r="B392" s="14" t="str">
        <x:v>9</x:v>
      </x:c>
      <x:c r="C392" s="14" t="str">
        <x:v>Nghị định 215/2026/NĐ-CP về an ninh hàng không</x:v>
      </x:c>
      <x:c r="D392" s="14" t="str">
        <x:v>Tong_hop_nhiem_vu_VATM_ND215_2026_ANHK.xlsx</x:v>
      </x:c>
      <x:c r="E392" s="14" t="str">
        <x:v>Nhiem_vu_VATM</x:v>
      </x:c>
      <x:c r="F392" s="56" t="n">
        <x:v>10</x:v>
      </x:c>
      <x:c r="G392" s="14" t="str">
        <x:v>Điều 21 khoản 4 điểm c</x:v>
      </x:c>
      <x:c r="H392" s="14" t="str">
        <x:v>An ninh hàng không</x:v>
      </x:c>
      <x:c r="I392" s="14" t="str">
        <x:v>Khu vực hạn chế/kiểm soát ra vào</x:v>
      </x:c>
      <x:c r="J392" s="14" t="str">
        <x:v>Cấm vận chuyển vĩnh viễn</x:v>
      </x:c>
      <x:c r="K392" s="14" t="str">
        <x:v>Phối hợp/Gián tiếp</x:v>
      </x:c>
      <x:c r="L392" s="14" t="str">
        <x:v>An ninh/bảo vệ</x:v>
      </x:c>
      <x:c r="M392" s="14" t="str">
        <x:v>Doanh nghiệp điều hành bay</x:v>
      </x:c>
      <x:c r="N392" s="14" t="str">
        <x:v>Hành vi chiếm đoạt, gây bạo loạn tại cơ sở cung cấp dịch vụ điều hành bay thuộc nhóm có thể cấm vận chuyển vĩnh viễn; VATM cần ghi nhận, báo cáo chứng cứ.</x:v>
      </x:c>
      <x:c r="O392" s="14" t="str">
        <x:v>Thu thập chứng cứ, bảo vệ hiện trường, báo cáo cơ quan có thẩm quyền về hành vi tại cơ sở điều hành bay.</x:v>
      </x:c>
      <x:c r="P392" s="14" t="str">
        <x:v>Hồ sơ đủ căn cứ để cơ quan thẩm quyền xử lý/cấm vận chuyển nếu áp dụng</x:v>
      </x:c>
      <x:c r="Q392" s="14" t="str">
        <x:v>Biên bản vụ việc, camera, nhật ký truy cập, công văn báo cáo</x:v>
      </x:c>
      <x:c r="R392" s="14" t="str">
        <x:v>Quy trình bảo vệ chứng cứ an ninh cơ sở điều hành bay; Mẫu báo cáo hành vi uy hiếp an ninh tại cơ sở điều hành bay</x:v>
      </x:c>
      <x:c r="S392" s="14" t="str">
        <x:v>Ban An ninh hàng không; Văn phòng - Pháp chế; Các Công ty Quản lý bay khu vực Bắc/Trung/Nam</x:v>
      </x:c>
      <x:c r="T392" s="14" t="str">
        <x:v>Các Công ty Quản lý bay khu vực Bắc/Trung/Nam; Ban An ninh hàng không</x:v>
      </x:c>
      <x:c r="U392" s="14" t="str">
        <x:v>Công an, Cục QLXNC, CHKVN</x:v>
      </x:c>
      <x:c r="V392" s="14" t="str">
        <x:v>Khi phát sinh</x:v>
      </x:c>
      <x:c r="W392" s="14" t="str">
        <x:v>P1</x:v>
      </x:c>
      <x:c r="X392" s="14" t="str">
        <x:v>Cao</x:v>
      </x:c>
      <x:c r="Y392" s="14" t="str">
        <x:v>Chưa bắt đầu</x:v>
      </x:c>
      <x:c r="Z392" s="14" t="str"/>
      <x:c r="AA392" s="14" t="str">
        <x:v>https://thuvienphapluat.vn/van-ban/Giao-thong-Van-tai/Nghi-dinh-215-2026-ND-C%D0%A0-an-ninh-hang-khong-711200.aspx</x:v>
      </x:c>
      <x:c r="AB392" s="14" t="str">
        <x:v>an ninh; atm; phap che</x:v>
      </x:c>
    </x:row>
    <x:row r="393">
      <x:c r="A393" s="14" t="str">
        <x:v>VATM-0392</x:v>
      </x:c>
      <x:c r="B393" s="14" t="str">
        <x:v>10</x:v>
      </x:c>
      <x:c r="C393" s="14" t="str">
        <x:v>Nghị định 215/2026/NĐ-CP về an ninh hàng không</x:v>
      </x:c>
      <x:c r="D393" s="14" t="str">
        <x:v>Tong_hop_nhiem_vu_VATM_ND215_2026_ANHK.xlsx</x:v>
      </x:c>
      <x:c r="E393" s="14" t="str">
        <x:v>Nhiem_vu_VATM</x:v>
      </x:c>
      <x:c r="F393" s="56" t="n">
        <x:v>11</x:v>
      </x:c>
      <x:c r="G393" s="14" t="str">
        <x:v>Điều 22-23</x:v>
      </x:c>
      <x:c r="H393" s="14" t="str">
        <x:v>An ninh hàng không</x:v>
      </x:c>
      <x:c r="I393" s="14" t="str">
        <x:v>Khu vực hạn chế/kiểm soát ra vào</x:v>
      </x:c>
      <x:c r="J393" s="14" t="str">
        <x:v>Quản lý rủi ro/an ninh tăng cường</x:v>
      </x:c>
      <x:c r="K393" s="14" t="str">
        <x:v>Trực tiếp</x:v>
      </x:c>
      <x:c r="L393" s="14" t="str">
        <x:v>An ninh/bảo vệ</x:v>
      </x:c>
      <x:c r="M393" s="14" t="str">
        <x:v>ANSP</x:v>
      </x:c>
      <x:c r="N393" s="14" t="str">
        <x:v>NĐ quy định quản lý rủi ro và cấp độ an ninh tăng cường; VATM phải triển khai theo quyết định, đánh giá nguy cơ tại cơ sở ANS.</x:v>
      </x:c>
      <x:c r="O393" s="14" t="str">
        <x:v>Tích hợp AVSEC risk assessment vào quản trị rủi ro doanh nghiệp/SMS; có kế hoạch tăng cường từng cấp độ.</x:v>
      </x:c>
      <x:c r="P393" s="14" t="str">
        <x:v>Cơ sở ANS áp dụng đúng cấp độ an ninh, có bằng chứng thực hiện</x:v>
      </x:c>
      <x:c r="Q393" s="14" t="str">
        <x:v>Ma trận rủi ro AVSEC; lệnh tăng cường; nhật ký thực hiện</x:v>
      </x:c>
      <x:c r="R393" s="14" t="str">
        <x:v>Quy trình đánh giá rủi ro an ninh hàng không VATM; Mẫu đánh giá rủi ro AVSEC cơ sở ANS; checklist cấp độ 1/2/3</x:v>
      </x:c>
      <x:c r="S393" s="14" t="str">
        <x:v>Ban An ninh hàng không; Ban An toàn - Chất lượng</x:v>
      </x:c>
      <x:c r="T393" s="14" t="str">
        <x:v>Các Công ty Quản lý bay khu vực Bắc/Trung/Nam; Ban An ninh hàng không</x:v>
      </x:c>
      <x:c r="U393" s="14" t="str">
        <x:v>Cục QLXNC, CHKVN, Công an địa phương</x:v>
      </x:c>
      <x:c r="V393" s="14" t="str">
        <x:v>Định kỳ; khi có quyết định cấp độ</x:v>
      </x:c>
      <x:c r="W393" s="14" t="str">
        <x:v>P1</x:v>
      </x:c>
      <x:c r="X393" s="14" t="str">
        <x:v>Rất cao</x:v>
      </x:c>
      <x:c r="Y393" s="14" t="str">
        <x:v>Chưa bắt đầu</x:v>
      </x:c>
      <x:c r="Z393" s="14" t="str"/>
      <x:c r="AA393" s="14" t="str">
        <x:v>https://thuvienphapluat.vn/van-ban/Giao-thong-Van-tai/Nghi-dinh-215-2026-ND-C%D0%A0-an-ninh-hang-khong-711200.aspx</x:v>
      </x:c>
      <x:c r="AB393" s="14" t="str">
        <x:v>an ninh; ans; atm; an toan</x:v>
      </x:c>
    </x:row>
    <x:row r="394">
      <x:c r="A394" s="14" t="str">
        <x:v>VATM-0393</x:v>
      </x:c>
      <x:c r="B394" s="14" t="str">
        <x:v>11</x:v>
      </x:c>
      <x:c r="C394" s="14" t="str">
        <x:v>Nghị định 215/2026/NĐ-CP về an ninh hàng không</x:v>
      </x:c>
      <x:c r="D394" s="14" t="str">
        <x:v>Tong_hop_nhiem_vu_VATM_ND215_2026_ANHK.xlsx</x:v>
      </x:c>
      <x:c r="E394" s="14" t="str">
        <x:v>Nhiem_vu_VATM</x:v>
      </x:c>
      <x:c r="F394" s="56" t="n">
        <x:v>12</x:v>
      </x:c>
      <x:c r="G394" s="14" t="str">
        <x:v>Điều 24</x:v>
      </x:c>
      <x:c r="H394" s="14" t="str">
        <x:v>An ninh hàng không</x:v>
      </x:c>
      <x:c r="I394" s="14" t="str">
        <x:v>Khu vực hạn chế/kiểm soát ra vào</x:v>
      </x:c>
      <x:c r="J394" s="14" t="str">
        <x:v>Kiểm soát tài liệu an ninh</x:v>
      </x:c>
      <x:c r="K394" s="14" t="str">
        <x:v>Trực tiếp</x:v>
      </x:c>
      <x:c r="L394" s="14" t="str">
        <x:v>An ninh/bảo vệ</x:v>
      </x:c>
      <x:c r="M394" s="14" t="str">
        <x:v>ANSP</x:v>
      </x:c>
      <x:c r="N394" s="14" t="str">
        <x:v>Tài liệu an ninh hàng không là tài liệu hạn chế; chỉ phổ biến đến đối tượng liên quan.</x:v>
      </x:c>
      <x:c r="O394" s="14" t="str">
        <x:v>Phân loại, đánh dấu, cấp quyền, mã hóa/lưu trữ bảo mật chương trình, phương án, sơ đồ an ninh.</x:v>
      </x:c>
      <x:c r="P394" s="14" t="str">
        <x:v>Không lộ lọt tài liệu an ninh; truy xuất được lịch sử sử dụng</x:v>
      </x:c>
      <x:c r="Q394" s="14" t="str">
        <x:v>Danh mục tài liệu hạn chế; log cấp phát; biên bản thu hồi/hủy</x:v>
      </x:c>
      <x:c r="R394" s="14" t="str">
        <x:v>Quy trình kiểm soát tài liệu hạn chế AVSEC; Mẫu phiếu cấp phát/thu hồi tài liệu an ninh</x:v>
      </x:c>
      <x:c r="S394" s="14" t="str">
        <x:v>Ban An ninh hàng không; Văn phòng - Pháp chế</x:v>
      </x:c>
      <x:c r="T394" s="14" t="str">
        <x:v>Các Công ty Quản lý bay khu vực Bắc/Trung/Nam; Ban An ninh hàng không</x:v>
      </x:c>
      <x:c r="U394" s="14" t="str">
        <x:v>Cục QLXNC</x:v>
      </x:c>
      <x:c r="V394" s="14" t="str">
        <x:v>Thường xuyên</x:v>
      </x:c>
      <x:c r="W394" s="14" t="str">
        <x:v>P1</x:v>
      </x:c>
      <x:c r="X394" s="14" t="str">
        <x:v>Rất cao</x:v>
      </x:c>
      <x:c r="Y394" s="14" t="str">
        <x:v>Chưa bắt đầu</x:v>
      </x:c>
      <x:c r="Z394" s="14" t="str"/>
      <x:c r="AA394" s="14" t="str">
        <x:v>https://thuvienphapluat.vn/van-ban/Giao-thong-Van-tai/Nghi-dinh-215-2026-ND-C%D0%A0-an-ninh-hang-khong-711200.aspx</x:v>
      </x:c>
      <x:c r="AB394" s="14" t="str">
        <x:v>an ninh; phap che</x:v>
      </x:c>
    </x:row>
    <x:row r="395">
      <x:c r="A395" s="14" t="str">
        <x:v>VATM-0394</x:v>
      </x:c>
      <x:c r="B395" s="14" t="str">
        <x:v>12</x:v>
      </x:c>
      <x:c r="C395" s="14" t="str">
        <x:v>Nghị định 215/2026/NĐ-CP về an ninh hàng không</x:v>
      </x:c>
      <x:c r="D395" s="14" t="str">
        <x:v>Tong_hop_nhiem_vu_VATM_ND215_2026_ANHK.xlsx</x:v>
      </x:c>
      <x:c r="E395" s="14" t="str">
        <x:v>Nhiem_vu_VATM</x:v>
      </x:c>
      <x:c r="F395" s="56" t="n">
        <x:v>13</x:v>
      </x:c>
      <x:c r="G395" s="14" t="str">
        <x:v>Điều 25</x:v>
      </x:c>
      <x:c r="H395" s="14" t="str">
        <x:v>An ninh hàng không</x:v>
      </x:c>
      <x:c r="I395" s="14" t="str">
        <x:v>Khu vực hạn chế/kiểm soát ra vào</x:v>
      </x:c>
      <x:c r="J395" s="14" t="str">
        <x:v>Kiểm soát an ninh nội bộ nhân viên hàng không</x:v>
      </x:c>
      <x:c r="K395" s="14" t="str">
        <x:v>Trực tiếp</x:v>
      </x:c>
      <x:c r="L395" s="14" t="str">
        <x:v>An ninh/bảo vệ</x:v>
      </x:c>
      <x:c r="M395" s="14" t="str">
        <x:v>Doanh nghiệp hàng không/ANSP</x:v>
      </x:c>
      <x:c r="N395" s="14" t="str">
        <x:v>Doanh nghiệp quản lý, sử dụng nhân viên hàng không ban hành quy định kiểm soát an ninh nội bộ, xác minh/kiểm tra lý lịch trước tuyển dụng.</x:v>
      </x:c>
      <x:c r="O395" s="14" t="str">
        <x:v>Cập nhật quy trình tuyển dụng, kiểm tra lý lịch, cấp quyền làm việc khu vực hạn chế và hệ thống thông tin.</x:v>
      </x:c>
      <x:c r="P395" s="14" t="str">
        <x:v>Nhân viên ANS đáp ứng yêu cầu an ninh nội bộ trước khi vào vị trí nhạy cảm</x:v>
      </x:c>
      <x:c r="Q395" s="14" t="str">
        <x:v>Hồ sơ xác minh lý lịch, cam kết bảo mật, hồ sơ đào tạo, quyết định phân quyền</x:v>
      </x:c>
      <x:c r="R395" s="14" t="str">
        <x:v>Quy trình kiểm soát an ninh nội bộ nhân viên VATM; Checklist an ninh tuyển dụng/định kỳ</x:v>
      </x:c>
      <x:c r="S395" s="14" t="str">
        <x:v>Ban An ninh hàng không; Ban Tổ chức cán bộ</x:v>
      </x:c>
      <x:c r="T395" s="14" t="str">
        <x:v>Các Công ty Quản lý bay khu vực Bắc/Trung/Nam; Ban An ninh hàng không</x:v>
      </x:c>
      <x:c r="U395" s="14" t="str">
        <x:v>Bộ Công an, CHKVN</x:v>
      </x:c>
      <x:c r="V395" s="14" t="str">
        <x:v>Trước tuyển dụng; định kỳ theo chương trình</x:v>
      </x:c>
      <x:c r="W395" s="14" t="str">
        <x:v>P1</x:v>
      </x:c>
      <x:c r="X395" s="14" t="str">
        <x:v>Rất cao</x:v>
      </x:c>
      <x:c r="Y395" s="14" t="str">
        <x:v>Chưa bắt đầu</x:v>
      </x:c>
      <x:c r="Z395" s="14" t="str"/>
      <x:c r="AA395" s="14" t="str">
        <x:v>https://thuvienphapluat.vn/van-ban/Giao-thong-Van-tai/Nghi-dinh-215-2026-ND-C%D0%A0-an-ninh-hang-khong-711200.aspx</x:v>
      </x:c>
      <x:c r="AB395" s="14" t="str">
        <x:v>an ninh</x:v>
      </x:c>
    </x:row>
    <x:row r="396">
      <x:c r="A396" s="14" t="str">
        <x:v>VATM-0395</x:v>
      </x:c>
      <x:c r="B396" s="14" t="str">
        <x:v>13</x:v>
      </x:c>
      <x:c r="C396" s="14" t="str">
        <x:v>Nghị định 215/2026/NĐ-CP về an ninh hàng không</x:v>
      </x:c>
      <x:c r="D396" s="14" t="str">
        <x:v>Tong_hop_nhiem_vu_VATM_ND215_2026_ANHK.xlsx</x:v>
      </x:c>
      <x:c r="E396" s="14" t="str">
        <x:v>Nhiem_vu_VATM</x:v>
      </x:c>
      <x:c r="F396" s="56" t="n">
        <x:v>14</x:v>
      </x:c>
      <x:c r="G396" s="14" t="str">
        <x:v>Điều 26 khoản 1-2 điểm a,đ,e</x:v>
      </x:c>
      <x:c r="H396" s="14" t="str">
        <x:v>An ninh hàng không</x:v>
      </x:c>
      <x:c r="I396" s="14" t="str">
        <x:v>An ninh hệ thống CNS/ATM/CNTT</x:v>
      </x:c>
      <x:c r="J396" s="14" t="str">
        <x:v>Bảo vệ hệ thống thông tin chuyên ngành hàng không</x:v>
      </x:c>
      <x:c r="K396" s="14" t="str">
        <x:v>Trực tiếp</x:v>
      </x:c>
      <x:c r="L396" s="14" t="str">
        <x:v>An ninh/bảo vệ</x:v>
      </x:c>
      <x:c r="M396" s="14" t="str">
        <x:v>ANSP/doanh nghiệp điều hành bay</x:v>
      </x:c>
      <x:c r="N396" s="14" t="str">
        <x:v>Hệ thống thông tin phục vụ bảo đảm hoạt động bay, chỉ huy điều hành, điện văn chuyên ngành, cơ sở dữ liệu hàng không phải được bảo vệ chống truy cập/can thiệp trái phép.</x:v>
      </x:c>
      <x:c r="O396" s="14" t="str">
        <x:v>Thiết lập quản trị an ninh mạng, phân quyền, giám sát log, backup, DR, kiểm thử xâm nhập, phân vùng mạng nghiệp vụ.</x:v>
      </x:c>
      <x:c r="P396" s="14" t="str">
        <x:v>Không bị truy cập trái phép; hệ thống ANS khả dụng, toàn vẹn, bảo mật</x:v>
      </x:c>
      <x:c r="Q396" s="14" t="str">
        <x:v>Chính sách an ninh thông tin, log, báo cáo kiểm thử, biên bản khắc phục</x:v>
      </x:c>
      <x:c r="R396" s="14" t="str">
        <x:v>Quy trình bảo vệ hệ thống thông tin chuyên ngành ANS; Checklist bảo mật hệ thống CNS/ATM/AIS/MET; mẫu báo cáo sự cố cyber</x:v>
      </x:c>
      <x:c r="S396" s="14" t="str">
        <x:v>Ban An ninh hàng không; Ban Kế hoạch doanh nghiệp - Chuyển đổi số; Ban Kỹ thuật - CNS/IT/Môi trường; Trung tâm Thông báo tin tức hàng không; Trung tâm Quản lý luồng không lưu</x:v>
      </x:c>
      <x:c r="T396" s="14" t="str">
        <x:v>Ban Kế hoạch doanh nghiệp - Chuyển đổi số; Ban Kỹ thuật - CNS/IT/Môi trường; Trung tâm Thông báo tin tức hàng không; Các Công ty Quản lý bay khu vực Bắc/Trung/Nam; Ban An ninh hàng không</x:v>
      </x:c>
      <x:c r="U396" s="14" t="str">
        <x:v>Cục QLXNC, Cục HKVN, Cục An ninh mạng nếu có</x:v>
      </x:c>
      <x:c r="V396" s="14" t="str">
        <x:v>Liên tục; kiểm tra định kỳ</x:v>
      </x:c>
      <x:c r="W396" s="14" t="str">
        <x:v>P1</x:v>
      </x:c>
      <x:c r="X396" s="14" t="str">
        <x:v>Rất cao</x:v>
      </x:c>
      <x:c r="Y396" s="14" t="str">
        <x:v>Chưa bắt đầu</x:v>
      </x:c>
      <x:c r="Z396" s="14" t="str"/>
      <x:c r="AA396" s="14" t="str">
        <x:v>https://thuvienphapluat.vn/van-ban/Giao-thong-Van-tai/Nghi-dinh-215-2026-ND-C%D0%A0-an-ninh-hang-khong-711200.aspx</x:v>
      </x:c>
      <x:c r="AB396" s="14" t="str">
        <x:v>an ninh; atm; cns; du lieu</x:v>
      </x:c>
    </x:row>
    <x:row r="397">
      <x:c r="A397" s="14" t="str">
        <x:v>VATM-0396</x:v>
      </x:c>
      <x:c r="B397" s="14" t="str">
        <x:v>14</x:v>
      </x:c>
      <x:c r="C397" s="14" t="str">
        <x:v>Nghị định 215/2026/NĐ-CP về an ninh hàng không</x:v>
      </x:c>
      <x:c r="D397" s="14" t="str">
        <x:v>Tong_hop_nhiem_vu_VATM_ND215_2026_ANHK.xlsx</x:v>
      </x:c>
      <x:c r="E397" s="14" t="str">
        <x:v>Nhiem_vu_VATM</x:v>
      </x:c>
      <x:c r="F397" s="56" t="n">
        <x:v>15</x:v>
      </x:c>
      <x:c r="G397" s="14" t="str">
        <x:v>Điều 27 khoản 2</x:v>
      </x:c>
      <x:c r="H397" s="14" t="str">
        <x:v>An ninh hàng không</x:v>
      </x:c>
      <x:c r="I397" s="14" t="str">
        <x:v>Chương trình/kế hoạch ANHK VATM</x:v>
      </x:c>
      <x:c r="J397" s="14" t="str">
        <x:v>Phổ biến pháp luật</x:v>
      </x:c>
      <x:c r="K397" s="14" t="str">
        <x:v>Trực tiếp</x:v>
      </x:c>
      <x:c r="L397" s="14" t="str">
        <x:v>An ninh/bảo vệ</x:v>
      </x:c>
      <x:c r="M397" s="14" t="str">
        <x:v>Doanh nghiệp hàng không/ANSP</x:v>
      </x:c>
      <x:c r="N397" s="14" t="str">
        <x:v>Cơ quan, đơn vị trong ngành hàng không phổ biến, giáo dục pháp luật an ninh hàng không cho cán bộ, nhân viên.</x:v>
      </x:c>
      <x:c r="O397" s="14" t="str">
        <x:v>Tổ chức khóa phổ biến NĐ 215, chương trình an ninh, SOP; kiểm tra nhận thức bằng e-learning/thi.</x:v>
      </x:c>
      <x:c r="P397" s="14" t="str">
        <x:v>100% nhân sự vị trí nhạy cảm được phổ biến, kiểm tra đạt</x:v>
      </x:c>
      <x:c r="Q397" s="14" t="str">
        <x:v>Kế hoạch đào tạo, danh sách tham dự, bài kiểm tra, chứng nhận</x:v>
      </x:c>
      <x:c r="R397" s="14" t="str">
        <x:v>Quy trình đào tạo phổ biến AVSEC nội bộ; Bộ slide NĐ 215 cho ANSP; bài test nhận thức</x:v>
      </x:c>
      <x:c r="S397" s="14" t="str">
        <x:v>Ban An ninh hàng không; Văn phòng - Pháp chế</x:v>
      </x:c>
      <x:c r="T397" s="14" t="str">
        <x:v>Các Công ty Quản lý bay khu vực Bắc/Trung/Nam; Ban An ninh hàng không</x:v>
      </x:c>
      <x:c r="U397" s="14" t="str">
        <x:v>Cục QLXNC, CHKVN</x:v>
      </x:c>
      <x:c r="V397" s="14" t="str">
        <x:v>Hằng năm và khi có văn bản mới</x:v>
      </x:c>
      <x:c r="W397" s="14" t="str">
        <x:v>P1</x:v>
      </x:c>
      <x:c r="X397" s="14" t="str">
        <x:v>Trung bình/Cao</x:v>
      </x:c>
      <x:c r="Y397" s="14" t="str">
        <x:v>Chưa bắt đầu</x:v>
      </x:c>
      <x:c r="Z397" s="14" t="str"/>
      <x:c r="AA397" s="14" t="str">
        <x:v>https://thuvienphapluat.vn/van-ban/Giao-thong-Van-tai/Nghi-dinh-215-2026-ND-C%D0%A0-an-ninh-hang-khong-711200.aspx</x:v>
      </x:c>
      <x:c r="AB397" s="14" t="str">
        <x:v>an ninh; atm; anhk; phap che</x:v>
      </x:c>
    </x:row>
    <x:row r="398">
      <x:c r="A398" s="14" t="str">
        <x:v>VATM-0397</x:v>
      </x:c>
      <x:c r="B398" s="14" t="str">
        <x:v>15</x:v>
      </x:c>
      <x:c r="C398" s="14" t="str">
        <x:v>Nghị định 215/2026/NĐ-CP về an ninh hàng không</x:v>
      </x:c>
      <x:c r="D398" s="14" t="str">
        <x:v>Tong_hop_nhiem_vu_VATM_ND215_2026_ANHK.xlsx</x:v>
      </x:c>
      <x:c r="E398" s="14" t="str">
        <x:v>Nhiem_vu_VATM</x:v>
      </x:c>
      <x:c r="F398" s="56" t="n">
        <x:v>16</x:v>
      </x:c>
      <x:c r="G398" s="14" t="str">
        <x:v>Điều 28 khoản 2</x:v>
      </x:c>
      <x:c r="H398" s="14" t="str">
        <x:v>An ninh hàng không</x:v>
      </x:c>
      <x:c r="I398" s="14" t="str">
        <x:v>Ứng phó sự cố/diễn tập ANHK</x:v>
      </x:c>
      <x:c r="J398" s="14" t="str">
        <x:v>Ưu tiên điều hành bay</x:v>
      </x:c>
      <x:c r="K398" s="14" t="str">
        <x:v>Trực tiếp</x:v>
      </x:c>
      <x:c r="L398" s="14" t="str">
        <x:v>An ninh/bảo vệ</x:v>
      </x:c>
      <x:c r="M398" s="14" t="str">
        <x:v>Doanh nghiệp điều hành bay/ANSP</x:v>
      </x:c>
      <x:c r="N398" s="14" t="str">
        <x:v>Phải ưu tiên điều hành bay và trợ giúp cần thiết đối với tàu bay đang bay bị can thiệp bất hợp pháp.</x:v>
      </x:c>
      <x:c r="O398" s="14" t="str">
        <x:v>Cập nhật checklist ATC unlawful interference: ưu tiên đường bay, mực bay, sân bay hạ cánh, phối hợp quân sự và khẩn nguy.</x:v>
      </x:c>
      <x:c r="P398" s="14" t="str">
        <x:v>Tàu bay bị can thiệp được ưu tiên an toàn; phối hợp đúng quy trình</x:v>
      </x:c>
      <x:c r="Q398" s="14" t="str">
        <x:v>Bản ghi thoại, log xử lý, ATC occurrence report, flight progress data</x:v>
      </x:c>
      <x:c r="R398" s="14" t="str">
        <x:v>SOP ATC đối phó hành vi can thiệp bất hợp pháp; Quick Reference Handbook AVSEC cho ATC</x:v>
      </x:c>
      <x:c r="S398" s="14" t="str">
        <x:v>Ban An ninh hàng không</x:v>
      </x:c>
      <x:c r="T398" s="14" t="str">
        <x:v>Các Công ty Quản lý bay khu vực Bắc/Trung/Nam; Ban Không lưu; Ban Kỹ thuật - CNS/IT/Môi trường; Trung tâm Khí tượng hàng không; Trung tâm Thông báo tin tức hàng không; Trung tâm Quản lý luồng không lưu; Ban An ninh hàng không</x:v>
      </x:c>
      <x:c r="U398" s="14" t="str">
        <x:v>BCH khẩn nguy, QLXNC, Quân sự</x:v>
      </x:c>
      <x:c r="V398" s="14" t="str">
        <x:v>Ngay khi xảy ra</x:v>
      </x:c>
      <x:c r="W398" s="14" t="str">
        <x:v>P1</x:v>
      </x:c>
      <x:c r="X398" s="14" t="str">
        <x:v>Rất cao</x:v>
      </x:c>
      <x:c r="Y398" s="14" t="str">
        <x:v>Chưa bắt đầu</x:v>
      </x:c>
      <x:c r="Z398" s="14" t="str"/>
      <x:c r="AA398" s="14" t="str">
        <x:v>https://thuvienphapluat.vn/van-ban/Giao-thong-Van-tai/Nghi-dinh-215-2026-ND-C%D0%A0-an-ninh-hang-khong-711200.aspx</x:v>
      </x:c>
      <x:c r="AB398" s="14" t="str">
        <x:v>an ninh; anhk</x:v>
      </x:c>
    </x:row>
    <x:row r="399">
      <x:c r="A399" s="14" t="str">
        <x:v>VATM-0398</x:v>
      </x:c>
      <x:c r="B399" s="14" t="str">
        <x:v>16</x:v>
      </x:c>
      <x:c r="C399" s="14" t="str">
        <x:v>Nghị định 215/2026/NĐ-CP về an ninh hàng không</x:v>
      </x:c>
      <x:c r="D399" s="14" t="str">
        <x:v>Tong_hop_nhiem_vu_VATM_ND215_2026_ANHK.xlsx</x:v>
      </x:c>
      <x:c r="E399" s="14" t="str">
        <x:v>Nhiem_vu_VATM</x:v>
      </x:c>
      <x:c r="F399" s="56" t="n">
        <x:v>17</x:v>
      </x:c>
      <x:c r="G399" s="14" t="str">
        <x:v>Điều 28 khoản 5</x:v>
      </x:c>
      <x:c r="H399" s="14" t="str">
        <x:v>An ninh hàng không</x:v>
      </x:c>
      <x:c r="I399" s="14" t="str">
        <x:v>Ứng phó sự cố/diễn tập ANHK</x:v>
      </x:c>
      <x:c r="J399" s="14" t="str">
        <x:v>4 tại chỗ</x:v>
      </x:c>
      <x:c r="K399" s="14" t="str">
        <x:v>Trực tiếp</x:v>
      </x:c>
      <x:c r="L399" s="14" t="str">
        <x:v>An ninh/bảo vệ</x:v>
      </x:c>
      <x:c r="M399" s="14" t="str">
        <x:v>ANSP</x:v>
      </x:c>
      <x:c r="N399" s="14" t="str">
        <x:v>Thực hiện phương châm 4 tại chỗ trong đối phó hành vi can thiệp bất hợp pháp.</x:v>
      </x:c>
      <x:c r="O399" s="14" t="str">
        <x:v>Bảo đảm phương án, lực lượng, trang bị, hậu cần tại chỗ cho ACC/APP/TWR/trạm CNS trọng yếu.</x:v>
      </x:c>
      <x:c r="P399" s="14" t="str">
        <x:v>Cơ sở ANS tự phản ứng ban đầu trong thời gian chờ lực lượng chuyên trách</x:v>
      </x:c>
      <x:c r="Q399" s="14" t="str">
        <x:v>Danh mục nguồn lực 4 tại chỗ, sơ đồ liên lạc, biên bản kiểm tra</x:v>
      </x:c>
      <x:c r="R399" s="14" t="str">
        <x:v>Kế hoạch 4 tại chỗ an ninh cơ sở ANS; Mẫu danh mục trang bị/hậu cần khẩn nguy ANS</x:v>
      </x:c>
      <x:c r="S399" s="14" t="str">
        <x:v>Ban An ninh hàng không; Các Công ty Quản lý bay khu vực Bắc/Trung/Nam</x:v>
      </x:c>
      <x:c r="T399" s="14" t="str">
        <x:v>Các Công ty Quản lý bay khu vực Bắc/Trung/Nam; Ban An ninh hàng không</x:v>
      </x:c>
      <x:c r="U399" s="14" t="str">
        <x:v>Công an, Cảng vụ, ACV</x:v>
      </x:c>
      <x:c r="V399" s="14" t="str">
        <x:v>Khi xây dựng phương án; khi xảy ra</x:v>
      </x:c>
      <x:c r="W399" s="14" t="str">
        <x:v>P1</x:v>
      </x:c>
      <x:c r="X399" s="14" t="str">
        <x:v>Cao</x:v>
      </x:c>
      <x:c r="Y399" s="14" t="str">
        <x:v>Chưa bắt đầu</x:v>
      </x:c>
      <x:c r="Z399" s="14" t="str"/>
      <x:c r="AA399" s="14" t="str">
        <x:v>https://thuvienphapluat.vn/van-ban/Giao-thong-Van-tai/Nghi-dinh-215-2026-ND-C%D0%A0-an-ninh-hang-khong-711200.aspx</x:v>
      </x:c>
      <x:c r="AB399" s="14" t="str">
        <x:v>an ninh; anhk</x:v>
      </x:c>
    </x:row>
    <x:row r="400">
      <x:c r="A400" s="14" t="str">
        <x:v>VATM-0399</x:v>
      </x:c>
      <x:c r="B400" s="14" t="str">
        <x:v>17</x:v>
      </x:c>
      <x:c r="C400" s="14" t="str">
        <x:v>Nghị định 215/2026/NĐ-CP về an ninh hàng không</x:v>
      </x:c>
      <x:c r="D400" s="14" t="str">
        <x:v>Tong_hop_nhiem_vu_VATM_ND215_2026_ANHK.xlsx</x:v>
      </x:c>
      <x:c r="E400" s="14" t="str">
        <x:v>Nhiem_vu_VATM</x:v>
      </x:c>
      <x:c r="F400" s="56" t="n">
        <x:v>18</x:v>
      </x:c>
      <x:c r="G400" s="14" t="str">
        <x:v>Điều 29 khoản 3; Phụ lục II</x:v>
      </x:c>
      <x:c r="H400" s="14" t="str">
        <x:v>An ninh hàng không</x:v>
      </x:c>
      <x:c r="I400" s="14" t="str">
        <x:v>Khu vực hạn chế/kiểm soát ra vào</x:v>
      </x:c>
      <x:c r="J400" s="14" t="str">
        <x:v>Phương án khẩn nguy cơ sở ANS</x:v>
      </x:c>
      <x:c r="K400" s="14" t="str">
        <x:v>Trực tiếp</x:v>
      </x:c>
      <x:c r="L400" s="14" t="str">
        <x:v>An ninh/bảo vệ</x:v>
      </x:c>
      <x:c r="M400" s="14" t="str">
        <x:v>ANSP/doanh nghiệp chủ quản cơ sở BĐHĐB</x:v>
      </x:c>
      <x:c r="N400" s="14" t="str">
        <x:v>Doanh nghiệp chủ quản cơ sở cung cấp dịch vụ bảo đảm hoạt động bay xây dựng phương án khẩn nguy đối phó hành vi can thiệp bất hợp pháp theo Phụ lục II.</x:v>
      </x:c>
      <x:c r="O400" s="14" t="str">
        <x:v>Xây dựng phương án riêng cho ACC, APP/TWR, ATFM, radar, trạm thông tin, AIS/MET trọng yếu; trình/hiệp đồng theo yêu cầu.</x:v>
      </x:c>
      <x:c r="P400" s="14" t="str">
        <x:v>Phương án bao phủ tối thiểu các tình huống theo Phụ lục II, có nhiệm vụ cụ thể từng lực lượng</x:v>
      </x:c>
      <x:c r="Q400" s="14" t="str">
        <x:v>Phương án được phê duyệt/hiệp đồng; biên bản diễn tập; danh sách lực lượng</x:v>
      </x:c>
      <x:c r="R400" s="14" t="str">
        <x:v>Quy trình lập và cập nhật phương án khẩn nguy AVSEC cơ sở ANS; Đề cương phương án khẩn nguy cơ sở ANS</x:v>
      </x:c>
      <x:c r="S400" s="14" t="str">
        <x:v>Ban An ninh hàng không</x:v>
      </x:c>
      <x:c r="T400" s="14" t="str">
        <x:v>Các Công ty Quản lý bay khu vực Bắc/Trung/Nam; Ban An ninh hàng không</x:v>
      </x:c>
      <x:c r="U400" s="14" t="str">
        <x:v>Cục QLXNC, BCH khẩn nguy, Cảng vụ, Công an</x:v>
      </x:c>
      <x:c r="V400" s="14" t="str">
        <x:v>Ban hành/cập nhật định kỳ; khi thay đổi rủi ro/cơ sở</x:v>
      </x:c>
      <x:c r="W400" s="14" t="str">
        <x:v>P1</x:v>
      </x:c>
      <x:c r="X400" s="14" t="str">
        <x:v>Rất cao</x:v>
      </x:c>
      <x:c r="Y400" s="14" t="str">
        <x:v>Chưa bắt đầu</x:v>
      </x:c>
      <x:c r="Z400" s="14" t="str"/>
      <x:c r="AA400" s="14" t="str">
        <x:v>https://thuvienphapluat.vn/van-ban/Giao-thong-Van-tai/Nghi-dinh-215-2026-ND-C%D0%A0-an-ninh-hang-khong-711200.aspx</x:v>
      </x:c>
      <x:c r="AB400" s="14" t="str">
        <x:v>an ninh</x:v>
      </x:c>
    </x:row>
    <x:row r="401">
      <x:c r="A401" s="14" t="str">
        <x:v>VATM-0400</x:v>
      </x:c>
      <x:c r="B401" s="14" t="str">
        <x:v>18</x:v>
      </x:c>
      <x:c r="C401" s="14" t="str">
        <x:v>Nghị định 215/2026/NĐ-CP về an ninh hàng không</x:v>
      </x:c>
      <x:c r="D401" s="14" t="str">
        <x:v>Tong_hop_nhiem_vu_VATM_ND215_2026_ANHK.xlsx</x:v>
      </x:c>
      <x:c r="E401" s="14" t="str">
        <x:v>Nhiem_vu_VATM</x:v>
      </x:c>
      <x:c r="F401" s="56" t="n">
        <x:v>19</x:v>
      </x:c>
      <x:c r="G401" s="14" t="str">
        <x:v>Phụ lục II mục 2</x:v>
      </x:c>
      <x:c r="H401" s="14" t="str">
        <x:v>An ninh hàng không</x:v>
      </x:c>
      <x:c r="I401" s="14" t="str">
        <x:v>Ứng phó sự cố/diễn tập ANHK</x:v>
      </x:c>
      <x:c r="J401" s="14" t="str">
        <x:v>Tình huống tấn công công trình BĐHĐB</x:v>
      </x:c>
      <x:c r="K401" s="14" t="str">
        <x:v>Trực tiếp</x:v>
      </x:c>
      <x:c r="L401" s="14" t="str">
        <x:v>An ninh/bảo vệ</x:v>
      </x:c>
      <x:c r="M401" s="14" t="str">
        <x:v>ANSP</x:v>
      </x:c>
      <x:c r="N401" s="14" t="str">
        <x:v>Phương án phải có tình huống tấn công vũ trang vào công trình BĐHĐB; chiếm đoạt/gây bạo loạn tại cơ sở cung cấp dịch vụ BĐHĐB; UAV xâm nhập.</x:v>
      </x:c>
      <x:c r="O401" s="14" t="str">
        <x:v>Xây dựng kịch bản cho từng loại cơ sở: ACC, TWR, radar, VHF, VSAT, ATFM, AIS/MET; xác định phương án duy trì dịch vụ/contingency.</x:v>
      </x:c>
      <x:c r="P401" s="14" t="str">
        <x:v>Tình huống sát thực tế, có chỉ huy, phối hợp, hậu cần, thông tin liên lạc</x:v>
      </x:c>
      <x:c r="Q401" s="14" t="str">
        <x:v>Kịch bản diễn tập, báo cáo đánh giá sau diễn tập, danh mục bài học</x:v>
      </x:c>
      <x:c r="R401" s="14" t="str">
        <x:v>Contingency Plan AVSEC cho cơ sở ANS; Mẫu kịch bản diễn tập tấn công/can thiệp cơ sở ANS</x:v>
      </x:c>
      <x:c r="S401" s="14" t="str">
        <x:v>Ban An ninh hàng không; Các Công ty Quản lý bay khu vực Bắc/Trung/Nam</x:v>
      </x:c>
      <x:c r="T401" s="14" t="str">
        <x:v>Ban Kỹ thuật - CNS/IT/Môi trường; Trung tâm Khí tượng hàng không; Trung tâm Thông báo tin tức hàng không; Các Công ty Quản lý bay khu vực Bắc/Trung/Nam; Ban An ninh hàng không</x:v>
      </x:c>
      <x:c r="U401" s="14" t="str">
        <x:v>Công an, Quân đội, Cảng vụ, ACV</x:v>
      </x:c>
      <x:c r="V401" s="14" t="str">
        <x:v>Khi lập phương án; diễn tập tối thiểu 2 năm/lần</x:v>
      </x:c>
      <x:c r="W401" s="14" t="str">
        <x:v>P1</x:v>
      </x:c>
      <x:c r="X401" s="14" t="str">
        <x:v>Rất cao</x:v>
      </x:c>
      <x:c r="Y401" s="14" t="str">
        <x:v>Chưa bắt đầu</x:v>
      </x:c>
      <x:c r="Z401" s="14" t="str"/>
      <x:c r="AA401" s="14" t="str">
        <x:v>https://thuvienphapluat.vn/van-ban/Giao-thong-Van-tai/Nghi-dinh-215-2026-ND-C%D0%A0-an-ninh-hang-khong-711200.aspx</x:v>
      </x:c>
      <x:c r="AB401" s="14" t="str">
        <x:v>an ninh; anhk</x:v>
      </x:c>
    </x:row>
    <x:row r="402">
      <x:c r="A402" s="14" t="str">
        <x:v>VATM-0401</x:v>
      </x:c>
      <x:c r="B402" s="14" t="str">
        <x:v>19</x:v>
      </x:c>
      <x:c r="C402" s="14" t="str">
        <x:v>Nghị định 215/2026/NĐ-CP về an ninh hàng không</x:v>
      </x:c>
      <x:c r="D402" s="14" t="str">
        <x:v>Tong_hop_nhiem_vu_VATM_ND215_2026_ANHK.xlsx</x:v>
      </x:c>
      <x:c r="E402" s="14" t="str">
        <x:v>Nhiem_vu_VATM</x:v>
      </x:c>
      <x:c r="F402" s="56" t="n">
        <x:v>20</x:v>
      </x:c>
      <x:c r="G402" s="14" t="str">
        <x:v>Điều 36 khoản 3-4,6</x:v>
      </x:c>
      <x:c r="H402" s="14" t="str">
        <x:v>An ninh hàng không</x:v>
      </x:c>
      <x:c r="I402" s="14" t="str">
        <x:v>An ninh hệ thống CNS/ATM/CNTT</x:v>
      </x:c>
      <x:c r="J402" s="14" t="str">
        <x:v>Trung tâm khẩn nguy, sở chỉ huy, khu vực tập kết</x:v>
      </x:c>
      <x:c r="K402" s="14" t="str">
        <x:v>Phối hợp/Gián tiếp</x:v>
      </x:c>
      <x:c r="L402" s="14" t="str">
        <x:v>An ninh/bảo vệ</x:v>
      </x:c>
      <x:c r="M402" s="14" t="str">
        <x:v>ANSP</x:v>
      </x:c>
      <x:c r="N402" s="14" t="str">
        <x:v>Phối hợp bảo đảm thông tin liên lạc, phục vụ chỉ huy đối phó tại cảng hàng không; duy trì khả năng điều hành bay khi thiết lập sở chỉ huy/khu vực biệt lập.</x:v>
      </x:c>
      <x:c r="O402" s="14" t="str">
        <x:v>Đảm bảo đường dây nóng, kênh VHF/telephone, thông tin NOTAM/ATFM nếu vị trí biệt lập ảnh hưởng khai thác.</x:v>
      </x:c>
      <x:c r="P402" s="14" t="str">
        <x:v>Thông tin chỉ huy thông suốt, không gián đoạn phối hợp ATM</x:v>
      </x:c>
      <x:c r="Q402" s="14" t="str">
        <x:v>Sơ đồ kênh liên lạc, biên bản test liên lạc, NOTAM nếu có</x:v>
      </x:c>
      <x:c r="R402" s="14" t="str">
        <x:v>SOP liên lạc khẩn nguy AVSEC giữa ANS và BCH; Danh bạ khẩn nguy, checklist test liên lạc</x:v>
      </x:c>
      <x:c r="S402" s="14" t="str">
        <x:v>Ban An ninh hàng không; Ban Không lưu; Ban Kỹ thuật - CNS/IT/Môi trường</x:v>
      </x:c>
      <x:c r="T402" s="14" t="str">
        <x:v>Ban Không lưu; Ban Kỹ thuật - CNS/IT/Môi trường; Các Công ty Quản lý bay khu vực Bắc/Trung/Nam; Ban An ninh hàng không</x:v>
      </x:c>
      <x:c r="U402" s="14" t="str">
        <x:v>BCH khẩn nguy, ACV, Cảng vụ</x:v>
      </x:c>
      <x:c r="V402" s="14" t="str">
        <x:v>Khi quy hoạch/phương án; khi xảy ra</x:v>
      </x:c>
      <x:c r="W402" s="14" t="str">
        <x:v>P1</x:v>
      </x:c>
      <x:c r="X402" s="14" t="str">
        <x:v>Cao</x:v>
      </x:c>
      <x:c r="Y402" s="14" t="str">
        <x:v>Chưa bắt đầu</x:v>
      </x:c>
      <x:c r="Z402" s="14" t="str"/>
      <x:c r="AA402" s="14" t="str">
        <x:v>https://thuvienphapluat.vn/van-ban/Giao-thong-Van-tai/Nghi-dinh-215-2026-ND-C%D0%A0-an-ninh-hang-khong-711200.aspx</x:v>
      </x:c>
      <x:c r="AB402" s="14" t="str">
        <x:v>an ninh; atm; cns; cang</x:v>
      </x:c>
    </x:row>
    <x:row r="403">
      <x:c r="A403" s="14" t="str">
        <x:v>VATM-0402</x:v>
      </x:c>
      <x:c r="B403" s="14" t="str">
        <x:v>20</x:v>
      </x:c>
      <x:c r="C403" s="14" t="str">
        <x:v>Nghị định 215/2026/NĐ-CP về an ninh hàng không</x:v>
      </x:c>
      <x:c r="D403" s="14" t="str">
        <x:v>Tong_hop_nhiem_vu_VATM_ND215_2026_ANHK.xlsx</x:v>
      </x:c>
      <x:c r="E403" s="14" t="str">
        <x:v>Nhiem_vu_VATM</x:v>
      </x:c>
      <x:c r="F403" s="56" t="n">
        <x:v>21</x:v>
      </x:c>
      <x:c r="G403" s="14" t="str">
        <x:v>Điều 37 khoản 3</x:v>
      </x:c>
      <x:c r="H403" s="14" t="str">
        <x:v>An ninh hàng không</x:v>
      </x:c>
      <x:c r="I403" s="14" t="str">
        <x:v>Khu vực hạn chế/kiểm soát ra vào</x:v>
      </x:c>
      <x:c r="J403" s="14" t="str">
        <x:v>Diễn tập cấp cơ sở</x:v>
      </x:c>
      <x:c r="K403" s="14" t="str">
        <x:v>Trực tiếp</x:v>
      </x:c>
      <x:c r="L403" s="14" t="str">
        <x:v>An ninh/bảo vệ</x:v>
      </x:c>
      <x:c r="M403" s="14" t="str">
        <x:v>ANSP/doanh nghiệp cung cấp dịch vụ không lưu</x:v>
      </x:c>
      <x:c r="N403" s="14" t="str">
        <x:v>Doanh nghiệp chủ quản cơ sở cung cấp dịch vụ BĐHĐB/không lưu tổ chức diễn tập cấp cơ sở có lực lượng liên quan; tối thiểu 02 năm/lần.</x:v>
      </x:c>
      <x:c r="O403" s="14" t="str">
        <x:v>Lập kế hoạch diễn tập bàn/diễn tập thực binh; đánh giá năng lực phản ứng và continuity.</x:v>
      </x:c>
      <x:c r="P403" s="14" t="str">
        <x:v>Diễn tập đạt mục tiêu, có CAPA và theo dõi đóng điểm tồn tại</x:v>
      </x:c>
      <x:c r="Q403" s="14" t="str">
        <x:v>Kế hoạch, quyết định, danh sách tham gia, biên bản, báo cáo sau diễn tập</x:v>
      </x:c>
      <x:c r="R403" s="14" t="str">
        <x:v>Quy trình tổ chức diễn tập AVSEC cơ sở ANS; Mẫu kế hoạch/báo cáo diễn tập cấp cơ sở ANS</x:v>
      </x:c>
      <x:c r="S403" s="14" t="str">
        <x:v>Ban An ninh hàng không</x:v>
      </x:c>
      <x:c r="T403" s="14" t="str">
        <x:v>Các Công ty Quản lý bay khu vực Bắc/Trung/Nam; Ban An ninh hàng không</x:v>
      </x:c>
      <x:c r="U403" s="14" t="str">
        <x:v>Cục QLXNC, Công an, Cảng vụ, ACV</x:v>
      </x:c>
      <x:c r="V403" s="14" t="str">
        <x:v>Tối thiểu 02 năm/lần; sau thay đổi lớn</x:v>
      </x:c>
      <x:c r="W403" s="14" t="str">
        <x:v>P1</x:v>
      </x:c>
      <x:c r="X403" s="14" t="str">
        <x:v>Rất cao</x:v>
      </x:c>
      <x:c r="Y403" s="14" t="str">
        <x:v>Chưa bắt đầu</x:v>
      </x:c>
      <x:c r="Z403" s="14" t="str"/>
      <x:c r="AA403" s="14" t="str">
        <x:v>https://thuvienphapluat.vn/van-ban/Giao-thong-Van-tai/Nghi-dinh-215-2026-ND-C%D0%A0-an-ninh-hang-khong-711200.aspx</x:v>
      </x:c>
      <x:c r="AB403" s="14" t="str">
        <x:v>an ninh</x:v>
      </x:c>
    </x:row>
    <x:row r="404">
      <x:c r="A404" s="14" t="str">
        <x:v>VATM-0403</x:v>
      </x:c>
      <x:c r="B404" s="14" t="str">
        <x:v>21</x:v>
      </x:c>
      <x:c r="C404" s="14" t="str">
        <x:v>Nghị định 215/2026/NĐ-CP về an ninh hàng không</x:v>
      </x:c>
      <x:c r="D404" s="14" t="str">
        <x:v>Tong_hop_nhiem_vu_VATM_ND215_2026_ANHK.xlsx</x:v>
      </x:c>
      <x:c r="E404" s="14" t="str">
        <x:v>Nhiem_vu_VATM</x:v>
      </x:c>
      <x:c r="F404" s="56" t="n">
        <x:v>22</x:v>
      </x:c>
      <x:c r="G404" s="14" t="str">
        <x:v>Điều 38 khoản 1 điểm b, khoản 3</x:v>
      </x:c>
      <x:c r="H404" s="14" t="str">
        <x:v>An ninh hàng không</x:v>
      </x:c>
      <x:c r="I404" s="14" t="str">
        <x:v>Khu vực hạn chế/kiểm soát ra vào</x:v>
      </x:c>
      <x:c r="J404" s="14" t="str">
        <x:v>Tổ chức lực lượng kiểm soát an ninh hàng không</x:v>
      </x:c>
      <x:c r="K404" s="14" t="str">
        <x:v>Trực tiếp</x:v>
      </x:c>
      <x:c r="L404" s="14" t="str">
        <x:v>An ninh/bảo vệ</x:v>
      </x:c>
      <x:c r="M404" s="14" t="str">
        <x:v>ANSP/doanh nghiệp cung cấp dịch vụ không lưu</x:v>
      </x:c>
      <x:c r="N404" s="14" t="str">
        <x:v>Doanh nghiệp cung cấp dịch vụ không lưu tổ chức lực lượng kiểm soát an ninh hàng không tại cơ sở cung cấp dịch vụ không lưu nằm ngoài khu vực hạn chế cảng hàng không.</x:v>
      </x:c>
      <x:c r="O404" s="14" t="str">
        <x:v>Xác định mô hình lực lượng KSANHK VATM, biên chế, ca trực, nhiệm vụ, trang bị, phạm vi cơ sở ngoài cảng.</x:v>
      </x:c>
      <x:c r="P404" s="14" t="str">
        <x:v>Lực lượng KSANHK VATM hoạt động đúng pháp lý, đủ năng lực</x:v>
      </x:c>
      <x:c r="Q404" s="14" t="str">
        <x:v>Quyết định tổ chức lực lượng, mô tả chức năng nhiệm vụ, danh sách nhân sự</x:v>
      </x:c>
      <x:c r="R404" s="14" t="str">
        <x:v>Quy chế tổ chức lực lượng kiểm soát an ninh hàng không VATM; Mẫu phân công ca KSAN cơ sở không lưu</x:v>
      </x:c>
      <x:c r="S404" s="14" t="str">
        <x:v>Ban An ninh hàng không</x:v>
      </x:c>
      <x:c r="T404" s="14" t="str">
        <x:v>Các Công ty Quản lý bay khu vực Bắc/Trung/Nam; Ban An ninh hàng không</x:v>
      </x:c>
      <x:c r="U404" s="14" t="str">
        <x:v>Cục QLXNC</x:v>
      </x:c>
      <x:c r="V404" s="14" t="str">
        <x:v>Theo phê duyệt chương trình; duy trì liên tục</x:v>
      </x:c>
      <x:c r="W404" s="14" t="str">
        <x:v>P1</x:v>
      </x:c>
      <x:c r="X404" s="14" t="str">
        <x:v>Rất cao</x:v>
      </x:c>
      <x:c r="Y404" s="14" t="str">
        <x:v>Chưa bắt đầu</x:v>
      </x:c>
      <x:c r="Z404" s="14" t="str"/>
      <x:c r="AA404" s="14" t="str">
        <x:v>https://thuvienphapluat.vn/van-ban/Giao-thong-Van-tai/Nghi-dinh-215-2026-ND-C%D0%A0-an-ninh-hang-khong-711200.aspx</x:v>
      </x:c>
      <x:c r="AB404" s="14" t="str">
        <x:v>an ninh; cang</x:v>
      </x:c>
    </x:row>
    <x:row r="405">
      <x:c r="A405" s="14" t="str">
        <x:v>VATM-0404</x:v>
      </x:c>
      <x:c r="B405" s="14" t="str">
        <x:v>22</x:v>
      </x:c>
      <x:c r="C405" s="14" t="str">
        <x:v>Nghị định 215/2026/NĐ-CP về an ninh hàng không</x:v>
      </x:c>
      <x:c r="D405" s="14" t="str">
        <x:v>Tong_hop_nhiem_vu_VATM_ND215_2026_ANHK.xlsx</x:v>
      </x:c>
      <x:c r="E405" s="14" t="str">
        <x:v>Nhiem_vu_VATM</x:v>
      </x:c>
      <x:c r="F405" s="56" t="n">
        <x:v>23</x:v>
      </x:c>
      <x:c r="G405" s="14" t="str">
        <x:v>Điều 39 khoản 2 điểm a-b</x:v>
      </x:c>
      <x:c r="H405" s="14" t="str">
        <x:v>An ninh hàng không</x:v>
      </x:c>
      <x:c r="I405" s="14" t="str">
        <x:v>Chương trình/kế hoạch ANHK VATM</x:v>
      </x:c>
      <x:c r="J405" s="14" t="str">
        <x:v>Cơ cấu tổ chức an ninh độc lập</x:v>
      </x:c>
      <x:c r="K405" s="14" t="str">
        <x:v>Trực tiếp</x:v>
      </x:c>
      <x:c r="L405" s="14" t="str">
        <x:v>An ninh/bảo vệ</x:v>
      </x:c>
      <x:c r="M405" s="14" t="str">
        <x:v>ANSP</x:v>
      </x:c>
      <x:c r="N405" s="14" t="str">
        <x:v>Lực lượng KSANHK của doanh nghiệp phải có hệ thống tổ chức bảo đảm an ninh độc lập; người đứng đầu không kiêm nhiệm và được phê chuẩn cùng chương trình an ninh.</x:v>
      </x:c>
      <x:c r="O405" s="14" t="str">
        <x:v>Rà soát tổ chức hiện hữu; bổ nhiệm đầu mối chuyên trách; đưa sơ đồ tổ chức vào Chương trình an ninh.</x:v>
      </x:c>
      <x:c r="P405" s="14" t="str">
        <x:v>Không còn kiêm nhiệm trái yêu cầu; tổ chức an ninh độc lập rõ ràng</x:v>
      </x:c>
      <x:c r="Q405" s="14" t="str">
        <x:v>Quyết định bổ nhiệm, sơ đồ tổ chức, hồ sơ phê chuẩn</x:v>
      </x:c>
      <x:c r="R405" s="14" t="str">
        <x:v>Quy chế tổ chức bộ máy an ninh VATM; Mẫu hồ sơ phê chuẩn người đứng đầu bộ phận an ninh</x:v>
      </x:c>
      <x:c r="S405" s="14" t="str">
        <x:v>Ban An ninh hàng không</x:v>
      </x:c>
      <x:c r="T405" s="14" t="str">
        <x:v>Các Công ty Quản lý bay khu vực Bắc/Trung/Nam; Văn phòng - Pháp chế; Ban An ninh hàng không</x:v>
      </x:c>
      <x:c r="U405" s="14" t="str">
        <x:v>Cục QLXNC</x:v>
      </x:c>
      <x:c r="V405" s="14" t="str">
        <x:v>Khi kiện toàn tổ chức; khi trình chương trình</x:v>
      </x:c>
      <x:c r="W405" s="14" t="str">
        <x:v>P1</x:v>
      </x:c>
      <x:c r="X405" s="14" t="str">
        <x:v>Cao</x:v>
      </x:c>
      <x:c r="Y405" s="14" t="str">
        <x:v>Chưa bắt đầu</x:v>
      </x:c>
      <x:c r="Z405" s="14" t="str"/>
      <x:c r="AA405" s="14" t="str">
        <x:v>https://thuvienphapluat.vn/van-ban/Giao-thong-Van-tai/Nghi-dinh-215-2026-ND-C%D0%A0-an-ninh-hang-khong-711200.aspx</x:v>
      </x:c>
      <x:c r="AB405" s="14" t="str">
        <x:v>an ninh; atm; anhk; phe chuan</x:v>
      </x:c>
    </x:row>
    <x:row r="406">
      <x:c r="A406" s="14" t="str">
        <x:v>VATM-0405</x:v>
      </x:c>
      <x:c r="B406" s="14" t="str">
        <x:v>23</x:v>
      </x:c>
      <x:c r="C406" s="14" t="str">
        <x:v>Nghị định 215/2026/NĐ-CP về an ninh hàng không</x:v>
      </x:c>
      <x:c r="D406" s="14" t="str">
        <x:v>Tong_hop_nhiem_vu_VATM_ND215_2026_ANHK.xlsx</x:v>
      </x:c>
      <x:c r="E406" s="14" t="str">
        <x:v>Nhiem_vu_VATM</x:v>
      </x:c>
      <x:c r="F406" s="56" t="n">
        <x:v>24</x:v>
      </x:c>
      <x:c r="G406" s="14" t="str">
        <x:v>Điều 39 khoản 2 điểm c</x:v>
      </x:c>
      <x:c r="H406" s="14" t="str">
        <x:v>An ninh hàng không</x:v>
      </x:c>
      <x:c r="I406" s="14" t="str">
        <x:v>Khu vực hạn chế/kiểm soát ra vào</x:v>
      </x:c>
      <x:c r="J406" s="14" t="str">
        <x:v>Đào tạo, giấy phép, năng định KSANHK</x:v>
      </x:c>
      <x:c r="K406" s="14" t="str">
        <x:v>Trực tiếp</x:v>
      </x:c>
      <x:c r="L406" s="14" t="str">
        <x:v>An ninh/bảo vệ</x:v>
      </x:c>
      <x:c r="M406" s="14" t="str">
        <x:v>ANSP</x:v>
      </x:c>
      <x:c r="N406" s="14" t="str">
        <x:v>Nhân viên KSANHK phải được đào tạo, huấn luyện, cấp giấy phép, năng định theo quy định Bộ Công an.</x:v>
      </x:c>
      <x:c r="O406" s="14" t="str">
        <x:v>Lập kế hoạch đào tạo, cấp phép, năng định; theo dõi hết hạn; không bố trí nhân viên chưa đủ điều kiện.</x:v>
      </x:c>
      <x:c r="P406" s="14" t="str">
        <x:v>100% nhân viên KSANHK đủ điều kiện pháp lý trước khi làm nhiệm vụ</x:v>
      </x:c>
      <x:c r="Q406" s="14" t="str">
        <x:v>Hồ sơ đào tạo, giấy phép, năng định, ma trận năng lực</x:v>
      </x:c>
      <x:c r="R406" s="14" t="str">
        <x:v>Quy trình quản lý giấy phép/năng định KSANHK VATM; Ma trận năng lực KSANHK; checklist kiểm tra hồ sơ</x:v>
      </x:c>
      <x:c r="S406" s="14" t="str">
        <x:v>Ban An ninh hàng không</x:v>
      </x:c>
      <x:c r="T406" s="14" t="str">
        <x:v>Các Công ty Quản lý bay khu vực Bắc/Trung/Nam; Ban Không lưu; Ban An ninh hàng không</x:v>
      </x:c>
      <x:c r="U406" s="14" t="str">
        <x:v>Cục QLXNC</x:v>
      </x:c>
      <x:c r="V406" s="14" t="str">
        <x:v>Trước bố trí nhiệm vụ; định kỳ</x:v>
      </x:c>
      <x:c r="W406" s="14" t="str">
        <x:v>P1</x:v>
      </x:c>
      <x:c r="X406" s="14" t="str">
        <x:v>Rất cao</x:v>
      </x:c>
      <x:c r="Y406" s="14" t="str">
        <x:v>Chưa bắt đầu</x:v>
      </x:c>
      <x:c r="Z406" s="14" t="str"/>
      <x:c r="AA406" s="14" t="str">
        <x:v>https://thuvienphapluat.vn/van-ban/Giao-thong-Van-tai/Nghi-dinh-215-2026-ND-C%D0%A0-an-ninh-hang-khong-711200.aspx</x:v>
      </x:c>
      <x:c r="AB406" s="14" t="str">
        <x:v>an ninh; anhk; huan luyen; giay phep</x:v>
      </x:c>
    </x:row>
    <x:row r="407">
      <x:c r="A407" s="14" t="str">
        <x:v>VATM-0406</x:v>
      </x:c>
      <x:c r="B407" s="14" t="str">
        <x:v>24</x:v>
      </x:c>
      <x:c r="C407" s="14" t="str">
        <x:v>Nghị định 215/2026/NĐ-CP về an ninh hàng không</x:v>
      </x:c>
      <x:c r="D407" s="14" t="str">
        <x:v>Tong_hop_nhiem_vu_VATM_ND215_2026_ANHK.xlsx</x:v>
      </x:c>
      <x:c r="E407" s="14" t="str">
        <x:v>Nhiem_vu_VATM</x:v>
      </x:c>
      <x:c r="F407" s="56" t="n">
        <x:v>25</x:v>
      </x:c>
      <x:c r="G407" s="14" t="str">
        <x:v>Điều 40 khoản 2 điểm a</x:v>
      </x:c>
      <x:c r="H407" s="14" t="str">
        <x:v>An ninh hàng không</x:v>
      </x:c>
      <x:c r="I407" s="14" t="str">
        <x:v>Chương trình/kế hoạch ANHK VATM</x:v>
      </x:c>
      <x:c r="J407" s="14" t="str">
        <x:v>Hỗ trợ xây dựng và thực hiện chương trình an ninh</x:v>
      </x:c>
      <x:c r="K407" s="14" t="str">
        <x:v>Trực tiếp</x:v>
      </x:c>
      <x:c r="L407" s="14" t="str">
        <x:v>An ninh/bảo vệ</x:v>
      </x:c>
      <x:c r="M407" s="14" t="str">
        <x:v>ANSP</x:v>
      </x:c>
      <x:c r="N407" s="14" t="str">
        <x:v>Lực lượng KSANHK của doanh nghiệp giúp xây dựng, trình phê duyệt và tổ chức thực hiện chương trình an ninh trong phạm vi quản lý.</x:v>
      </x:c>
      <x:c r="O407" s="14" t="str">
        <x:v>Phân công KSANHK đầu mối cập nhật SOP, kiểm tra tuân thủ, báo cáo định kỳ.</x:v>
      </x:c>
      <x:c r="P407" s="14" t="str">
        <x:v>Chương trình an ninh được triển khai thực chất tại từng cơ sở</x:v>
      </x:c>
      <x:c r="Q407" s="14" t="str">
        <x:v>Biên bản họp, báo cáo tuân thủ, hồ sơ sửa đổi chương trình</x:v>
      </x:c>
      <x:c r="R407" s="14" t="str">
        <x:v>Quy trình triển khai chương trình an ninh tại cơ sở ANS; Mẫu báo cáo thực hiện chương trình an ninh</x:v>
      </x:c>
      <x:c r="S407" s="14" t="str">
        <x:v>Ban An ninh hàng không</x:v>
      </x:c>
      <x:c r="T407" s="14" t="str">
        <x:v>Các Công ty Quản lý bay khu vực Bắc/Trung/Nam; Ban An ninh hàng không</x:v>
      </x:c>
      <x:c r="U407" s="14" t="str">
        <x:v>Cục QLXNC</x:v>
      </x:c>
      <x:c r="V407" s="14" t="str">
        <x:v>Hằng năm/khi sửa đổi</x:v>
      </x:c>
      <x:c r="W407" s="14" t="str">
        <x:v>P1</x:v>
      </x:c>
      <x:c r="X407" s="14" t="str">
        <x:v>Cao</x:v>
      </x:c>
      <x:c r="Y407" s="14" t="str">
        <x:v>Chưa bắt đầu</x:v>
      </x:c>
      <x:c r="Z407" s="14" t="str"/>
      <x:c r="AA407" s="14" t="str">
        <x:v>https://thuvienphapluat.vn/van-ban/Giao-thong-Van-tai/Nghi-dinh-215-2026-ND-C%D0%A0-an-ninh-hang-khong-711200.aspx</x:v>
      </x:c>
      <x:c r="AB407" s="14" t="str">
        <x:v>an ninh; atm; anhk</x:v>
      </x:c>
    </x:row>
    <x:row r="408">
      <x:c r="A408" s="14" t="str">
        <x:v>VATM-0407</x:v>
      </x:c>
      <x:c r="B408" s="14" t="str">
        <x:v>25</x:v>
      </x:c>
      <x:c r="C408" s="14" t="str">
        <x:v>Nghị định 215/2026/NĐ-CP về an ninh hàng không</x:v>
      </x:c>
      <x:c r="D408" s="14" t="str">
        <x:v>Tong_hop_nhiem_vu_VATM_ND215_2026_ANHK.xlsx</x:v>
      </x:c>
      <x:c r="E408" s="14" t="str">
        <x:v>Nhiem_vu_VATM</x:v>
      </x:c>
      <x:c r="F408" s="56" t="n">
        <x:v>26</x:v>
      </x:c>
      <x:c r="G408" s="14" t="str">
        <x:v>Điều 40 khoản 2 điểm b</x:v>
      </x:c>
      <x:c r="H408" s="14" t="str">
        <x:v>An ninh hàng không</x:v>
      </x:c>
      <x:c r="I408" s="14" t="str">
        <x:v>Quản trị, phối hợp và giám sát ANHK</x:v>
      </x:c>
      <x:c r="J408" s="14" t="str">
        <x:v>Đối phó ban đầu, bảo vệ hiện trường</x:v>
      </x:c>
      <x:c r="K408" s="14" t="str">
        <x:v>Trực tiếp</x:v>
      </x:c>
      <x:c r="L408" s="14" t="str">
        <x:v>An ninh/bảo vệ</x:v>
      </x:c>
      <x:c r="M408" s="14" t="str">
        <x:v>ANSP</x:v>
      </x:c>
      <x:c r="N408" s="14" t="str">
        <x:v>Lực lượng KSANHK doanh nghiệp tham gia đối phó ban đầu và bảo vệ hiện trường vụ việc uy hiếp an ninh tại khu vực doanh nghiệp quản lý.</x:v>
      </x:c>
      <x:c r="O408" s="14" t="str">
        <x:v>Kích hoạt phản ứng ban đầu, báo động, cách ly, bảo vệ chứng cứ, chuyển giao cho lực lượng có thẩm quyền.</x:v>
      </x:c>
      <x:c r="P408" s="14" t="str">
        <x:v>Hiện trường nguyên trạng, phản ứng nhanh, không leo thang sự cố</x:v>
      </x:c>
      <x:c r="Q408" s="14" t="str">
        <x:v>Nhật ký vụ việc, biên bản bảo vệ hiện trường, camera, báo cáo chuyển giao</x:v>
      </x:c>
      <x:c r="R408" s="14" t="str">
        <x:v>SOP đối phó ban đầu tại cơ sở ANS; Checklist bảo vệ hiện trường và chuyển giao</x:v>
      </x:c>
      <x:c r="S408" s="14" t="str">
        <x:v>Ban An ninh hàng không</x:v>
      </x:c>
      <x:c r="T408" s="14" t="str">
        <x:v>Các Công ty Quản lý bay khu vực Bắc/Trung/Nam; Ban Không lưu; Ban Kỹ thuật - CNS/IT/Môi trường; Trung tâm Khí tượng hàng không; Trung tâm Thông báo tin tức hàng không; Ban An ninh hàng không</x:v>
      </x:c>
      <x:c r="U408" s="14" t="str">
        <x:v>Công an/Cảng vụ/Cục QLXNC</x:v>
      </x:c>
      <x:c r="V408" s="14" t="str">
        <x:v>Ngay khi phát sinh</x:v>
      </x:c>
      <x:c r="W408" s="14" t="str">
        <x:v>P1</x:v>
      </x:c>
      <x:c r="X408" s="14" t="str">
        <x:v>Rất cao</x:v>
      </x:c>
      <x:c r="Y408" s="14" t="str">
        <x:v>Chưa bắt đầu</x:v>
      </x:c>
      <x:c r="Z408" s="14" t="str"/>
      <x:c r="AA408" s="14" t="str">
        <x:v>https://thuvienphapluat.vn/van-ban/Giao-thong-Van-tai/Nghi-dinh-215-2026-ND-C%D0%A0-an-ninh-hang-khong-711200.aspx</x:v>
      </x:c>
      <x:c r="AB408" s="14" t="str">
        <x:v>an ninh; anhk</x:v>
      </x:c>
    </x:row>
    <x:row r="409">
      <x:c r="A409" s="14" t="str">
        <x:v>VATM-0408</x:v>
      </x:c>
      <x:c r="B409" s="14" t="str">
        <x:v>26</x:v>
      </x:c>
      <x:c r="C409" s="14" t="str">
        <x:v>Nghị định 215/2026/NĐ-CP về an ninh hàng không</x:v>
      </x:c>
      <x:c r="D409" s="14" t="str">
        <x:v>Tong_hop_nhiem_vu_VATM_ND215_2026_ANHK.xlsx</x:v>
      </x:c>
      <x:c r="E409" s="14" t="str">
        <x:v>Nhiem_vu_VATM</x:v>
      </x:c>
      <x:c r="F409" s="56" t="n">
        <x:v>27</x:v>
      </x:c>
      <x:c r="G409" s="14" t="str">
        <x:v>Điều 40 khoản 2 điểm c-d</x:v>
      </x:c>
      <x:c r="H409" s="14" t="str">
        <x:v>An ninh hàng không</x:v>
      </x:c>
      <x:c r="I409" s="14" t="str">
        <x:v>Quản trị, phối hợp và giám sát ANHK</x:v>
      </x:c>
      <x:c r="J409" s="14" t="str">
        <x:v>Phối hợp bảo đảm trật tự, lập biên bản vụ việc</x:v>
      </x:c>
      <x:c r="K409" s="14" t="str">
        <x:v>Trực tiếp</x:v>
      </x:c>
      <x:c r="L409" s="14" t="str">
        <x:v>An ninh/bảo vệ</x:v>
      </x:c>
      <x:c r="M409" s="14" t="str">
        <x:v>ANSP</x:v>
      </x:c>
      <x:c r="N409" s="14" t="str">
        <x:v>Phối hợp với cơ quan chức năng bảo đảm an ninh, trật tự và lập biên bản hành vi uy hiếp an ninh chuyển giao cơ quan có thẩm quyền.</x:v>
      </x:c>
      <x:c r="O409" s="14" t="str">
        <x:v>Chuẩn hóa biên bản, cách ghi nhận chứng cứ, quy trình chuyển giao đối tượng/vụ việc.</x:v>
      </x:c>
      <x:c r="P409" s="14" t="str">
        <x:v>Hồ sơ có giá trị pháp lý, không thất lạc chứng cứ</x:v>
      </x:c>
      <x:c r="Q409" s="14" t="str">
        <x:v>Biên bản vụ việc, biên bản bàn giao, hồ sơ chứng cứ</x:v>
      </x:c>
      <x:c r="R409" s="14" t="str">
        <x:v>Quy trình lập biên bản và chuyển giao vụ việc an ninh; Mẫu biên bản vụ việc uy hiếp an ninh ANS</x:v>
      </x:c>
      <x:c r="S409" s="14" t="str">
        <x:v>Ban An ninh hàng không; Văn phòng - Pháp chế</x:v>
      </x:c>
      <x:c r="T409" s="14" t="str">
        <x:v>Các Công ty Quản lý bay khu vực Bắc/Trung/Nam; Ban An ninh hàng không</x:v>
      </x:c>
      <x:c r="U409" s="14" t="str">
        <x:v>Công an, Cảng vụ</x:v>
      </x:c>
      <x:c r="V409" s="14" t="str">
        <x:v>Khi phát sinh</x:v>
      </x:c>
      <x:c r="W409" s="14" t="str">
        <x:v>P1</x:v>
      </x:c>
      <x:c r="X409" s="14" t="str">
        <x:v>Cao</x:v>
      </x:c>
      <x:c r="Y409" s="14" t="str">
        <x:v>Chưa bắt đầu</x:v>
      </x:c>
      <x:c r="Z409" s="14" t="str"/>
      <x:c r="AA409" s="14" t="str">
        <x:v>https://thuvienphapluat.vn/van-ban/Giao-thong-Van-tai/Nghi-dinh-215-2026-ND-C%D0%A0-an-ninh-hang-khong-711200.aspx</x:v>
      </x:c>
      <x:c r="AB409" s="14" t="str">
        <x:v>an ninh; anhk; phap che</x:v>
      </x:c>
    </x:row>
    <x:row r="410">
      <x:c r="A410" s="14" t="str">
        <x:v>VATM-0409</x:v>
      </x:c>
      <x:c r="B410" s="14" t="str">
        <x:v>27</x:v>
      </x:c>
      <x:c r="C410" s="14" t="str">
        <x:v>Nghị định 215/2026/NĐ-CP về an ninh hàng không</x:v>
      </x:c>
      <x:c r="D410" s="14" t="str">
        <x:v>Tong_hop_nhiem_vu_VATM_ND215_2026_ANHK.xlsx</x:v>
      </x:c>
      <x:c r="E410" s="14" t="str">
        <x:v>Nhiem_vu_VATM</x:v>
      </x:c>
      <x:c r="F410" s="56" t="n">
        <x:v>28</x:v>
      </x:c>
      <x:c r="G410" s="14" t="str">
        <x:v>Điều 40 khoản 2 điểm đ</x:v>
      </x:c>
      <x:c r="H410" s="14" t="str">
        <x:v>An ninh hàng không</x:v>
      </x:c>
      <x:c r="I410" s="14" t="str">
        <x:v>Khu vực hạn chế/kiểm soát ra vào</x:v>
      </x:c>
      <x:c r="J410" s="14" t="str">
        <x:v>Trang phục, phù hiệu, trang bị</x:v>
      </x:c>
      <x:c r="K410" s="14" t="str">
        <x:v>Trực tiếp</x:v>
      </x:c>
      <x:c r="L410" s="14" t="str">
        <x:v>An ninh/bảo vệ</x:v>
      </x:c>
      <x:c r="M410" s="14" t="str">
        <x:v>ANSP</x:v>
      </x:c>
      <x:c r="N410" s="14" t="str">
        <x:v>Lực lượng KSANHK doanh nghiệp có trang phục, phù hiệu trong chương trình an ninh; được trang bị thiết bị, phương tiện, công cụ hỗ trợ theo pháp luật.</x:v>
      </x:c>
      <x:c r="O410" s="14" t="str">
        <x:v>Lập định mức trang bị, quản lý cấp phát, bảo quản, sử dụng công cụ hỗ trợ theo quy định.</x:v>
      </x:c>
      <x:c r="P410" s="14" t="str">
        <x:v>Trang bị đầy đủ, đúng danh mục, được quản lý an toàn</x:v>
      </x:c>
      <x:c r="Q410" s="14" t="str">
        <x:v>Sổ cấp phát, kiểm kê trang bị, quy định sử dụng</x:v>
      </x:c>
      <x:c r="R410" s="14" t="str">
        <x:v>Quy trình quản lý trang phục/trang bị KSANHK VATM; Mẫu phiếu cấp phát/kiểm kê trang bị an ninh</x:v>
      </x:c>
      <x:c r="S410" s="14" t="str">
        <x:v>Ban An ninh hàng không</x:v>
      </x:c>
      <x:c r="T410" s="14" t="str">
        <x:v>Các Công ty Quản lý bay khu vực Bắc/Trung/Nam; Ban Tài chính; Ban An ninh hàng không</x:v>
      </x:c>
      <x:c r="U410" s="14" t="str">
        <x:v>Cục QLXNC</x:v>
      </x:c>
      <x:c r="V410" s="14" t="str">
        <x:v>Theo kế hoạch mua sắm; kiểm kê định kỳ</x:v>
      </x:c>
      <x:c r="W410" s="14" t="str">
        <x:v>P1</x:v>
      </x:c>
      <x:c r="X410" s="14" t="str">
        <x:v>Trung bình/Cao</x:v>
      </x:c>
      <x:c r="Y410" s="14" t="str">
        <x:v>Chưa bắt đầu</x:v>
      </x:c>
      <x:c r="Z410" s="14" t="str"/>
      <x:c r="AA410" s="14" t="str">
        <x:v>https://thuvienphapluat.vn/van-ban/Giao-thong-Van-tai/Nghi-dinh-215-2026-ND-C%D0%A0-an-ninh-hang-khong-711200.aspx</x:v>
      </x:c>
      <x:c r="AB410" s="14" t="str">
        <x:v>an ninh; anhk</x:v>
      </x:c>
    </x:row>
    <x:row r="411">
      <x:c r="A411" s="14" t="str">
        <x:v>VATM-0410</x:v>
      </x:c>
      <x:c r="B411" s="14" t="str">
        <x:v>28</x:v>
      </x:c>
      <x:c r="C411" s="14" t="str">
        <x:v>Nghị định 215/2026/NĐ-CP về an ninh hàng không</x:v>
      </x:c>
      <x:c r="D411" s="14" t="str">
        <x:v>Tong_hop_nhiem_vu_VATM_ND215_2026_ANHK.xlsx</x:v>
      </x:c>
      <x:c r="E411" s="14" t="str">
        <x:v>Nhiem_vu_VATM</x:v>
      </x:c>
      <x:c r="F411" s="56" t="n">
        <x:v>29</x:v>
      </x:c>
      <x:c r="G411" s="14" t="str">
        <x:v>Điều 41 khoản 2-4</x:v>
      </x:c>
      <x:c r="H411" s="14" t="str">
        <x:v>An ninh hàng không</x:v>
      </x:c>
      <x:c r="I411" s="14" t="str">
        <x:v>Khu vực hạn chế/kiểm soát ra vào</x:v>
      </x:c>
      <x:c r="J411" s="14" t="str">
        <x:v>Thẻ, giấy phép phục vụ chuyên cơ/chuyên khoang</x:v>
      </x:c>
      <x:c r="K411" s="14" t="str">
        <x:v>Trực tiếp</x:v>
      </x:c>
      <x:c r="L411" s="14" t="str">
        <x:v>An ninh/bảo vệ</x:v>
      </x:c>
      <x:c r="M411" s="14" t="str">
        <x:v>Doanh nghiệp điều hành bay/ANSP</x:v>
      </x:c>
      <x:c r="N411" s="14" t="str">
        <x:v>Đơn vị tham gia phục vụ chuyến bay chuyên cơ/chuyên khoang lập danh sách người, phương tiện đề nghị cấp thẻ/giấy phép dài hạn/ngắn hạn.</x:v>
      </x:c>
      <x:c r="O411" s="14" t="str">
        <x:v>Quản lý danh sách KSVKL, ATSEP, xe kỹ thuật, nhân sự trực phục vụ chuyên cơ; đề nghị cấp thẻ đúng hạn.</x:v>
      </x:c>
      <x:c r="P411" s="14" t="str">
        <x:v>Nhân sự/phương tiện VATM được cấp quyền hợp lệ khi phục vụ chuyên cơ</x:v>
      </x:c>
      <x:c r="Q411" s="14" t="str">
        <x:v>Danh sách nhân sự/phương tiện, công văn đề nghị, thẻ/giấy phép cấp</x:v>
      </x:c>
      <x:c r="R411" s="14" t="str">
        <x:v>Quy trình bảo đảm an ninh phục vụ chuyên cơ của VATM; Mẫu danh sách đề nghị cấp thẻ/giấy phép chuyên cơ</x:v>
      </x:c>
      <x:c r="S411" s="14" t="str">
        <x:v>Ban An ninh hàng không; Ban Không lưu; Ban Kỹ thuật - CNS/IT/Môi trường</x:v>
      </x:c>
      <x:c r="T411" s="14" t="str">
        <x:v>Các Công ty Quản lý bay khu vực Bắc/Trung/Nam; Ban An ninh hàng không</x:v>
      </x:c>
      <x:c r="U411" s="14" t="str">
        <x:v>Cục QLXNC, Cảng vụ, ACV</x:v>
      </x:c>
      <x:c r="V411" s="14" t="str">
        <x:v>Trước đợt phục vụ; cập nhật khi nhân sự/phương tiện thay đổi</x:v>
      </x:c>
      <x:c r="W411" s="14" t="str">
        <x:v>P1</x:v>
      </x:c>
      <x:c r="X411" s="14" t="str">
        <x:v>Cao</x:v>
      </x:c>
      <x:c r="Y411" s="14" t="str">
        <x:v>Chưa bắt đầu</x:v>
      </x:c>
      <x:c r="Z411" s="14" t="str"/>
      <x:c r="AA411" s="14" t="str">
        <x:v>https://thuvienphapluat.vn/van-ban/Giao-thong-Van-tai/Nghi-dinh-215-2026-ND-C%D0%A0-an-ninh-hang-khong-711200.aspx</x:v>
      </x:c>
      <x:c r="AB411" s="14" t="str">
        <x:v>an ninh; giay phep; cns</x:v>
      </x:c>
    </x:row>
    <x:row r="412">
      <x:c r="A412" s="14" t="str">
        <x:v>VATM-0411</x:v>
      </x:c>
      <x:c r="B412" s="14" t="str">
        <x:v>29</x:v>
      </x:c>
      <x:c r="C412" s="14" t="str">
        <x:v>Nghị định 215/2026/NĐ-CP về an ninh hàng không</x:v>
      </x:c>
      <x:c r="D412" s="14" t="str">
        <x:v>Tong_hop_nhiem_vu_VATM_ND215_2026_ANHK.xlsx</x:v>
      </x:c>
      <x:c r="E412" s="14" t="str">
        <x:v>Nhiem_vu_VATM</x:v>
      </x:c>
      <x:c r="F412" s="56" t="n">
        <x:v>30</x:v>
      </x:c>
      <x:c r="G412" s="14" t="str">
        <x:v>Điều 42-47</x:v>
      </x:c>
      <x:c r="H412" s="14" t="str">
        <x:v>An ninh hàng không</x:v>
      </x:c>
      <x:c r="I412" s="14" t="str">
        <x:v>An ninh hệ thống CNS/ATM/CNTT</x:v>
      </x:c>
      <x:c r="J412" s="14" t="str">
        <x:v>Bảo đảm an ninh chuyên cơ/chuyên khoang</x:v>
      </x:c>
      <x:c r="K412" s="14" t="str">
        <x:v>Phối hợp/Gián tiếp</x:v>
      </x:c>
      <x:c r="L412" s="14" t="str">
        <x:v>An ninh/bảo vệ</x:v>
      </x:c>
      <x:c r="M412" s="14" t="str">
        <x:v>Doanh nghiệp điều hành bay/ANSP</x:v>
      </x:c>
      <x:c r="N412" s="14" t="str">
        <x:v>Các quy định chuyên cơ chủ yếu áp dụng hãng/KSANHK cảng; VATM phải phối hợp ưu tiên điều hành bay, bảo đảm nhân sự, kênh liên lạc, bảo vệ thông tin lịch bay.</x:v>
      </x:c>
      <x:c r="O412" s="14" t="str">
        <x:v>Cập nhật quy trình phối hợp chuyên cơ, bảo mật thông tin, ưu tiên dịch vụ, phương án dự phòng CNS/ATM.</x:v>
      </x:c>
      <x:c r="P412" s="14" t="str">
        <x:v>Chuyến chuyên cơ/chuyên khoang được phục vụ an toàn, an ninh, bí mật, đúng kế hoạch</x:v>
      </x:c>
      <x:c r="Q412" s="14" t="str">
        <x:v>Lệnh phục vụ chuyên cơ, phân công trực, nhật ký điều hành, biên bản hiệp đồng</x:v>
      </x:c>
      <x:c r="R412" s="14" t="str">
        <x:v>SOP phục vụ chuyên cơ/chuyên khoang của VATM; Checklist bảo mật và phối hợp chuyên cơ</x:v>
      </x:c>
      <x:c r="S412" s="14" t="str">
        <x:v>Ban An ninh hàng không; Trung tâm Thông báo tin tức hàng không</x:v>
      </x:c>
      <x:c r="T412" s="14" t="str">
        <x:v>Các Công ty Quản lý bay khu vực Bắc/Trung/Nam; Ban Không lưu; Ban Kỹ thuật - CNS/IT/Môi trường; Trung tâm Thông báo tin tức hàng không; Ban An ninh hàng không</x:v>
      </x:c>
      <x:c r="U412" s="14" t="str">
        <x:v>CHKVN, Cục QLXNC, Cảnh vệ, ACV</x:v>
      </x:c>
      <x:c r="V412" s="14" t="str">
        <x:v>Theo từng chuyến/đợt chuyên cơ</x:v>
      </x:c>
      <x:c r="W412" s="14" t="str">
        <x:v>P1</x:v>
      </x:c>
      <x:c r="X412" s="14" t="str">
        <x:v>Rất cao</x:v>
      </x:c>
      <x:c r="Y412" s="14" t="str">
        <x:v>Chưa bắt đầu</x:v>
      </x:c>
      <x:c r="Z412" s="14" t="str"/>
      <x:c r="AA412" s="14" t="str">
        <x:v>https://thuvienphapluat.vn/van-ban/Giao-thong-Van-tai/Nghi-dinh-215-2026-ND-C%D0%A0-an-ninh-hang-khong-711200.aspx</x:v>
      </x:c>
      <x:c r="AB412" s="14" t="str">
        <x:v>an ninh; atm; cns; anhk; cang</x:v>
      </x:c>
    </x:row>
    <x:row r="413">
      <x:c r="A413" s="14" t="str">
        <x:v>VATM-0412</x:v>
      </x:c>
      <x:c r="B413" s="14" t="str">
        <x:v>30</x:v>
      </x:c>
      <x:c r="C413" s="14" t="str">
        <x:v>Nghị định 215/2026/NĐ-CP về an ninh hàng không</x:v>
      </x:c>
      <x:c r="D413" s="14" t="str">
        <x:v>Tong_hop_nhiem_vu_VATM_ND215_2026_ANHK.xlsx</x:v>
      </x:c>
      <x:c r="E413" s="14" t="str">
        <x:v>Nhiem_vu_VATM</x:v>
      </x:c>
      <x:c r="F413" s="56" t="n">
        <x:v>31</x:v>
      </x:c>
      <x:c r="G413" s="14" t="str">
        <x:v>Điều 49 khoản 2 điểm b-c</x:v>
      </x:c>
      <x:c r="H413" s="14" t="str">
        <x:v>An ninh hàng không</x:v>
      </x:c>
      <x:c r="I413" s="14" t="str">
        <x:v>Đào tạo/nhận thức an ninh</x:v>
      </x:c>
      <x:c r="J413" s="14" t="str">
        <x:v>Chấp hành chỉ đạo nhà chức trách an ninh</x:v>
      </x:c>
      <x:c r="K413" s="14" t="str">
        <x:v>Phối hợp/Gián tiếp</x:v>
      </x:c>
      <x:c r="L413" s="14" t="str">
        <x:v>An ninh/bảo vệ</x:v>
      </x:c>
      <x:c r="M413" s="14" t="str">
        <x:v>Doanh nghiệp hàng không/ANSP</x:v>
      </x:c>
      <x:c r="N413" s="14" t="str">
        <x:v>Nhà chức trách an ninh có quyền đình chỉ nhân viên hàng không vi phạm và chỉ đạo đơn vị ngành hàng không thực hiện biện pháp khẩn cấp phục vụ quốc phòng, an ninh, khẩn nguy.</x:v>
      </x:c>
      <x:c r="O413" s="14" t="str">
        <x:v>Thiết lập quy trình tiếp nhận-lưu hành-thực hiện lệnh; tạm dừng nhân viên/thiết bị/dịch vụ khi có yêu cầu hợp pháp.</x:v>
      </x:c>
      <x:c r="P413" s="14" t="str">
        <x:v>Thực hiện đầy đủ, đúng hạn chỉ đạo của nhà chức trách</x:v>
      </x:c>
      <x:c r="Q413" s="14" t="str">
        <x:v>Công văn chỉ đạo, quyết định thực hiện, báo cáo hoàn thành</x:v>
      </x:c>
      <x:c r="R413" s="14" t="str">
        <x:v>Quy trình tiếp nhận và thực hiện lệnh AVSEC khẩn cấp; Mẫu báo cáo thực hiện chỉ đạo nhà chức trách</x:v>
      </x:c>
      <x:c r="S413" s="14" t="str">
        <x:v>Ban An ninh hàng không</x:v>
      </x:c>
      <x:c r="T413" s="14" t="str">
        <x:v>Các Công ty Quản lý bay khu vực Bắc/Trung/Nam; Ban An ninh hàng không</x:v>
      </x:c>
      <x:c r="U413" s="14" t="str">
        <x:v>Cục QLXNC</x:v>
      </x:c>
      <x:c r="V413" s="14" t="str">
        <x:v>Khi có quyết định/chỉ đạo</x:v>
      </x:c>
      <x:c r="W413" s="14" t="str">
        <x:v>P1</x:v>
      </x:c>
      <x:c r="X413" s="14" t="str">
        <x:v>Rất cao</x:v>
      </x:c>
      <x:c r="Y413" s="14" t="str">
        <x:v>Chưa bắt đầu</x:v>
      </x:c>
      <x:c r="Z413" s="14" t="str"/>
      <x:c r="AA413" s="14" t="str">
        <x:v>https://thuvienphapluat.vn/van-ban/Giao-thong-Van-tai/Nghi-dinh-215-2026-ND-C%D0%A0-an-ninh-hang-khong-711200.aspx</x:v>
      </x:c>
      <x:c r="AB413" s="14" t="str">
        <x:v>an ninh</x:v>
      </x:c>
    </x:row>
    <x:row r="414">
      <x:c r="A414" s="14" t="str">
        <x:v>VATM-0413</x:v>
      </x:c>
      <x:c r="B414" s="14" t="str">
        <x:v>31</x:v>
      </x:c>
      <x:c r="C414" s="14" t="str">
        <x:v>Nghị định 215/2026/NĐ-CP về an ninh hàng không</x:v>
      </x:c>
      <x:c r="D414" s="14" t="str">
        <x:v>Tong_hop_nhiem_vu_VATM_ND215_2026_ANHK.xlsx</x:v>
      </x:c>
      <x:c r="E414" s="14" t="str">
        <x:v>Nhiem_vu_VATM</x:v>
      </x:c>
      <x:c r="F414" s="56" t="n">
        <x:v>32</x:v>
      </x:c>
      <x:c r="G414" s="14" t="str">
        <x:v>Điều 50-52</x:v>
      </x:c>
      <x:c r="H414" s="14" t="str">
        <x:v>An ninh hàng không</x:v>
      </x:c>
      <x:c r="I414" s="14" t="str">
        <x:v>Khu vực hạn chế/kiểm soát ra vào</x:v>
      </x:c>
      <x:c r="J414" s="14" t="str">
        <x:v>Thanh tra, kiểm tra, giám sát an ninh</x:v>
      </x:c>
      <x:c r="K414" s="14" t="str">
        <x:v>Phối hợp/Gián tiếp</x:v>
      </x:c>
      <x:c r="L414" s="14" t="str">
        <x:v>An ninh/bảo vệ</x:v>
      </x:c>
      <x:c r="M414" s="14" t="str">
        <x:v>ANSP</x:v>
      </x:c>
      <x:c r="N414" s="14" t="str">
        <x:v>Giám sát viên an ninh có quyền tiếp cận khu vực hạn chế, yêu cầu tài liệu, đình chỉ trang thiết bị/phương tiện uy hiếp an ninh; VATM phải phối hợp.</x:v>
      </x:c>
      <x:c r="O414" s="14" t="str">
        <x:v>Chuẩn bị hồ sơ, người làm việc, quyền tiếp cận có kiểm soát; khắc phục ngay yêu cầu hợp pháp.</x:v>
      </x:c>
      <x:c r="P414" s="14" t="str">
        <x:v>Kiểm tra không cản trở dịch vụ ANS, khắc phục đúng hạn</x:v>
      </x:c>
      <x:c r="Q414" s="14" t="str">
        <x:v>Biên bản kiểm tra, danh mục tài liệu cung cấp, CAPA</x:v>
      </x:c>
      <x:c r="R414" s="14" t="str">
        <x:v>Quy trình đón tiếp đoàn kiểm tra an ninh hàng không; Mẫu CAPA sau kiểm tra AVSEC</x:v>
      </x:c>
      <x:c r="S414" s="14" t="str">
        <x:v>Ban An ninh hàng không; Văn phòng - Pháp chế</x:v>
      </x:c>
      <x:c r="T414" s="14" t="str">
        <x:v>Các Công ty Quản lý bay khu vực Bắc/Trung/Nam; Ban An ninh hàng không</x:v>
      </x:c>
      <x:c r="U414" s="14" t="str">
        <x:v>Cục QLXNC/Giám sát viên</x:v>
      </x:c>
      <x:c r="V414" s="14" t="str">
        <x:v>Khi kiểm tra/giám sát</x:v>
      </x:c>
      <x:c r="W414" s="14" t="str">
        <x:v>P1</x:v>
      </x:c>
      <x:c r="X414" s="14" t="str">
        <x:v>Cao</x:v>
      </x:c>
      <x:c r="Y414" s="14" t="str">
        <x:v>Chưa bắt đầu</x:v>
      </x:c>
      <x:c r="Z414" s="14" t="str"/>
      <x:c r="AA414" s="14" t="str">
        <x:v>https://thuvienphapluat.vn/van-ban/Giao-thong-Van-tai/Nghi-dinh-215-2026-ND-C%D0%A0-an-ninh-hang-khong-711200.aspx</x:v>
      </x:c>
      <x:c r="AB414" s="14" t="str">
        <x:v>an ninh; atm; phap che</x:v>
      </x:c>
    </x:row>
    <x:row r="415">
      <x:c r="A415" s="14" t="str">
        <x:v>VATM-0414</x:v>
      </x:c>
      <x:c r="B415" s="14" t="str">
        <x:v>32</x:v>
      </x:c>
      <x:c r="C415" s="14" t="str">
        <x:v>Nghị định 215/2026/NĐ-CP về an ninh hàng không</x:v>
      </x:c>
      <x:c r="D415" s="14" t="str">
        <x:v>Tong_hop_nhiem_vu_VATM_ND215_2026_ANHK.xlsx</x:v>
      </x:c>
      <x:c r="E415" s="14" t="str">
        <x:v>Nhiem_vu_VATM</x:v>
      </x:c>
      <x:c r="F415" s="56" t="n">
        <x:v>33</x:v>
      </x:c>
      <x:c r="G415" s="14" t="str">
        <x:v>Điều 53 khoản 2 điểm c</x:v>
      </x:c>
      <x:c r="H415" s="14" t="str">
        <x:v>An ninh hàng không</x:v>
      </x:c>
      <x:c r="I415" s="14" t="str">
        <x:v>Khu vực hạn chế/kiểm soát ra vào</x:v>
      </x:c>
      <x:c r="J415" s="14" t="str">
        <x:v>Tạo thuận lợi hàng không, chia sẻ dữ liệu</x:v>
      </x:c>
      <x:c r="K415" s="14" t="str">
        <x:v>Phối hợp/Gián tiếp</x:v>
      </x:c>
      <x:c r="L415" s="14" t="str">
        <x:v>An ninh/bảo vệ</x:v>
      </x:c>
      <x:c r="M415" s="14" t="str">
        <x:v>ANSP/doanh nghiệp hàng không</x:v>
      </x:c>
      <x:c r="N415" s="14" t="str">
        <x:v>Chương trình tạo thuận lợi yêu cầu cơ chế phối hợp liên ngành, kết nối/chia sẻ dữ liệu giữa cơ quan, doanh nghiệp.</x:v>
      </x:c>
      <x:c r="O415" s="14" t="str">
        <x:v>Xác định dữ liệu VATM có thể chia sẻ an toàn: slot/ATFM, FPL, NOTAM/AIM, MET; bảo vệ thông tin hạn chế.</x:v>
      </x:c>
      <x:c r="P415" s="14" t="str">
        <x:v>Chia sẻ dữ liệu đúng mục đích, bảo mật, hỗ trợ tạo thuận lợi</x:v>
      </x:c>
      <x:c r="Q415" s="14" t="str">
        <x:v>Quy chế chia sẻ dữ liệu, API logs, thỏa thuận kết nối</x:v>
      </x:c>
      <x:c r="R415" s="14" t="str">
        <x:v>Quy trình chia sẻ dữ liệu ANS phục vụ tạo thuận lợi; Mẫu thỏa thuận chia sẻ dữ liệu liên ngành</x:v>
      </x:c>
      <x:c r="S415" s="14" t="str">
        <x:v>Ban An ninh hàng không; Ban Kế hoạch doanh nghiệp - Chuyển đổi số; Ban Kỹ thuật - CNS/IT/Môi trường; Trung tâm Thông báo tin tức hàng không; Trung tâm Quản lý luồng không lưu</x:v>
      </x:c>
      <x:c r="T415" s="14" t="str">
        <x:v>Các Công ty Quản lý bay khu vực Bắc/Trung/Nam; Ban An ninh hàng không</x:v>
      </x:c>
      <x:c r="U415" s="14" t="str">
        <x:v>Cục QLXNC, CHKVN, Hải quan, ACV</x:v>
      </x:c>
      <x:c r="V415" s="14" t="str">
        <x:v>Theo chương trình quốc gia; dự án số hóa</x:v>
      </x:c>
      <x:c r="W415" s="14" t="str">
        <x:v>P1</x:v>
      </x:c>
      <x:c r="X415" s="14" t="str">
        <x:v>Trung bình/Cao</x:v>
      </x:c>
      <x:c r="Y415" s="14" t="str">
        <x:v>Chưa bắt đầu</x:v>
      </x:c>
      <x:c r="Z415" s="14" t="str"/>
      <x:c r="AA415" s="14" t="str">
        <x:v>https://thuvienphapluat.vn/van-ban/Giao-thong-Van-tai/Nghi-dinh-215-2026-ND-C%D0%A0-an-ninh-hang-khong-711200.aspx</x:v>
      </x:c>
      <x:c r="AB415" s="14" t="str">
        <x:v>an ninh; du lieu; cns</x:v>
      </x:c>
    </x:row>
    <x:row r="416">
      <x:c r="A416" s="14" t="str">
        <x:v>VATM-0415</x:v>
      </x:c>
      <x:c r="B416" s="14" t="str">
        <x:v>33</x:v>
      </x:c>
      <x:c r="C416" s="14" t="str">
        <x:v>Nghị định 215/2026/NĐ-CP về an ninh hàng không</x:v>
      </x:c>
      <x:c r="D416" s="14" t="str">
        <x:v>Tong_hop_nhiem_vu_VATM_ND215_2026_ANHK.xlsx</x:v>
      </x:c>
      <x:c r="E416" s="14" t="str">
        <x:v>Nhiem_vu_VATM</x:v>
      </x:c>
      <x:c r="F416" s="56" t="n">
        <x:v>34</x:v>
      </x:c>
      <x:c r="G416" s="14" t="str">
        <x:v>Điều 55</x:v>
      </x:c>
      <x:c r="H416" s="14" t="str">
        <x:v>An ninh hàng không</x:v>
      </x:c>
      <x:c r="I416" s="14" t="str">
        <x:v>An ninh hệ thống CNS/ATM/CNTT</x:v>
      </x:c>
      <x:c r="J416" s="14" t="str">
        <x:v>Kết cấu hạ tầng an ninh</x:v>
      </x:c>
      <x:c r="K416" s="14" t="str">
        <x:v>Trực tiếp</x:v>
      </x:c>
      <x:c r="L416" s="14" t="str">
        <x:v>An ninh/bảo vệ</x:v>
      </x:c>
      <x:c r="M416" s="14" t="str">
        <x:v>ANSP</x:v>
      </x:c>
      <x:c r="N416" s="14" t="str">
        <x:v>Yêu cầu hạ tầng an ninh chủ yếu tại cảng; với cơ sở ANS, cần đối chiếu hệ thống hàng rào/camera/cổng/chiếu sáng/cảnh báo với rủi ro an ninh.</x:v>
      </x:c>
      <x:c r="O416" s="14" t="str">
        <x:v>Gap assessment hạ tầng an ninh ACC, TWR, radar, trạm thông tin; lồng yêu cầu AVSEC vào thiết kế dự án.</x:v>
      </x:c>
      <x:c r="P416" s="14" t="str">
        <x:v>Hạ tầng cơ sở ANS đáp ứng rủi ro và yêu cầu bảo vệ</x:v>
      </x:c>
      <x:c r="Q416" s="14" t="str">
        <x:v>Biên bản đánh giá, hồ sơ thiết kế, nghiệm thu hạ tầng an ninh</x:v>
      </x:c>
      <x:c r="R416" s="14" t="str">
        <x:v>Quy trình thẩm định yêu cầu an ninh trong dự án ANS; Checklist hạ tầng an ninh cơ sở ANS</x:v>
      </x:c>
      <x:c r="S416" s="14" t="str">
        <x:v>Ban An ninh hàng không</x:v>
      </x:c>
      <x:c r="T416" s="14" t="str">
        <x:v>Các Công ty Quản lý bay khu vực Bắc/Trung/Nam; Ban An ninh hàng không</x:v>
      </x:c>
      <x:c r="U416" s="14" t="str">
        <x:v>Cục QLXNC, CHKVN</x:v>
      </x:c>
      <x:c r="V416" s="14" t="str">
        <x:v>Khi xây mới/cải tạo; rà soát hằng năm</x:v>
      </x:c>
      <x:c r="W416" s="14" t="str">
        <x:v>P1</x:v>
      </x:c>
      <x:c r="X416" s="14" t="str">
        <x:v>Cao</x:v>
      </x:c>
      <x:c r="Y416" s="14" t="str">
        <x:v>Chưa bắt đầu</x:v>
      </x:c>
      <x:c r="Z416" s="14" t="str"/>
      <x:c r="AA416" s="14" t="str">
        <x:v>https://thuvienphapluat.vn/van-ban/Giao-thong-Van-tai/Nghi-dinh-215-2026-ND-C%D0%A0-an-ninh-hang-khong-711200.aspx</x:v>
      </x:c>
      <x:c r="AB416" s="14" t="str">
        <x:v>an ninh; atm; cns; ans; cang</x:v>
      </x:c>
    </x:row>
    <x:row r="417">
      <x:c r="A417" s="14" t="str">
        <x:v>VATM-0416</x:v>
      </x:c>
      <x:c r="B417" s="14" t="str">
        <x:v>34</x:v>
      </x:c>
      <x:c r="C417" s="14" t="str">
        <x:v>Nghị định 215/2026/NĐ-CP về an ninh hàng không</x:v>
      </x:c>
      <x:c r="D417" s="14" t="str">
        <x:v>Tong_hop_nhiem_vu_VATM_ND215_2026_ANHK.xlsx</x:v>
      </x:c>
      <x:c r="E417" s="14" t="str">
        <x:v>Nhiem_vu_VATM</x:v>
      </x:c>
      <x:c r="F417" s="56" t="n">
        <x:v>35</x:v>
      </x:c>
      <x:c r="G417" s="14" t="str">
        <x:v>Điều 56</x:v>
      </x:c>
      <x:c r="H417" s="14" t="str">
        <x:v>An ninh hàng không</x:v>
      </x:c>
      <x:c r="I417" s="14" t="str">
        <x:v>Quản trị, phối hợp và giám sát ANHK</x:v>
      </x:c>
      <x:c r="J417" s="14" t="str">
        <x:v>Trang bị, thiết bị an ninh</x:v>
      </x:c>
      <x:c r="K417" s="14" t="str">
        <x:v>Trực tiếp</x:v>
      </x:c>
      <x:c r="L417" s="14" t="str">
        <x:v>An ninh/bảo vệ</x:v>
      </x:c>
      <x:c r="M417" s="14" t="str">
        <x:v>ANSP</x:v>
      </x:c>
      <x:c r="N417" s="14" t="str">
        <x:v>Trang bị/phương tiện/thiết bị bảo đảm an ninh phải đầy đủ, phù hợp tiêu chuẩn, định mức và kết quả đánh giá rủi ro.</x:v>
      </x:c>
      <x:c r="O417" s="14" t="str">
        <x:v>Lập danh mục camera, ACS, báo động, soi chiếu/cổng từ nếu cần, bộ đàm, công cụ hỗ trợ; kiểm định/bảo trì.</x:v>
      </x:c>
      <x:c r="P417" s="14" t="str">
        <x:v>Trang bị an ninh vận hành tin cậy, đủ bao phủ vùng trọng yếu</x:v>
      </x:c>
      <x:c r="Q417" s="14" t="str">
        <x:v>Danh mục tài sản, hồ sơ mua sắm, bảo trì, kiểm định</x:v>
      </x:c>
      <x:c r="R417" s="14" t="str">
        <x:v>Quy trình quản lý vòng đời thiết bị an ninh VATM; Mẫu danh mục/phiếu kiểm tra thiết bị an ninh</x:v>
      </x:c>
      <x:c r="S417" s="14" t="str">
        <x:v>Ban An ninh hàng không</x:v>
      </x:c>
      <x:c r="T417" s="14" t="str">
        <x:v>Các Công ty Quản lý bay khu vực Bắc/Trung/Nam; Ban Tài chính; Ban An ninh hàng không</x:v>
      </x:c>
      <x:c r="U417" s="14" t="str">
        <x:v>Cục QLXNC</x:v>
      </x:c>
      <x:c r="V417" s="14" t="str">
        <x:v>Kế hoạch năm; khi nâng cấp</x:v>
      </x:c>
      <x:c r="W417" s="14" t="str">
        <x:v>P1</x:v>
      </x:c>
      <x:c r="X417" s="14" t="str">
        <x:v>Cao</x:v>
      </x:c>
      <x:c r="Y417" s="14" t="str">
        <x:v>Chưa bắt đầu</x:v>
      </x:c>
      <x:c r="Z417" s="14" t="str"/>
      <x:c r="AA417" s="14" t="str">
        <x:v>https://thuvienphapluat.vn/van-ban/Giao-thong-Van-tai/Nghi-dinh-215-2026-ND-C%D0%A0-an-ninh-hang-khong-711200.aspx</x:v>
      </x:c>
      <x:c r="AB417" s="14" t="str">
        <x:v>an ninh; anhk</x:v>
      </x:c>
    </x:row>
    <x:row r="418">
      <x:c r="A418" s="14" t="str">
        <x:v>VATM-0417</x:v>
      </x:c>
      <x:c r="B418" s="14" t="str">
        <x:v>35</x:v>
      </x:c>
      <x:c r="C418" s="14" t="str">
        <x:v>Nghị định 215/2026/NĐ-CP về an ninh hàng không</x:v>
      </x:c>
      <x:c r="D418" s="14" t="str">
        <x:v>Tong_hop_nhiem_vu_VATM_ND215_2026_ANHK.xlsx</x:v>
      </x:c>
      <x:c r="E418" s="14" t="str">
        <x:v>Nhiem_vu_VATM</x:v>
      </x:c>
      <x:c r="F418" s="56" t="n">
        <x:v>36</x:v>
      </x:c>
      <x:c r="G418" s="14" t="str">
        <x:v>Điều 57-59 (nếu có liên quan)</x:v>
      </x:c>
      <x:c r="H418" s="14" t="str">
        <x:v>An ninh hàng không</x:v>
      </x:c>
      <x:c r="I418" s="14" t="str">
        <x:v>An ninh hệ thống CNS/ATM/CNTT</x:v>
      </x:c>
      <x:c r="J418" s="14" t="str">
        <x:v>Dữ liệu hành khách/hàng hóa</x:v>
      </x:c>
      <x:c r="K418" s="14" t="str">
        <x:v>Phối hợp/Gián tiếp</x:v>
      </x:c>
      <x:c r="L418" s="14" t="str">
        <x:v>An ninh/bảo vệ</x:v>
      </x:c>
      <x:c r="M418" s="14" t="str">
        <x:v>ANSP</x:v>
      </x:c>
      <x:c r="N418" s="14" t="str">
        <x:v>Các nghĩa vụ về dữ liệu hành khách/hàng hóa chủ yếu áp dụng hãng, cảng, KSANHK; VATM cần bảo vệ dữ liệu ANS và không xử lý ngoài thẩm quyền.</x:v>
      </x:c>
      <x:c r="O418" s="14" t="str">
        <x:v>Rà soát dữ liệu được nhận/chia sẻ, phân quyền và retention; không lưu dữ liệu hành khách nếu không có nhiệm vụ.</x:v>
      </x:c>
      <x:c r="P418" s="14" t="str">
        <x:v>Tuân thủ bảo mật dữ liệu, tránh xử lý sai phạm vi</x:v>
      </x:c>
      <x:c r="Q418" s="14" t="str">
        <x:v>Sổ đăng ký xử lý dữ liệu, chính sách quyền truy cập</x:v>
      </x:c>
      <x:c r="R418" s="14" t="str">
        <x:v>Quy trình quản trị dữ liệu ANS và dữ liệu liên ngành; Mẫu DPIA/đánh giá chia sẻ dữ liệu</x:v>
      </x:c>
      <x:c r="S418" s="14" t="str">
        <x:v>Ban An ninh hàng không; Ban Kế hoạch doanh nghiệp - Chuyển đổi số; Ban Kỹ thuật - CNS/IT/Môi trường; Trung tâm Thông báo tin tức hàng không</x:v>
      </x:c>
      <x:c r="T418" s="14" t="str">
        <x:v>Các Công ty Quản lý bay khu vực Bắc/Trung/Nam; Ban An ninh hàng không</x:v>
      </x:c>
      <x:c r="U418" s="14" t="str">
        <x:v>Cục QLXNC, CHKVN</x:v>
      </x:c>
      <x:c r="V418" s="14" t="str">
        <x:v>Khi có kết nối dữ liệu</x:v>
      </x:c>
      <x:c r="W418" s="14" t="str">
        <x:v>P2</x:v>
      </x:c>
      <x:c r="X418" s="14" t="str">
        <x:v>Trung bình</x:v>
      </x:c>
      <x:c r="Y418" s="14" t="str">
        <x:v>Chưa bắt đầu</x:v>
      </x:c>
      <x:c r="Z418" s="14" t="str"/>
      <x:c r="AA418" s="14" t="str">
        <x:v>https://thuvienphapluat.vn/van-ban/Giao-thong-Van-tai/Nghi-dinh-215-2026-ND-C%D0%A0-an-ninh-hang-khong-711200.aspx</x:v>
      </x:c>
      <x:c r="AB418" s="14" t="str">
        <x:v>an ninh; atm; cns; ans; anhk; cang; du lieu</x:v>
      </x:c>
    </x:row>
    <x:row r="419">
      <x:c r="A419" s="14" t="str">
        <x:v>VATM-0418</x:v>
      </x:c>
      <x:c r="B419" s="14" t="str">
        <x:v>36</x:v>
      </x:c>
      <x:c r="C419" s="14" t="str">
        <x:v>Nghị định 215/2026/NĐ-CP về an ninh hàng không</x:v>
      </x:c>
      <x:c r="D419" s="14" t="str">
        <x:v>Tong_hop_nhiem_vu_VATM_ND215_2026_ANHK.xlsx</x:v>
      </x:c>
      <x:c r="E419" s="14" t="str">
        <x:v>Nhiem_vu_VATM</x:v>
      </x:c>
      <x:c r="F419" s="56" t="n">
        <x:v>37</x:v>
      </x:c>
      <x:c r="G419" s="14" t="str">
        <x:v>Điều 60-63; Phụ lục III</x:v>
      </x:c>
      <x:c r="H419" s="14" t="str">
        <x:v>An ninh hàng không</x:v>
      </x:c>
      <x:c r="I419" s="14" t="str">
        <x:v>Khu vực hạn chế/kiểm soát ra vào</x:v>
      </x:c>
      <x:c r="J419" s="14" t="str">
        <x:v>Phí bảo đảm an ninh</x:v>
      </x:c>
      <x:c r="K419" s="14" t="str">
        <x:v>Phối hợp/Gián tiếp</x:v>
      </x:c>
      <x:c r="L419" s="14" t="str">
        <x:v>An ninh/bảo vệ</x:v>
      </x:c>
      <x:c r="M419" s="14" t="str">
        <x:v>ANSP/doanh nghiệp hàng không</x:v>
      </x:c>
      <x:c r="N419" s="14" t="str">
        <x:v>Nghĩa vụ thu/nộp phí chủ yếu thuộc Cục QLXNC, Công an tỉnh, hãng hàng không; VATM rà soát chi phí/nguồn kinh phí nếu cung cấp lực lượng, trang bị an ninh nội bộ.</x:v>
      </x:c>
      <x:c r="O419" s="14" t="str">
        <x:v>Lập dự toán kinh phí bảo đảm an ninh cho cơ sở ANS; không tự thu phí nếu không được giao.</x:v>
      </x:c>
      <x:c r="P419" s="14" t="str">
        <x:v>Kinh phí an ninh có căn cứ, phục vụ nhiệm vụ theo NĐ</x:v>
      </x:c>
      <x:c r="Q419" s="14" t="str">
        <x:v>Dự toán, quyết toán chi phí an ninh, hợp đồng dịch vụ nếu có</x:v>
      </x:c>
      <x:c r="R419" s="14" t="str">
        <x:v>Quy trình lập dự toán chi phí an ninh ANS; Mẫu thuyết minh nhu cầu kinh phí an ninh cơ sở ANS</x:v>
      </x:c>
      <x:c r="S419" s="14" t="str">
        <x:v>Ban An ninh hàng không; Ban Tài chính</x:v>
      </x:c>
      <x:c r="T419" s="14" t="str">
        <x:v>Các Công ty Quản lý bay khu vực Bắc/Trung/Nam; Ban An ninh hàng không</x:v>
      </x:c>
      <x:c r="U419" s="14" t="str">
        <x:v>Cục QLXNC, Bộ Công an</x:v>
      </x:c>
      <x:c r="V419" s="14" t="str">
        <x:v>Hằng năm</x:v>
      </x:c>
      <x:c r="W419" s="14" t="str">
        <x:v>P2</x:v>
      </x:c>
      <x:c r="X419" s="14" t="str">
        <x:v>Trung bình</x:v>
      </x:c>
      <x:c r="Y419" s="14" t="str">
        <x:v>Chưa bắt đầu</x:v>
      </x:c>
      <x:c r="Z419" s="14" t="str"/>
      <x:c r="AA419" s="14" t="str">
        <x:v>https://thuvienphapluat.vn/van-ban/Giao-thong-Van-tai/Nghi-dinh-215-2026-ND-C%D0%A0-an-ninh-hang-khong-711200.aspx</x:v>
      </x:c>
      <x:c r="AB419" s="14" t="str">
        <x:v>an ninh; atm; tai chinh</x:v>
      </x:c>
    </x:row>
    <x:row r="420">
      <x:c r="A420" s="14" t="str">
        <x:v>VATM-0419</x:v>
      </x:c>
      <x:c r="B420" s="14" t="str">
        <x:v>37</x:v>
      </x:c>
      <x:c r="C420" s="14" t="str">
        <x:v>Nghị định 215/2026/NĐ-CP về an ninh hàng không</x:v>
      </x:c>
      <x:c r="D420" s="14" t="str">
        <x:v>Tong_hop_nhiem_vu_VATM_ND215_2026_ANHK.xlsx</x:v>
      </x:c>
      <x:c r="E420" s="14" t="str">
        <x:v>Nhiem_vu_VATM</x:v>
      </x:c>
      <x:c r="F420" s="56" t="n">
        <x:v>38</x:v>
      </x:c>
      <x:c r="G420" s="14" t="str">
        <x:v>Điều 67 khoản 2</x:v>
      </x:c>
      <x:c r="H420" s="14" t="str">
        <x:v>An ninh hàng không</x:v>
      </x:c>
      <x:c r="I420" s="14" t="str">
        <x:v>An ninh hệ thống CNS/ATM/CNTT</x:v>
      </x:c>
      <x:c r="J420" s="14" t="str">
        <x:v>Phối hợp với Bộ Xây dựng/CHKVN</x:v>
      </x:c>
      <x:c r="K420" s="14" t="str">
        <x:v>Phối hợp/Gián tiếp</x:v>
      </x:c>
      <x:c r="L420" s="14" t="str">
        <x:v>An ninh/bảo vệ</x:v>
      </x:c>
      <x:c r="M420" s="14" t="str">
        <x:v>ANSP</x:v>
      </x:c>
      <x:c r="N420" s="14" t="str">
        <x:v>Bộ Xây dựng chỉ đạo cơ quan, đơn vị ngành hàng không phối hợp Cục QLXNC về biện pháp an ninh, đánh giá rủi ro, bảo vệ an ninh nội bộ, hệ thống thông tin chuyên ngành.</x:v>
      </x:c>
      <x:c r="O420" s="14" t="str">
        <x:v>Chuẩn bị đầu mối, báo cáo định kỳ và dữ liệu phục vụ đánh giá rủi ro/hệ thống thông tin chuyên ngành.</x:v>
      </x:c>
      <x:c r="P420" s="14" t="str">
        <x:v>VATM cung cấp đầy đủ thông tin, thực hiện yêu cầu điều phối ngành</x:v>
      </x:c>
      <x:c r="Q420" s="14" t="str">
        <x:v>Công văn phối hợp, báo cáo rủi ro, hồ sơ cyber/AVSEC</x:v>
      </x:c>
      <x:c r="R420" s="14" t="str">
        <x:v>Quy trình phối hợp nhà chức trách về AVSEC/Cyber ANS; Mẫu báo cáo rủi ro AVSEC gửi cơ quan quản lý</x:v>
      </x:c>
      <x:c r="S420" s="14" t="str">
        <x:v>Ban An ninh hàng không; Ban Kế hoạch doanh nghiệp - Chuyển đổi số; Ban Kỹ thuật - CNS/IT/Môi trường</x:v>
      </x:c>
      <x:c r="T420" s="14" t="str">
        <x:v>Các Công ty Quản lý bay khu vực Bắc/Trung/Nam; Ban An ninh hàng không</x:v>
      </x:c>
      <x:c r="U420" s="14" t="str">
        <x:v>Bộ Xây dựng, CHKVN, Cục QLXNC</x:v>
      </x:c>
      <x:c r="V420" s="14" t="str">
        <x:v>Theo chỉ đạo/định kỳ</x:v>
      </x:c>
      <x:c r="W420" s="14" t="str">
        <x:v>P1</x:v>
      </x:c>
      <x:c r="X420" s="14" t="str">
        <x:v>Cao</x:v>
      </x:c>
      <x:c r="Y420" s="14" t="str">
        <x:v>Chưa bắt đầu</x:v>
      </x:c>
      <x:c r="Z420" s="14" t="str"/>
      <x:c r="AA420" s="14" t="str">
        <x:v>https://thuvienphapluat.vn/van-ban/Giao-thong-Van-tai/Nghi-dinh-215-2026-ND-C%D0%A0-an-ninh-hang-khong-711200.aspx</x:v>
      </x:c>
      <x:c r="AB420" s="14" t="str">
        <x:v>an ninh; atm; cns</x:v>
      </x:c>
    </x:row>
    <x:row r="421">
      <x:c r="A421" s="14" t="str">
        <x:v>VATM-0420</x:v>
      </x:c>
      <x:c r="B421" s="14" t="str">
        <x:v>38</x:v>
      </x:c>
      <x:c r="C421" s="14" t="str">
        <x:v>Nghị định 215/2026/NĐ-CP về an ninh hàng không</x:v>
      </x:c>
      <x:c r="D421" s="14" t="str">
        <x:v>Tong_hop_nhiem_vu_VATM_ND215_2026_ANHK.xlsx</x:v>
      </x:c>
      <x:c r="E421" s="14" t="str">
        <x:v>Nhiem_vu_VATM</x:v>
      </x:c>
      <x:c r="F421" s="56" t="n">
        <x:v>39</x:v>
      </x:c>
      <x:c r="G421" s="14" t="str">
        <x:v>Điều 68 khoản 1,2,5</x:v>
      </x:c>
      <x:c r="H421" s="14" t="str">
        <x:v>An ninh hàng không</x:v>
      </x:c>
      <x:c r="I421" s="14" t="str">
        <x:v>Ứng phó sự cố/diễn tập ANHK</x:v>
      </x:c>
      <x:c r="J421" s="14" t="str">
        <x:v>Phối hợp Bộ Quốc phòng</x:v>
      </x:c>
      <x:c r="K421" s="14" t="str">
        <x:v>Phối hợp/Gián tiếp</x:v>
      </x:c>
      <x:c r="L421" s="14" t="str">
        <x:v>An ninh/bảo vệ</x:v>
      </x:c>
      <x:c r="M421" s="14" t="str">
        <x:v>Doanh nghiệp điều hành bay/ANSP</x:v>
      </x:c>
      <x:c r="N421" s="14" t="str">
        <x:v>Bộ Quốc phòng quản lý, bảo vệ vùng trời, phối hợp đánh giá nguy cơ; quy định hiệp đồng bảo vệ chuyên cơ/chuyên khoang trong vùng trời/FIR Việt Nam.</x:v>
      </x:c>
      <x:c r="O421" s="14" t="str">
        <x:v>Rà soát quy chế phối hợp quân-dân sự, kênh trao đổi thông tin đe dọa, ưu tiên chuyến bay chuyên cơ.</x:v>
      </x:c>
      <x:c r="P421" s="14" t="str">
        <x:v>Hiệp đồng vùng trời thông suốt khi có nguy cơ/can thiệp bất hợp pháp</x:v>
      </x:c>
      <x:c r="Q421" s="14" t="str">
        <x:v>Biên bản hiệp đồng, điện văn, nhật ký phối hợp</x:v>
      </x:c>
      <x:c r="R421" s="14" t="str">
        <x:v>SOP phối hợp quân-dân sự về AVSEC trong ATM; Checklist phối hợp Quân sự-ATC khi có can thiệp bất hợp pháp</x:v>
      </x:c>
      <x:c r="S421" s="14" t="str">
        <x:v>Ban An ninh hàng không</x:v>
      </x:c>
      <x:c r="T421" s="14" t="str">
        <x:v>Các Công ty Quản lý bay khu vực Bắc/Trung/Nam; Ban Kỹ thuật - CNS/IT/Môi trường; Trung tâm Quản lý luồng không lưu; Ban An ninh hàng không</x:v>
      </x:c>
      <x:c r="U421" s="14" t="str">
        <x:v>Quân chủng PK-KQ/Bộ Quốc phòng</x:v>
      </x:c>
      <x:c r="V421" s="14" t="str">
        <x:v>Định kỳ/khi chuyên cơ/khẩn nguy</x:v>
      </x:c>
      <x:c r="W421" s="14" t="str">
        <x:v>P1</x:v>
      </x:c>
      <x:c r="X421" s="14" t="str">
        <x:v>Rất cao</x:v>
      </x:c>
      <x:c r="Y421" s="14" t="str">
        <x:v>Chưa bắt đầu</x:v>
      </x:c>
      <x:c r="Z421" s="14" t="str"/>
      <x:c r="AA421" s="14" t="str">
        <x:v>https://thuvienphapluat.vn/van-ban/Giao-thong-Van-tai/Nghi-dinh-215-2026-ND-C%D0%A0-an-ninh-hang-khong-711200.aspx</x:v>
      </x:c>
      <x:c r="AB421" s="14" t="str">
        <x:v>an ninh; anhk</x:v>
      </x:c>
    </x:row>
    <x:row r="422">
      <x:c r="A422" s="14" t="str">
        <x:v>VATM-0421</x:v>
      </x:c>
      <x:c r="B422" s="14" t="str">
        <x:v>39</x:v>
      </x:c>
      <x:c r="C422" s="14" t="str">
        <x:v>Nghị định 215/2026/NĐ-CP về an ninh hàng không</x:v>
      </x:c>
      <x:c r="D422" s="14" t="str">
        <x:v>Tong_hop_nhiem_vu_VATM_ND215_2026_ANHK.xlsx</x:v>
      </x:c>
      <x:c r="E422" s="14" t="str">
        <x:v>Nhiem_vu_VATM</x:v>
      </x:c>
      <x:c r="F422" s="56" t="n">
        <x:v>40</x:v>
      </x:c>
      <x:c r="G422" s="14" t="str">
        <x:v>Phụ lục I</x:v>
      </x:c>
      <x:c r="H422" s="14" t="str">
        <x:v>An ninh hàng không</x:v>
      </x:c>
      <x:c r="I422" s="14" t="str">
        <x:v>Ứng phó sự cố/diễn tập ANHK</x:v>
      </x:c>
      <x:c r="J422" s="14" t="str">
        <x:v>Phương án khẩn nguy cấp tỉnh</x:v>
      </x:c>
      <x:c r="K422" s="14" t="str">
        <x:v>Phối hợp/Gián tiếp</x:v>
      </x:c>
      <x:c r="L422" s="14" t="str">
        <x:v>An ninh/bảo vệ</x:v>
      </x:c>
      <x:c r="M422" s="14" t="str">
        <x:v>ANSP</x:v>
      </x:c>
      <x:c r="N422" s="14" t="str">
        <x:v>Phương án cấp tỉnh có nội dung công trình BĐHĐB tại địa phương; VATM phải cung cấp thông tin cơ sở, lực lượng, phương án phối hợp.</x:v>
      </x:c>
      <x:c r="O422" s="14" t="str">
        <x:v>Cử đầu mối tham gia xây dựng/diễn tập; cập nhật sơ đồ cơ sở, kênh liên lạc, nguồn lực.</x:v>
      </x:c>
      <x:c r="P422" s="14" t="str">
        <x:v>VATM được tích hợp đúng vai trò trong phương án khẩn nguy địa phương</x:v>
      </x:c>
      <x:c r="Q422" s="14" t="str">
        <x:v>Phiếu cung cấp thông tin, biên bản họp, phương án cấp tỉnh có mục VATM</x:v>
      </x:c>
      <x:c r="R422" s="14" t="str">
        <x:v>Quy trình phối hợp phương án khẩn nguy địa phương; Mẫu thông tin cơ sở ANS gửi địa phương</x:v>
      </x:c>
      <x:c r="S422" s="14" t="str">
        <x:v>Ban An ninh hàng không; Các Công ty Quản lý bay khu vực Bắc/Trung/Nam</x:v>
      </x:c>
      <x:c r="T422" s="14" t="str">
        <x:v>Các Công ty Quản lý bay khu vực Bắc/Trung/Nam; Ban An ninh hàng không</x:v>
      </x:c>
      <x:c r="U422" s="14" t="str">
        <x:v>Ban chỉ đạo PCTB địa phương, Công an</x:v>
      </x:c>
      <x:c r="V422" s="14" t="str">
        <x:v>Khi địa phương xây/cập nhật phương án</x:v>
      </x:c>
      <x:c r="W422" s="14" t="str">
        <x:v>P1</x:v>
      </x:c>
      <x:c r="X422" s="14" t="str">
        <x:v>Cao</x:v>
      </x:c>
      <x:c r="Y422" s="14" t="str">
        <x:v>Chưa bắt đầu</x:v>
      </x:c>
      <x:c r="Z422" s="14" t="str"/>
      <x:c r="AA422" s="14" t="str">
        <x:v>https://thuvienphapluat.vn/van-ban/Giao-thong-Van-tai/Nghi-dinh-215-2026-ND-C%D0%A0-an-ninh-hang-khong-711200.aspx</x:v>
      </x:c>
      <x:c r="AB422" s="14" t="str">
        <x:v>an ninh; anhk; atm</x:v>
      </x:c>
    </x:row>
    <x:row r="423">
      <x:c r="A423" s="14" t="str">
        <x:v>VATM-0422</x:v>
      </x:c>
      <x:c r="B423" s="14" t="str">
        <x:v>40</x:v>
      </x:c>
      <x:c r="C423" s="14" t="str">
        <x:v>Nghị định 215/2026/NĐ-CP về an ninh hàng không</x:v>
      </x:c>
      <x:c r="D423" s="14" t="str">
        <x:v>Tong_hop_nhiem_vu_VATM_ND215_2026_ANHK.xlsx</x:v>
      </x:c>
      <x:c r="E423" s="14" t="str">
        <x:v>Nhiem_vu_VATM</x:v>
      </x:c>
      <x:c r="F423" s="56" t="n">
        <x:v>41</x:v>
      </x:c>
      <x:c r="G423" s="14" t="str">
        <x:v>Phụ lục II mục 1.3-1.6</x:v>
      </x:c>
      <x:c r="H423" s="14" t="str">
        <x:v>An ninh hàng không</x:v>
      </x:c>
      <x:c r="I423" s="14" t="str">
        <x:v>Khu vực hạn chế/kiểm soát ra vào</x:v>
      </x:c>
      <x:c r="J423" s="14" t="str">
        <x:v>Đề cương phương án khẩn nguy cảng/cơ sở</x:v>
      </x:c>
      <x:c r="K423" s="14" t="str">
        <x:v>Trực tiếp</x:v>
      </x:c>
      <x:c r="L423" s="14" t="str">
        <x:v>An ninh/bảo vệ</x:v>
      </x:c>
      <x:c r="M423" s="14" t="str">
        <x:v>ANSP</x:v>
      </x:c>
      <x:c r="N423" s="14" t="str">
        <x:v>Phụ lục II yêu cầu nêu chức năng nhiệm vụ các cơ quan, quy định phối hợp, cơ sở bảo đảm, huấn luyện/diễn tập.</x:v>
      </x:c>
      <x:c r="O423" s="14" t="str">
        <x:v>Chuẩn hóa đề cương phương án của VATM theo mục 1.3-1.6; có ma trận lực lượng và hậu cần.</x:v>
      </x:c>
      <x:c r="P423" s="14" t="str">
        <x:v>Phương án không thiếu chức năng, phối hợp, hậu cần, đào tạo</x:v>
      </x:c>
      <x:c r="Q423" s="14" t="str">
        <x:v>Phương án khẩn nguy VATM, phụ lục lực lượng, biên bản hiệp đồng</x:v>
      </x:c>
      <x:c r="R423" s="14" t="str">
        <x:v>Quy trình lập phương án theo Phụ lục II; Mẫu ma trận lực lượng khẩn nguy AVSEC</x:v>
      </x:c>
      <x:c r="S423" s="14" t="str">
        <x:v>Ban An ninh hàng không</x:v>
      </x:c>
      <x:c r="T423" s="14" t="str">
        <x:v>Các Công ty Quản lý bay khu vực Bắc/Trung/Nam; Ban An ninh hàng không</x:v>
      </x:c>
      <x:c r="U423" s="14" t="str">
        <x:v>Cục QLXNC, Cảng vụ, ACV</x:v>
      </x:c>
      <x:c r="V423" s="14" t="str">
        <x:v>Khi lập/cập nhật phương án</x:v>
      </x:c>
      <x:c r="W423" s="14" t="str">
        <x:v>P1</x:v>
      </x:c>
      <x:c r="X423" s="14" t="str">
        <x:v>Cao</x:v>
      </x:c>
      <x:c r="Y423" s="14" t="str">
        <x:v>Chưa bắt đầu</x:v>
      </x:c>
      <x:c r="Z423" s="14" t="str"/>
      <x:c r="AA423" s="14" t="str">
        <x:v>https://thuvienphapluat.vn/van-ban/Giao-thong-Van-tai/Nghi-dinh-215-2026-ND-C%D0%A0-an-ninh-hang-khong-711200.aspx</x:v>
      </x:c>
      <x:c r="AB423" s="14" t="str">
        <x:v>an ninh; huan luyen</x:v>
      </x:c>
    </x:row>
    <x:row r="424">
      <x:c r="A424" s="14" t="str">
        <x:v>VATM-0423</x:v>
      </x:c>
      <x:c r="B424" s="14" t="str">
        <x:v>41</x:v>
      </x:c>
      <x:c r="C424" s="14" t="str">
        <x:v>Nghị định 215/2026/NĐ-CP về an ninh hàng không</x:v>
      </x:c>
      <x:c r="D424" s="14" t="str">
        <x:v>Tong_hop_nhiem_vu_VATM_ND215_2026_ANHK.xlsx</x:v>
      </x:c>
      <x:c r="E424" s="14" t="str">
        <x:v>Nhiem_vu_VATM</x:v>
      </x:c>
      <x:c r="F424" s="56" t="n">
        <x:v>42</x:v>
      </x:c>
      <x:c r="G424" s="14" t="str">
        <x:v>Điều 7 khoản 1 điểm m,n; Điều 26; Điều 29</x:v>
      </x:c>
      <x:c r="H424" s="14" t="str">
        <x:v>An ninh hàng không</x:v>
      </x:c>
      <x:c r="I424" s="14" t="str">
        <x:v>Khu vực hạn chế/kiểm soát ra vào</x:v>
      </x:c>
      <x:c r="J424" s="14" t="str">
        <x:v>Bảo vệ cơ sở ANS trọng yếu</x:v>
      </x:c>
      <x:c r="K424" s="14" t="str">
        <x:v>Trực tiếp</x:v>
      </x:c>
      <x:c r="L424" s="14" t="str">
        <x:v>An ninh/bảo vệ</x:v>
      </x:c>
      <x:c r="M424" s="14" t="str">
        <x:v>ANSP</x:v>
      </x:c>
      <x:c r="N424" s="14" t="str">
        <x:v>Thiết lập bảo vệ an ninh riêng đối với ACC Hà Nội/Hồ Chí Minh, gồm khu vực hạn chế, bảo vệ hệ thống thông tin, phương án khẩn nguy và duy trì dịch vụ khi bị đe dọa.</x:v>
      </x:c>
      <x:c r="O424" s="14" t="str">
        <x:v>Lập hồ sơ an ninh cơ sở, kiểm soát vật lý, phân quyền hệ thống, contingency và diễn tập.</x:v>
      </x:c>
      <x:c r="P424" s="14" t="str">
        <x:v>Cơ sở trọng yếu có hồ sơ an ninh hoàn chỉnh, luôn sẵn sàng kiểm tra</x:v>
      </x:c>
      <x:c r="Q424" s="14" t="str">
        <x:v>Hồ sơ an ninh cơ sở, sơ đồ, danh sách quyền, nhật ký kiểm tra</x:v>
      </x:c>
      <x:c r="R424" s="14" t="str">
        <x:v>SOP an ninh cơ sở ACC Hà Nội/Hồ Chí Minh; Checklist an ninh cơ sở ACC Hà Nội/Hồ Chí Minh</x:v>
      </x:c>
      <x:c r="S424" s="14" t="str">
        <x:v>Ban An ninh hàng không</x:v>
      </x:c>
      <x:c r="T424" s="14" t="str">
        <x:v>Các Công ty Quản lý bay khu vực Bắc/Trung/Nam; Ban An ninh hàng không</x:v>
      </x:c>
      <x:c r="U424" s="14" t="str">
        <x:v>Ban AN-AT, CNS/CNTT, Công an/Cảng vụ</x:v>
      </x:c>
      <x:c r="V424" s="14" t="str">
        <x:v>Rà soát hằng năm; khi thay đổi khai thác</x:v>
      </x:c>
      <x:c r="W424" s="14" t="str">
        <x:v>P1</x:v>
      </x:c>
      <x:c r="X424" s="14" t="str">
        <x:v>Rất cao</x:v>
      </x:c>
      <x:c r="Y424" s="14" t="str">
        <x:v>Chưa bắt đầu</x:v>
      </x:c>
      <x:c r="Z424" s="14" t="str"/>
      <x:c r="AA424" s="14" t="str">
        <x:v>https://thuvienphapluat.vn/van-ban/Giao-thong-Van-tai/Nghi-dinh-215-2026-ND-C%D0%A0-an-ninh-hang-khong-711200.aspx</x:v>
      </x:c>
      <x:c r="AB424" s="14" t="str">
        <x:v>an ninh</x:v>
      </x:c>
    </x:row>
    <x:row r="425">
      <x:c r="A425" s="14" t="str">
        <x:v>VATM-0424</x:v>
      </x:c>
      <x:c r="B425" s="14" t="str">
        <x:v>42</x:v>
      </x:c>
      <x:c r="C425" s="14" t="str">
        <x:v>Nghị định 215/2026/NĐ-CP về an ninh hàng không</x:v>
      </x:c>
      <x:c r="D425" s="14" t="str">
        <x:v>Tong_hop_nhiem_vu_VATM_ND215_2026_ANHK.xlsx</x:v>
      </x:c>
      <x:c r="E425" s="14" t="str">
        <x:v>Nhiem_vu_VATM</x:v>
      </x:c>
      <x:c r="F425" s="56" t="n">
        <x:v>43</x:v>
      </x:c>
      <x:c r="G425" s="14" t="str">
        <x:v>Điều 7 khoản 1 điểm m,n; Điều 26; Điều 29</x:v>
      </x:c>
      <x:c r="H425" s="14" t="str">
        <x:v>An ninh hàng không</x:v>
      </x:c>
      <x:c r="I425" s="14" t="str">
        <x:v>Khu vực hạn chế/kiểm soát ra vào</x:v>
      </x:c>
      <x:c r="J425" s="14" t="str">
        <x:v>Bảo vệ cơ sở ANS trọng yếu</x:v>
      </x:c>
      <x:c r="K425" s="14" t="str">
        <x:v>Trực tiếp</x:v>
      </x:c>
      <x:c r="L425" s="14" t="str">
        <x:v>An ninh/bảo vệ</x:v>
      </x:c>
      <x:c r="M425" s="14" t="str">
        <x:v>ANSP</x:v>
      </x:c>
      <x:c r="N425" s="14" t="str">
        <x:v>Thiết lập bảo vệ an ninh riêng đối với APP/TWR tại các cảng, gồm khu vực hạn chế, bảo vệ hệ thống thông tin, phương án khẩn nguy và duy trì dịch vụ khi bị đe dọa.</x:v>
      </x:c>
      <x:c r="O425" s="14" t="str">
        <x:v>Lập hồ sơ an ninh cơ sở, kiểm soát vật lý, phân quyền hệ thống, contingency và diễn tập.</x:v>
      </x:c>
      <x:c r="P425" s="14" t="str">
        <x:v>Cơ sở trọng yếu có hồ sơ an ninh hoàn chỉnh, luôn sẵn sàng kiểm tra</x:v>
      </x:c>
      <x:c r="Q425" s="14" t="str">
        <x:v>Hồ sơ an ninh cơ sở, sơ đồ, danh sách quyền, nhật ký kiểm tra</x:v>
      </x:c>
      <x:c r="R425" s="14" t="str">
        <x:v>SOP an ninh cơ sở APP/TWR tại các cảng; Checklist an ninh cơ sở APP/TWR tại các cảng</x:v>
      </x:c>
      <x:c r="S425" s="14" t="str">
        <x:v>Ban An ninh hàng không</x:v>
      </x:c>
      <x:c r="T425" s="14" t="str">
        <x:v>Các Công ty Quản lý bay khu vực Bắc/Trung/Nam; Ban An ninh hàng không</x:v>
      </x:c>
      <x:c r="U425" s="14" t="str">
        <x:v>Ban AN-AT, CNS/CNTT, Công an/Cảng vụ</x:v>
      </x:c>
      <x:c r="V425" s="14" t="str">
        <x:v>Rà soát hằng năm; khi thay đổi khai thác</x:v>
      </x:c>
      <x:c r="W425" s="14" t="str">
        <x:v>P1</x:v>
      </x:c>
      <x:c r="X425" s="14" t="str">
        <x:v>Rất cao</x:v>
      </x:c>
      <x:c r="Y425" s="14" t="str">
        <x:v>Chưa bắt đầu</x:v>
      </x:c>
      <x:c r="Z425" s="14" t="str"/>
      <x:c r="AA425" s="14" t="str">
        <x:v>https://thuvienphapluat.vn/van-ban/Giao-thong-Van-tai/Nghi-dinh-215-2026-ND-C%D0%A0-an-ninh-hang-khong-711200.aspx</x:v>
      </x:c>
      <x:c r="AB425" s="14" t="str">
        <x:v>an ninh; cang</x:v>
      </x:c>
    </x:row>
    <x:row r="426">
      <x:c r="A426" s="14" t="str">
        <x:v>VATM-0425</x:v>
      </x:c>
      <x:c r="B426" s="14" t="str">
        <x:v>43</x:v>
      </x:c>
      <x:c r="C426" s="14" t="str">
        <x:v>Nghị định 215/2026/NĐ-CP về an ninh hàng không</x:v>
      </x:c>
      <x:c r="D426" s="14" t="str">
        <x:v>Tong_hop_nhiem_vu_VATM_ND215_2026_ANHK.xlsx</x:v>
      </x:c>
      <x:c r="E426" s="14" t="str">
        <x:v>Nhiem_vu_VATM</x:v>
      </x:c>
      <x:c r="F426" s="56" t="n">
        <x:v>44</x:v>
      </x:c>
      <x:c r="G426" s="14" t="str">
        <x:v>Điều 7 khoản 1 điểm m,n; Điều 26; Điều 29</x:v>
      </x:c>
      <x:c r="H426" s="14" t="str">
        <x:v>An ninh hàng không</x:v>
      </x:c>
      <x:c r="I426" s="14" t="str">
        <x:v>Khu vực hạn chế/kiểm soát ra vào</x:v>
      </x:c>
      <x:c r="J426" s="14" t="str">
        <x:v>Bảo vệ cơ sở ANS trọng yếu</x:v>
      </x:c>
      <x:c r="K426" s="14" t="str">
        <x:v>Trực tiếp</x:v>
      </x:c>
      <x:c r="L426" s="14" t="str">
        <x:v>An ninh/bảo vệ</x:v>
      </x:c>
      <x:c r="M426" s="14" t="str">
        <x:v>ANSP</x:v>
      </x:c>
      <x:c r="N426" s="14" t="str">
        <x:v>Thiết lập bảo vệ an ninh riêng đối với Trạm radar giám sát, gồm khu vực hạn chế, bảo vệ hệ thống thông tin, phương án khẩn nguy và duy trì dịch vụ khi bị đe dọa.</x:v>
      </x:c>
      <x:c r="O426" s="14" t="str">
        <x:v>Lập hồ sơ an ninh cơ sở, kiểm soát vật lý, phân quyền hệ thống, contingency và diễn tập.</x:v>
      </x:c>
      <x:c r="P426" s="14" t="str">
        <x:v>Cơ sở trọng yếu có hồ sơ an ninh hoàn chỉnh, luôn sẵn sàng kiểm tra</x:v>
      </x:c>
      <x:c r="Q426" s="14" t="str">
        <x:v>Hồ sơ an ninh cơ sở, sơ đồ, danh sách quyền, nhật ký kiểm tra</x:v>
      </x:c>
      <x:c r="R426" s="14" t="str">
        <x:v>SOP an ninh cơ sở Trạm radar giám sát; Checklist an ninh cơ sở Trạm radar giám sát</x:v>
      </x:c>
      <x:c r="S426" s="14" t="str">
        <x:v>Ban An ninh hàng không</x:v>
      </x:c>
      <x:c r="T426" s="14" t="str">
        <x:v>Các Công ty Quản lý bay khu vực Bắc/Trung/Nam; Ban An ninh hàng không</x:v>
      </x:c>
      <x:c r="U426" s="14" t="str">
        <x:v>Ban AN-AT, CNS/CNTT, Công an/Cảng vụ</x:v>
      </x:c>
      <x:c r="V426" s="14" t="str">
        <x:v>Rà soát hằng năm; khi thay đổi khai thác</x:v>
      </x:c>
      <x:c r="W426" s="14" t="str">
        <x:v>P1</x:v>
      </x:c>
      <x:c r="X426" s="14" t="str">
        <x:v>Rất cao</x:v>
      </x:c>
      <x:c r="Y426" s="14" t="str">
        <x:v>Chưa bắt đầu</x:v>
      </x:c>
      <x:c r="Z426" s="14" t="str"/>
      <x:c r="AA426" s="14" t="str">
        <x:v>https://thuvienphapluat.vn/van-ban/Giao-thong-Van-tai/Nghi-dinh-215-2026-ND-C%D0%A0-an-ninh-hang-khong-711200.aspx</x:v>
      </x:c>
      <x:c r="AB426" s="14" t="str">
        <x:v>an ninh</x:v>
      </x:c>
    </x:row>
    <x:row r="427">
      <x:c r="A427" s="14" t="str">
        <x:v>VATM-0426</x:v>
      </x:c>
      <x:c r="B427" s="14" t="str">
        <x:v>44</x:v>
      </x:c>
      <x:c r="C427" s="14" t="str">
        <x:v>Nghị định 215/2026/NĐ-CP về an ninh hàng không</x:v>
      </x:c>
      <x:c r="D427" s="14" t="str">
        <x:v>Tong_hop_nhiem_vu_VATM_ND215_2026_ANHK.xlsx</x:v>
      </x:c>
      <x:c r="E427" s="14" t="str">
        <x:v>Nhiem_vu_VATM</x:v>
      </x:c>
      <x:c r="F427" s="56" t="n">
        <x:v>45</x:v>
      </x:c>
      <x:c r="G427" s="14" t="str">
        <x:v>Điều 7 khoản 1 điểm m,n; Điều 26; Điều 29</x:v>
      </x:c>
      <x:c r="H427" s="14" t="str">
        <x:v>An ninh hàng không</x:v>
      </x:c>
      <x:c r="I427" s="14" t="str">
        <x:v>Khu vực hạn chế/kiểm soát ra vào</x:v>
      </x:c>
      <x:c r="J427" s="14" t="str">
        <x:v>Bảo vệ cơ sở ANS trọng yếu</x:v>
      </x:c>
      <x:c r="K427" s="14" t="str">
        <x:v>Trực tiếp</x:v>
      </x:c>
      <x:c r="L427" s="14" t="str">
        <x:v>An ninh/bảo vệ</x:v>
      </x:c>
      <x:c r="M427" s="14" t="str">
        <x:v>ANSP</x:v>
      </x:c>
      <x:c r="N427" s="14" t="str">
        <x:v>Thiết lập bảo vệ an ninh riêng đối với Trạm thông tin phục vụ điều hành bay, gồm khu vực hạn chế, bảo vệ hệ thống thông tin, phương án khẩn nguy và duy trì dịch vụ khi bị đe dọa.</x:v>
      </x:c>
      <x:c r="O427" s="14" t="str">
        <x:v>Lập hồ sơ an ninh cơ sở, kiểm soát vật lý, phân quyền hệ thống, contingency và diễn tập.</x:v>
      </x:c>
      <x:c r="P427" s="14" t="str">
        <x:v>Cơ sở trọng yếu có hồ sơ an ninh hoàn chỉnh, luôn sẵn sàng kiểm tra</x:v>
      </x:c>
      <x:c r="Q427" s="14" t="str">
        <x:v>Hồ sơ an ninh cơ sở, sơ đồ, danh sách quyền, nhật ký kiểm tra</x:v>
      </x:c>
      <x:c r="R427" s="14" t="str">
        <x:v>SOP an ninh cơ sở Trạm thông tin phục vụ điều hành bay; Checklist an ninh cơ sở Trạm thông tin phục vụ điều hành bay</x:v>
      </x:c>
      <x:c r="S427" s="14" t="str">
        <x:v>Ban An ninh hàng không</x:v>
      </x:c>
      <x:c r="T427" s="14" t="str">
        <x:v>Các Công ty Quản lý bay khu vực Bắc/Trung/Nam; Ban An ninh hàng không</x:v>
      </x:c>
      <x:c r="U427" s="14" t="str">
        <x:v>Ban AN-AT, CNS/CNTT, Công an/Cảng vụ</x:v>
      </x:c>
      <x:c r="V427" s="14" t="str">
        <x:v>Rà soát hằng năm; khi thay đổi khai thác</x:v>
      </x:c>
      <x:c r="W427" s="14" t="str">
        <x:v>P1</x:v>
      </x:c>
      <x:c r="X427" s="14" t="str">
        <x:v>Rất cao</x:v>
      </x:c>
      <x:c r="Y427" s="14" t="str">
        <x:v>Chưa bắt đầu</x:v>
      </x:c>
      <x:c r="Z427" s="14" t="str"/>
      <x:c r="AA427" s="14" t="str">
        <x:v>https://thuvienphapluat.vn/van-ban/Giao-thong-Van-tai/Nghi-dinh-215-2026-ND-C%D0%A0-an-ninh-hang-khong-711200.aspx</x:v>
      </x:c>
      <x:c r="AB427" s="14" t="str">
        <x:v>an ninh</x:v>
      </x:c>
    </x:row>
    <x:row r="428">
      <x:c r="A428" s="14" t="str">
        <x:v>VATM-0427</x:v>
      </x:c>
      <x:c r="B428" s="14" t="str">
        <x:v>45</x:v>
      </x:c>
      <x:c r="C428" s="14" t="str">
        <x:v>Nghị định 215/2026/NĐ-CP về an ninh hàng không</x:v>
      </x:c>
      <x:c r="D428" s="14" t="str">
        <x:v>Tong_hop_nhiem_vu_VATM_ND215_2026_ANHK.xlsx</x:v>
      </x:c>
      <x:c r="E428" s="14" t="str">
        <x:v>Nhiem_vu_VATM</x:v>
      </x:c>
      <x:c r="F428" s="56" t="n">
        <x:v>46</x:v>
      </x:c>
      <x:c r="G428" s="14" t="str">
        <x:v>Điều 7 khoản 1 điểm m,n; Điều 26; Điều 29</x:v>
      </x:c>
      <x:c r="H428" s="14" t="str">
        <x:v>An ninh hàng không</x:v>
      </x:c>
      <x:c r="I428" s="14" t="str">
        <x:v>Khu vực hạn chế/kiểm soát ra vào</x:v>
      </x:c>
      <x:c r="J428" s="14" t="str">
        <x:v>Bảo vệ cơ sở ANS trọng yếu</x:v>
      </x:c>
      <x:c r="K428" s="14" t="str">
        <x:v>Trực tiếp</x:v>
      </x:c>
      <x:c r="L428" s="14" t="str">
        <x:v>An ninh/bảo vệ</x:v>
      </x:c>
      <x:c r="M428" s="14" t="str">
        <x:v>ANSP</x:v>
      </x:c>
      <x:c r="N428" s="14" t="str">
        <x:v>Thiết lập bảo vệ an ninh riêng đối với Trung tâm ATFM, gồm khu vực hạn chế, bảo vệ hệ thống thông tin, phương án khẩn nguy và duy trì dịch vụ khi bị đe dọa.</x:v>
      </x:c>
      <x:c r="O428" s="14" t="str">
        <x:v>Lập hồ sơ an ninh cơ sở, kiểm soát vật lý, phân quyền hệ thống, contingency và diễn tập.</x:v>
      </x:c>
      <x:c r="P428" s="14" t="str">
        <x:v>Cơ sở trọng yếu có hồ sơ an ninh hoàn chỉnh, luôn sẵn sàng kiểm tra</x:v>
      </x:c>
      <x:c r="Q428" s="14" t="str">
        <x:v>Hồ sơ an ninh cơ sở, sơ đồ, danh sách quyền, nhật ký kiểm tra</x:v>
      </x:c>
      <x:c r="R428" s="14" t="str">
        <x:v>SOP an ninh cơ sở Trung tâm ATFM; Checklist an ninh cơ sở Trung tâm ATFM</x:v>
      </x:c>
      <x:c r="S428" s="14" t="str">
        <x:v>Ban An ninh hàng không</x:v>
      </x:c>
      <x:c r="T428" s="14" t="str">
        <x:v>Các Công ty Quản lý bay khu vực Bắc/Trung/Nam; Ban An ninh hàng không</x:v>
      </x:c>
      <x:c r="U428" s="14" t="str">
        <x:v>Ban AN-AT, CNS/CNTT, Công an/Cảng vụ</x:v>
      </x:c>
      <x:c r="V428" s="14" t="str">
        <x:v>Rà soát hằng năm; khi thay đổi khai thác</x:v>
      </x:c>
      <x:c r="W428" s="14" t="str">
        <x:v>P1</x:v>
      </x:c>
      <x:c r="X428" s="14" t="str">
        <x:v>Rất cao</x:v>
      </x:c>
      <x:c r="Y428" s="14" t="str">
        <x:v>Chưa bắt đầu</x:v>
      </x:c>
      <x:c r="Z428" s="14" t="str"/>
      <x:c r="AA428" s="14" t="str">
        <x:v>https://thuvienphapluat.vn/van-ban/Giao-thong-Van-tai/Nghi-dinh-215-2026-ND-C%D0%A0-an-ninh-hang-khong-711200.aspx</x:v>
      </x:c>
      <x:c r="AB428" s="14" t="str">
        <x:v>an ninh; atfm</x:v>
      </x:c>
    </x:row>
    <x:row r="429">
      <x:c r="A429" s="14" t="str">
        <x:v>VATM-0428</x:v>
      </x:c>
      <x:c r="B429" s="14" t="str">
        <x:v>46</x:v>
      </x:c>
      <x:c r="C429" s="14" t="str">
        <x:v>Nghị định 215/2026/NĐ-CP về an ninh hàng không</x:v>
      </x:c>
      <x:c r="D429" s="14" t="str">
        <x:v>Tong_hop_nhiem_vu_VATM_ND215_2026_ANHK.xlsx</x:v>
      </x:c>
      <x:c r="E429" s="14" t="str">
        <x:v>Nhiem_vu_VATM</x:v>
      </x:c>
      <x:c r="F429" s="56" t="n">
        <x:v>47</x:v>
      </x:c>
      <x:c r="G429" s="14" t="str">
        <x:v>Điều 7 khoản 1 điểm m,n; Điều 26; Điều 29</x:v>
      </x:c>
      <x:c r="H429" s="14" t="str">
        <x:v>An ninh hàng không</x:v>
      </x:c>
      <x:c r="I429" s="14" t="str">
        <x:v>Khu vực hạn chế/kiểm soát ra vào</x:v>
      </x:c>
      <x:c r="J429" s="14" t="str">
        <x:v>Bảo vệ cơ sở ANS trọng yếu</x:v>
      </x:c>
      <x:c r="K429" s="14" t="str">
        <x:v>Trực tiếp</x:v>
      </x:c>
      <x:c r="L429" s="14" t="str">
        <x:v>An ninh/bảo vệ</x:v>
      </x:c>
      <x:c r="M429" s="14" t="str">
        <x:v>ANSP</x:v>
      </x:c>
      <x:c r="N429" s="14" t="str">
        <x:v>Thiết lập bảo vệ an ninh riêng đối với Cơ sở AIS/AIM, gồm khu vực hạn chế, bảo vệ hệ thống thông tin, phương án khẩn nguy và duy trì dịch vụ khi bị đe dọa.</x:v>
      </x:c>
      <x:c r="O429" s="14" t="str">
        <x:v>Lập hồ sơ an ninh cơ sở, kiểm soát vật lý, phân quyền hệ thống, contingency và diễn tập.</x:v>
      </x:c>
      <x:c r="P429" s="14" t="str">
        <x:v>Cơ sở trọng yếu có hồ sơ an ninh hoàn chỉnh, luôn sẵn sàng kiểm tra</x:v>
      </x:c>
      <x:c r="Q429" s="14" t="str">
        <x:v>Hồ sơ an ninh cơ sở, sơ đồ, danh sách quyền, nhật ký kiểm tra</x:v>
      </x:c>
      <x:c r="R429" s="14" t="str">
        <x:v>SOP an ninh cơ sở Cơ sở AIS/AIM; Checklist an ninh cơ sở Cơ sở AIS/AIM</x:v>
      </x:c>
      <x:c r="S429" s="14" t="str">
        <x:v>Ban An ninh hàng không</x:v>
      </x:c>
      <x:c r="T429" s="14" t="str">
        <x:v>Các Công ty Quản lý bay khu vực Bắc/Trung/Nam; Ban An ninh hàng không</x:v>
      </x:c>
      <x:c r="U429" s="14" t="str">
        <x:v>Ban AN-AT, CNS/CNTT, Công an/Cảng vụ</x:v>
      </x:c>
      <x:c r="V429" s="14" t="str">
        <x:v>Rà soát hằng năm; khi thay đổi khai thác</x:v>
      </x:c>
      <x:c r="W429" s="14" t="str">
        <x:v>P1</x:v>
      </x:c>
      <x:c r="X429" s="14" t="str">
        <x:v>Rất cao</x:v>
      </x:c>
      <x:c r="Y429" s="14" t="str">
        <x:v>Chưa bắt đầu</x:v>
      </x:c>
      <x:c r="Z429" s="14" t="str"/>
      <x:c r="AA429" s="14" t="str">
        <x:v>https://thuvienphapluat.vn/van-ban/Giao-thong-Van-tai/Nghi-dinh-215-2026-ND-C%D0%A0-an-ninh-hang-khong-711200.aspx</x:v>
      </x:c>
      <x:c r="AB429" s="14" t="str">
        <x:v>an ninh; ais; aim</x:v>
      </x:c>
    </x:row>
    <x:row r="430">
      <x:c r="A430" s="14" t="str">
        <x:v>VATM-0429</x:v>
      </x:c>
      <x:c r="B430" s="14" t="str">
        <x:v>47</x:v>
      </x:c>
      <x:c r="C430" s="14" t="str">
        <x:v>Nghị định 215/2026/NĐ-CP về an ninh hàng không</x:v>
      </x:c>
      <x:c r="D430" s="14" t="str">
        <x:v>Tong_hop_nhiem_vu_VATM_ND215_2026_ANHK.xlsx</x:v>
      </x:c>
      <x:c r="E430" s="14" t="str">
        <x:v>Nhiem_vu_VATM</x:v>
      </x:c>
      <x:c r="F430" s="56" t="n">
        <x:v>48</x:v>
      </x:c>
      <x:c r="G430" s="14" t="str">
        <x:v>Điều 7 khoản 1 điểm m,n; Điều 26; Điều 29</x:v>
      </x:c>
      <x:c r="H430" s="14" t="str">
        <x:v>An ninh hàng không</x:v>
      </x:c>
      <x:c r="I430" s="14" t="str">
        <x:v>Khu vực hạn chế/kiểm soát ra vào</x:v>
      </x:c>
      <x:c r="J430" s="14" t="str">
        <x:v>Bảo vệ cơ sở ANS trọng yếu</x:v>
      </x:c>
      <x:c r="K430" s="14" t="str">
        <x:v>Trực tiếp</x:v>
      </x:c>
      <x:c r="L430" s="14" t="str">
        <x:v>An ninh/bảo vệ</x:v>
      </x:c>
      <x:c r="M430" s="14" t="str">
        <x:v>ANSP</x:v>
      </x:c>
      <x:c r="N430" s="14" t="str">
        <x:v>Thiết lập bảo vệ an ninh riêng đối với Cơ sở MET phục vụ bay, gồm khu vực hạn chế, bảo vệ hệ thống thông tin, phương án khẩn nguy và duy trì dịch vụ khi bị đe dọa.</x:v>
      </x:c>
      <x:c r="O430" s="14" t="str">
        <x:v>Lập hồ sơ an ninh cơ sở, kiểm soát vật lý, phân quyền hệ thống, contingency và diễn tập.</x:v>
      </x:c>
      <x:c r="P430" s="14" t="str">
        <x:v>Cơ sở trọng yếu có hồ sơ an ninh hoàn chỉnh, luôn sẵn sàng kiểm tra</x:v>
      </x:c>
      <x:c r="Q430" s="14" t="str">
        <x:v>Hồ sơ an ninh cơ sở, sơ đồ, danh sách quyền, nhật ký kiểm tra</x:v>
      </x:c>
      <x:c r="R430" s="14" t="str">
        <x:v>SOP an ninh cơ sở Cơ sở MET phục vụ bay; Checklist an ninh cơ sở Cơ sở MET phục vụ bay</x:v>
      </x:c>
      <x:c r="S430" s="14" t="str">
        <x:v>Ban An ninh hàng không</x:v>
      </x:c>
      <x:c r="T430" s="14" t="str">
        <x:v>Các Công ty Quản lý bay khu vực Bắc/Trung/Nam; Ban An ninh hàng không</x:v>
      </x:c>
      <x:c r="U430" s="14" t="str">
        <x:v>Ban AN-AT, CNS/CNTT, Công an/Cảng vụ</x:v>
      </x:c>
      <x:c r="V430" s="14" t="str">
        <x:v>Rà soát hằng năm; khi thay đổi khai thác</x:v>
      </x:c>
      <x:c r="W430" s="14" t="str">
        <x:v>P1</x:v>
      </x:c>
      <x:c r="X430" s="14" t="str">
        <x:v>Rất cao</x:v>
      </x:c>
      <x:c r="Y430" s="14" t="str">
        <x:v>Chưa bắt đầu</x:v>
      </x:c>
      <x:c r="Z430" s="14" t="str"/>
      <x:c r="AA430" s="14" t="str">
        <x:v>https://thuvienphapluat.vn/van-ban/Giao-thong-Van-tai/Nghi-dinh-215-2026-ND-C%D0%A0-an-ninh-hang-khong-711200.aspx</x:v>
      </x:c>
      <x:c r="AB430" s="14" t="str">
        <x:v>an ninh; met</x:v>
      </x:c>
    </x:row>
    <x:row r="431">
      <x:c r="A431" s="14" t="str">
        <x:v>VATM-0430</x:v>
      </x:c>
      <x:c r="B431" s="14" t="str">
        <x:v>48</x:v>
      </x:c>
      <x:c r="C431" s="14" t="str">
        <x:v>Nghị định 215/2026/NĐ-CP về an ninh hàng không</x:v>
      </x:c>
      <x:c r="D431" s="14" t="str">
        <x:v>Tong_hop_nhiem_vu_VATM_ND215_2026_ANHK.xlsx</x:v>
      </x:c>
      <x:c r="E431" s="14" t="str">
        <x:v>Nhiem_vu_VATM</x:v>
      </x:c>
      <x:c r="F431" s="56" t="n">
        <x:v>49</x:v>
      </x:c>
      <x:c r="G431" s="14" t="str">
        <x:v>Điều 6,7,25,26,29,37,38-40</x:v>
      </x:c>
      <x:c r="H431" s="14" t="str">
        <x:v>An ninh hàng không</x:v>
      </x:c>
      <x:c r="I431" s="14" t="str">
        <x:v>Chương trình/kế hoạch ANHK VATM</x:v>
      </x:c>
      <x:c r="J431" s="14" t="str">
        <x:v>Kế hoạch chuyển đổi tuân thủ NĐ 215</x:v>
      </x:c>
      <x:c r="K431" s="14" t="str">
        <x:v>Trực tiếp</x:v>
      </x:c>
      <x:c r="L431" s="14" t="str">
        <x:v>An ninh/bảo vệ</x:v>
      </x:c>
      <x:c r="M431" s="14" t="str">
        <x:v>ANSP/doanh nghiệp hàng không</x:v>
      </x:c>
      <x:c r="N431" s="14" t="str">
        <x:v>VATM cần lập chương trình hành động chuyển đổi sang NĐ 215 từ 01/7/2026, bao gồm sửa chương trình an ninh, tổ chức lực lượng, đào tạo, kiểm soát khu vực, cyber, diễn tập.</x:v>
      </x:c>
      <x:c r="O431" s="14" t="str">
        <x:v>Lập GAP analysis, phân kỳ nhiệm vụ, giao chủ trì và giám sát tiến độ bằng dashboard.</x:v>
      </x:c>
      <x:c r="P431" s="14" t="str">
        <x:v>Các điểm không phù hợp được đóng trước hạn kiểm tra của nhà chức trách</x:v>
      </x:c>
      <x:c r="Q431" s="14" t="str">
        <x:v>Kế hoạch hành động, bảng GAP, biên bản giao việc</x:v>
      </x:c>
      <x:c r="R431" s="14" t="str">
        <x:v>Quy trình quản lý tuân thủ pháp lý AVSEC; Mẫu kế hoạch tuân thủ NĐ 215</x:v>
      </x:c>
      <x:c r="S431" s="14" t="str">
        <x:v>Ban An ninh hàng không; Văn phòng - Pháp chế</x:v>
      </x:c>
      <x:c r="T431" s="14" t="str">
        <x:v>Các Công ty Quản lý bay khu vực Bắc/Trung/Nam; Ban An ninh hàng không</x:v>
      </x:c>
      <x:c r="U431" s="14" t="str">
        <x:v>Cục QLXNC, CHKVN</x:v>
      </x:c>
      <x:c r="V431" s="14" t="str">
        <x:v>30-90 ngày sau rà soát</x:v>
      </x:c>
      <x:c r="W431" s="14" t="str">
        <x:v>P1</x:v>
      </x:c>
      <x:c r="X431" s="14" t="str">
        <x:v>Rất cao</x:v>
      </x:c>
      <x:c r="Y431" s="14" t="str">
        <x:v>Chưa bắt đầu</x:v>
      </x:c>
      <x:c r="Z431" s="14" t="str"/>
      <x:c r="AA431" s="14" t="str">
        <x:v>https://thuvienphapluat.vn/van-ban/Giao-thong-Van-tai/Nghi-dinh-215-2026-ND-C%D0%A0-an-ninh-hang-khong-711200.aspx</x:v>
      </x:c>
      <x:c r="AB431" s="14" t="str">
        <x:v>an ninh; atm; anhk; phap che</x:v>
      </x:c>
    </x:row>
    <x:row r="432">
      <x:c r="A432" s="14" t="str">
        <x:v>VATM-0431</x:v>
      </x:c>
      <x:c r="B432" s="14" t="str">
        <x:v>49</x:v>
      </x:c>
      <x:c r="C432" s="14" t="str">
        <x:v>Nghị định 215/2026/NĐ-CP về an ninh hàng không</x:v>
      </x:c>
      <x:c r="D432" s="14" t="str">
        <x:v>Tong_hop_nhiem_vu_VATM_ND215_2026_ANHK.xlsx</x:v>
      </x:c>
      <x:c r="E432" s="14" t="str">
        <x:v>Nhiem_vu_VATM</x:v>
      </x:c>
      <x:c r="F432" s="56" t="n">
        <x:v>50</x:v>
      </x:c>
      <x:c r="G432" s="14" t="str">
        <x:v>Điều 6,24</x:v>
      </x:c>
      <x:c r="H432" s="14" t="str">
        <x:v>An ninh hàng không</x:v>
      </x:c>
      <x:c r="I432" s="14" t="str">
        <x:v>Chương trình/kế hoạch ANHK VATM</x:v>
      </x:c>
      <x:c r="J432" s="14" t="str">
        <x:v>Kiểm soát thay đổi Chương trình an ninh VATM</x:v>
      </x:c>
      <x:c r="K432" s="14" t="str">
        <x:v>Trực tiếp</x:v>
      </x:c>
      <x:c r="L432" s="14" t="str">
        <x:v>An ninh/bảo vệ</x:v>
      </x:c>
      <x:c r="M432" s="14" t="str">
        <x:v>ANSP</x:v>
      </x:c>
      <x:c r="N432" s="14" t="str">
        <x:v>Mọi thay đổi tổ chức, cơ sở, hệ thống, quy trình phải được đánh giá ảnh hưởng đến Chương trình an ninh và cập nhật/phê duyệt khi cần.</x:v>
      </x:c>
      <x:c r="O432" s="14" t="str">
        <x:v>Thiết lập change request AVSEC cho dự án, cơ cấu tổ chức, công nghệ, cơ sở hạ tầng.</x:v>
      </x:c>
      <x:c r="P432" s="14" t="str">
        <x:v>Không phát sinh thay đổi vận hành ngoài phạm vi chương trình đã phê duyệt</x:v>
      </x:c>
      <x:c r="Q432" s="14" t="str">
        <x:v>Phiếu đánh giá thay đổi, bản sửa chương trình, công văn phê duyệt</x:v>
      </x:c>
      <x:c r="R432" s="14" t="str">
        <x:v>Quy trình quản lý thay đổi AVSEC VATM; Mẫu AVSEC Change Assessment</x:v>
      </x:c>
      <x:c r="S432" s="14" t="str">
        <x:v>Ban An ninh hàng không; Văn phòng - Pháp chế</x:v>
      </x:c>
      <x:c r="T432" s="14" t="str">
        <x:v>Các Công ty Quản lý bay khu vực Bắc/Trung/Nam; Ban Kế hoạch doanh nghiệp - Chuyển đổi số; Ban Kỹ thuật - CNS/IT/Môi trường; Ban An ninh hàng không</x:v>
      </x:c>
      <x:c r="U432" s="14" t="str">
        <x:v>Cục QLXNC</x:v>
      </x:c>
      <x:c r="V432" s="14" t="str">
        <x:v>Khi có thay đổi</x:v>
      </x:c>
      <x:c r="W432" s="14" t="str">
        <x:v>P1</x:v>
      </x:c>
      <x:c r="X432" s="14" t="str">
        <x:v>Cao</x:v>
      </x:c>
      <x:c r="Y432" s="14" t="str">
        <x:v>Chưa bắt đầu</x:v>
      </x:c>
      <x:c r="Z432" s="14" t="str"/>
      <x:c r="AA432" s="14" t="str">
        <x:v>https://thuvienphapluat.vn/van-ban/Giao-thong-Van-tai/Nghi-dinh-215-2026-ND-C%D0%A0-an-ninh-hang-khong-711200.aspx</x:v>
      </x:c>
      <x:c r="AB432" s="14" t="str">
        <x:v>an ninh; atm; anhk; phap che</x:v>
      </x:c>
    </x:row>
    <x:row r="433">
      <x:c r="A433" s="14" t="str">
        <x:v>VATM-0432</x:v>
      </x:c>
      <x:c r="B433" s="14" t="str">
        <x:v>50</x:v>
      </x:c>
      <x:c r="C433" s="14" t="str">
        <x:v>Nghị định 215/2026/NĐ-CP về an ninh hàng không</x:v>
      </x:c>
      <x:c r="D433" s="14" t="str">
        <x:v>Tong_hop_nhiem_vu_VATM_ND215_2026_ANHK.xlsx</x:v>
      </x:c>
      <x:c r="E433" s="14" t="str">
        <x:v>Nhiem_vu_VATM</x:v>
      </x:c>
      <x:c r="F433" s="56" t="n">
        <x:v>51</x:v>
      </x:c>
      <x:c r="G433" s="14" t="str">
        <x:v>Điều 26</x:v>
      </x:c>
      <x:c r="H433" s="14" t="str">
        <x:v>An ninh hàng không</x:v>
      </x:c>
      <x:c r="I433" s="14" t="str">
        <x:v>An ninh hệ thống CNS/ATM/CNTT</x:v>
      </x:c>
      <x:c r="J433" s="14" t="str">
        <x:v>Quản trị tài khoản đặc quyền hệ thống ANS</x:v>
      </x:c>
      <x:c r="K433" s="14" t="str">
        <x:v>Trực tiếp</x:v>
      </x:c>
      <x:c r="L433" s="14" t="str">
        <x:v>An ninh/bảo vệ</x:v>
      </x:c>
      <x:c r="M433" s="14" t="str">
        <x:v>ANSP</x:v>
      </x:c>
      <x:c r="N433" s="14" t="str">
        <x:v>Tài khoản admin hệ thống CNS/ATM/AIS/MET/ATFM phải kiểm soát chặt để chống can thiệp trái phép.</x:v>
      </x:c>
      <x:c r="O433" s="14" t="str">
        <x:v>MFA, PAM nếu có, log bất biến, nguyên tắc 4 mắt, thu hồi tài khoản khi chuyển vị trí.</x:v>
      </x:c>
      <x:c r="P433" s="14" t="str">
        <x:v>Không có tài khoản thừa/không truy xuất được; đảm bảo audit trail</x:v>
      </x:c>
      <x:c r="Q433" s="14" t="str">
        <x:v>Danh sách tài khoản đặc quyền, log truy cập, biên bản rà soát</x:v>
      </x:c>
      <x:c r="R433" s="14" t="str">
        <x:v>SOP quản lý tài khoản đặc quyền hệ thống ANS; Checklist rà soát tài khoản đặc quyền</x:v>
      </x:c>
      <x:c r="S433" s="14" t="str">
        <x:v>Ban An ninh hàng không; Ban Kế hoạch doanh nghiệp - Chuyển đổi số; Ban Kỹ thuật - CNS/IT/Môi trường</x:v>
      </x:c>
      <x:c r="T433" s="14" t="str">
        <x:v>Các Công ty Quản lý bay khu vực Bắc/Trung/Nam; Ban An ninh hàng không</x:v>
      </x:c>
      <x:c r="U433" s="14" t="str">
        <x:v>Cục QLXNC/CHKVN khi kiểm tra</x:v>
      </x:c>
      <x:c r="V433" s="14" t="str">
        <x:v>Liên tục; rà soát hàng quý</x:v>
      </x:c>
      <x:c r="W433" s="14" t="str">
        <x:v>P1</x:v>
      </x:c>
      <x:c r="X433" s="14" t="str">
        <x:v>Rất cao</x:v>
      </x:c>
      <x:c r="Y433" s="14" t="str">
        <x:v>Chưa bắt đầu</x:v>
      </x:c>
      <x:c r="Z433" s="14" t="str"/>
      <x:c r="AA433" s="14" t="str">
        <x:v>https://thuvienphapluat.vn/van-ban/Giao-thong-Van-tai/Nghi-dinh-215-2026-ND-C%D0%A0-an-ninh-hang-khong-711200.aspx</x:v>
      </x:c>
      <x:c r="AB433" s="14" t="str">
        <x:v>an ninh; atm; cns; atfm; ais; met</x:v>
      </x:c>
    </x:row>
    <x:row r="434">
      <x:c r="A434" s="14" t="str">
        <x:v>VATM-0433</x:v>
      </x:c>
      <x:c r="B434" s="14" t="str">
        <x:v>51</x:v>
      </x:c>
      <x:c r="C434" s="14" t="str">
        <x:v>Nghị định 215/2026/NĐ-CP về an ninh hàng không</x:v>
      </x:c>
      <x:c r="D434" s="14" t="str">
        <x:v>Tong_hop_nhiem_vu_VATM_ND215_2026_ANHK.xlsx</x:v>
      </x:c>
      <x:c r="E434" s="14" t="str">
        <x:v>Nhiem_vu_VATM</x:v>
      </x:c>
      <x:c r="F434" s="56" t="n">
        <x:v>52</x:v>
      </x:c>
      <x:c r="G434" s="14" t="str">
        <x:v>Điều 26,29,Phụ lục II</x:v>
      </x:c>
      <x:c r="H434" s="14" t="str">
        <x:v>An ninh hàng không</x:v>
      </x:c>
      <x:c r="I434" s="14" t="str">
        <x:v>Ứng phó sự cố/diễn tập ANHK</x:v>
      </x:c>
      <x:c r="J434" s="14" t="str">
        <x:v>Ứng phó cyber AVSEC</x:v>
      </x:c>
      <x:c r="K434" s="14" t="str">
        <x:v>Trực tiếp</x:v>
      </x:c>
      <x:c r="L434" s="14" t="str">
        <x:v>An ninh/bảo vệ</x:v>
      </x:c>
      <x:c r="M434" s="14" t="str">
        <x:v>ANSP</x:v>
      </x:c>
      <x:c r="N434" s="14" t="str">
        <x:v>Tấn công/can thiệp hệ thống thông tin chuyên ngành hàng không là tình huống trong phương án đối phó.</x:v>
      </x:c>
      <x:c r="O434" s="14" t="str">
        <x:v>Xây dựng playbook cyber-AVSEC; phân cấp sự cố; phương án chuyển sang dự phòng, phát thông báo khai thác nếu cần.</x:v>
      </x:c>
      <x:c r="P434" s="14" t="str">
        <x:v>Khôi phục dịch vụ trong RTO/RPO; giảm thiểu ảnh hưởng an toàn bay</x:v>
      </x:c>
      <x:c r="Q434" s="14" t="str">
        <x:v>Playbook, biên bản diễn tập cyber, log sự cố, báo cáo RCA</x:v>
      </x:c>
      <x:c r="R434" s="14" t="str">
        <x:v>Quy trình ứng phó sự cố cyber hệ thống ANS; Mẫu playbook tấn công hệ thống ATM/CNS/AIS</x:v>
      </x:c>
      <x:c r="S434" s="14" t="str">
        <x:v>Ban An ninh hàng không; Ban Kế hoạch doanh nghiệp - Chuyển đổi số; Ban Kỹ thuật - CNS/IT/Môi trường</x:v>
      </x:c>
      <x:c r="T434" s="14" t="str">
        <x:v>Ban Kỹ thuật - CNS/IT/Môi trường; Các Công ty Quản lý bay khu vực Bắc/Trung/Nam; Ban An ninh hàng không</x:v>
      </x:c>
      <x:c r="U434" s="14" t="str">
        <x:v>Cục QLXNC, Cục An ninh mạng, CHKVN</x:v>
      </x:c>
      <x:c r="V434" s="14" t="str">
        <x:v>Diễn tập hằng năm/2 năm; khi sự cố</x:v>
      </x:c>
      <x:c r="W434" s="14" t="str">
        <x:v>P1</x:v>
      </x:c>
      <x:c r="X434" s="14" t="str">
        <x:v>Rất cao</x:v>
      </x:c>
      <x:c r="Y434" s="14" t="str">
        <x:v>Chưa bắt đầu</x:v>
      </x:c>
      <x:c r="Z434" s="14" t="str"/>
      <x:c r="AA434" s="14" t="str">
        <x:v>https://thuvienphapluat.vn/van-ban/Giao-thong-Van-tai/Nghi-dinh-215-2026-ND-C%D0%A0-an-ninh-hang-khong-711200.aspx</x:v>
      </x:c>
      <x:c r="AB434" s="14" t="str">
        <x:v>an ninh; anhk; cns</x:v>
      </x:c>
    </x:row>
    <x:row r="435">
      <x:c r="A435" s="14" t="str">
        <x:v>VATM-0434</x:v>
      </x:c>
      <x:c r="B435" s="14" t="str">
        <x:v>52</x:v>
      </x:c>
      <x:c r="C435" s="14" t="str">
        <x:v>Nghị định 215/2026/NĐ-CP về an ninh hàng không</x:v>
      </x:c>
      <x:c r="D435" s="14" t="str">
        <x:v>Tong_hop_nhiem_vu_VATM_ND215_2026_ANHK.xlsx</x:v>
      </x:c>
      <x:c r="E435" s="14" t="str">
        <x:v>Nhiem_vu_VATM</x:v>
      </x:c>
      <x:c r="F435" s="56" t="n">
        <x:v>53</x:v>
      </x:c>
      <x:c r="G435" s="14" t="str">
        <x:v>Điều 7,56</x:v>
      </x:c>
      <x:c r="H435" s="14" t="str">
        <x:v>An ninh hàng không</x:v>
      </x:c>
      <x:c r="I435" s="14" t="str">
        <x:v>Khu vực hạn chế/kiểm soát ra vào</x:v>
      </x:c>
      <x:c r="J435" s="14" t="str">
        <x:v>Camera/kiểm soát vào ra cơ sở ANS</x:v>
      </x:c>
      <x:c r="K435" s="14" t="str">
        <x:v>Trực tiếp</x:v>
      </x:c>
      <x:c r="L435" s="14" t="str">
        <x:v>An ninh/bảo vệ</x:v>
      </x:c>
      <x:c r="M435" s="14" t="str">
        <x:v>ANSP</x:v>
      </x:c>
      <x:c r="N435" s="14" t="str">
        <x:v>Các khu vực hạn chế ANS cần giám sát liên tục bằng phương tiện phù hợp, lưu giữ và khai thác dữ liệu phục vụ truy xét.</x:v>
      </x:c>
      <x:c r="O435" s="14" t="str">
        <x:v>Chuẩn hóa vị trí camera, retention, quyền xem/export, backup; đảm bảo camera phủ điểm nhạy cảm.</x:v>
      </x:c>
      <x:c r="P435" s="14" t="str">
        <x:v>Truy xét được người/phương tiện ra vào cơ sở ANS</x:v>
      </x:c>
      <x:c r="Q435" s="14" t="str">
        <x:v>Sơ đồ camera, log xuất dữ liệu, biên bản kiểm tra hình ảnh</x:v>
      </x:c>
      <x:c r="R435" s="14" t="str">
        <x:v>SOP quản lý camera an ninh cơ sở ANS; Checklist kiểm tra camera/ACS</x:v>
      </x:c>
      <x:c r="S435" s="14" t="str">
        <x:v>Ban An ninh hàng không; Ban Kế hoạch doanh nghiệp - Chuyển đổi số; Ban Kỹ thuật - CNS/IT/Môi trường</x:v>
      </x:c>
      <x:c r="T435" s="14" t="str">
        <x:v>Các Công ty Quản lý bay khu vực Bắc/Trung/Nam; Ban An ninh hàng không</x:v>
      </x:c>
      <x:c r="U435" s="14" t="str">
        <x:v>Cục QLXNC</x:v>
      </x:c>
      <x:c r="V435" s="14" t="str">
        <x:v>Liên tục; kiểm tra hằng tháng</x:v>
      </x:c>
      <x:c r="W435" s="14" t="str">
        <x:v>P1</x:v>
      </x:c>
      <x:c r="X435" s="14" t="str">
        <x:v>Cao</x:v>
      </x:c>
      <x:c r="Y435" s="14" t="str">
        <x:v>Chưa bắt đầu</x:v>
      </x:c>
      <x:c r="Z435" s="14" t="str"/>
      <x:c r="AA435" s="14" t="str">
        <x:v>https://thuvienphapluat.vn/van-ban/Giao-thong-Van-tai/Nghi-dinh-215-2026-ND-C%D0%A0-an-ninh-hang-khong-711200.aspx</x:v>
      </x:c>
      <x:c r="AB435" s="14" t="str">
        <x:v>an ninh; ans; du lieu; cns</x:v>
      </x:c>
    </x:row>
    <x:row r="436">
      <x:c r="A436" s="14" t="str">
        <x:v>VATM-0435</x:v>
      </x:c>
      <x:c r="B436" s="14" t="str">
        <x:v>53</x:v>
      </x:c>
      <x:c r="C436" s="14" t="str">
        <x:v>Nghị định 215/2026/NĐ-CP về an ninh hàng không</x:v>
      </x:c>
      <x:c r="D436" s="14" t="str">
        <x:v>Tong_hop_nhiem_vu_VATM_ND215_2026_ANHK.xlsx</x:v>
      </x:c>
      <x:c r="E436" s="14" t="str">
        <x:v>Nhiem_vu_VATM</x:v>
      </x:c>
      <x:c r="F436" s="56" t="n">
        <x:v>54</x:v>
      </x:c>
      <x:c r="G436" s="14" t="str">
        <x:v>Điều 7,29,37</x:v>
      </x:c>
      <x:c r="H436" s="14" t="str">
        <x:v>An ninh hàng không</x:v>
      </x:c>
      <x:c r="I436" s="14" t="str">
        <x:v>Khu vực hạn chế/kiểm soát ra vào</x:v>
      </x:c>
      <x:c r="J436" s="14" t="str">
        <x:v>Nhà thầu thi công tại cơ sở ANS</x:v>
      </x:c>
      <x:c r="K436" s="14" t="str">
        <x:v>Trực tiếp</x:v>
      </x:c>
      <x:c r="L436" s="14" t="str">
        <x:v>An ninh/bảo vệ</x:v>
      </x:c>
      <x:c r="M436" s="14" t="str">
        <x:v>ANSP</x:v>
      </x:c>
      <x:c r="N436" s="14" t="str">
        <x:v>Nhà thầu vào khu vực hạn chế ANS phải có kiểm soát, hộ tống, phương án bảo đảm an ninh; nếu thi công ảnh hưởng an toàn bay phải hiệp đồng.</x:v>
      </x:c>
      <x:c r="O436" s="14" t="str">
        <x:v>Đưa điều khoản an ninh vào hợp đồng; danh sách nhân sự; brief an ninh; giám sát onsite.</x:v>
      </x:c>
      <x:c r="P436" s="14" t="str">
        <x:v>Không có xâm nhập/sai phạm nhà thầu; thi công không ảnh hưởng ANS</x:v>
      </x:c>
      <x:c r="Q436" s="14" t="str">
        <x:v>Hồ sơ nhà thầu, cam kết an ninh, nhật ký giám sát, thẻ ra vào</x:v>
      </x:c>
      <x:c r="R436" s="14" t="str">
        <x:v>SOP quản lý nhà thầu tại khu vực hạn chế ANS; Mẫu cam kết an ninh nhà thầu</x:v>
      </x:c>
      <x:c r="S436" s="14" t="str">
        <x:v>Ban An ninh hàng không; Các Công ty Quản lý bay khu vực Bắc/Trung/Nam</x:v>
      </x:c>
      <x:c r="T436" s="14" t="str">
        <x:v>Các Công ty Quản lý bay khu vực Bắc/Trung/Nam; Ban Không lưu; Ban Kỹ thuật - CNS/IT/Môi trường; Ban An ninh hàng không</x:v>
      </x:c>
      <x:c r="U436" s="14" t="str">
        <x:v>Cảng vụ, ACV, Công an nếu trong cảng</x:v>
      </x:c>
      <x:c r="V436" s="14" t="str">
        <x:v>Theo từng hợp đồng/dự án</x:v>
      </x:c>
      <x:c r="W436" s="14" t="str">
        <x:v>P1</x:v>
      </x:c>
      <x:c r="X436" s="14" t="str">
        <x:v>Cao</x:v>
      </x:c>
      <x:c r="Y436" s="14" t="str">
        <x:v>Chưa bắt đầu</x:v>
      </x:c>
      <x:c r="Z436" s="14" t="str"/>
      <x:c r="AA436" s="14" t="str">
        <x:v>https://thuvienphapluat.vn/van-ban/Giao-thong-Van-tai/Nghi-dinh-215-2026-ND-C%D0%A0-an-ninh-hang-khong-711200.aspx</x:v>
      </x:c>
      <x:c r="AB436" s="14" t="str">
        <x:v>an ninh; ans; an toan</x:v>
      </x:c>
    </x:row>
    <x:row r="437">
      <x:c r="A437" s="14" t="str">
        <x:v>VATM-0436</x:v>
      </x:c>
      <x:c r="B437" s="14" t="str">
        <x:v>54</x:v>
      </x:c>
      <x:c r="C437" s="14" t="str">
        <x:v>Nghị định 215/2026/NĐ-CP về an ninh hàng không</x:v>
      </x:c>
      <x:c r="D437" s="14" t="str">
        <x:v>Tong_hop_nhiem_vu_VATM_ND215_2026_ANHK.xlsx</x:v>
      </x:c>
      <x:c r="E437" s="14" t="str">
        <x:v>Nhiem_vu_VATM</x:v>
      </x:c>
      <x:c r="F437" s="56" t="n">
        <x:v>55</x:v>
      </x:c>
      <x:c r="G437" s="14" t="str">
        <x:v>Điều 27,37,39</x:v>
      </x:c>
      <x:c r="H437" s="14" t="str">
        <x:v>An ninh hàng không</x:v>
      </x:c>
      <x:c r="I437" s="14" t="str">
        <x:v>Khu vực hạn chế/kiểm soát ra vào</x:v>
      </x:c>
      <x:c r="J437" s="14" t="str">
        <x:v>Năng lực nhận thức AVSEC của ATCO/ATSEP/AIM/MET</x:v>
      </x:c>
      <x:c r="K437" s="14" t="str">
        <x:v>Trực tiếp</x:v>
      </x:c>
      <x:c r="L437" s="14" t="str">
        <x:v>An ninh/bảo vệ</x:v>
      </x:c>
      <x:c r="M437" s="14" t="str">
        <x:v>ANSP</x:v>
      </x:c>
      <x:c r="N437" s="14" t="str">
        <x:v>Nhân viên không phải KSANHK nhưng làm trong khu vực hạn chế/hệ thống trọng yếu phải được phổ biến pháp luật, biết phản ứng ban đầu, báo cáo dấu hiệu bất thường.</x:v>
      </x:c>
      <x:c r="O437" s="14" t="str">
        <x:v>Đào tạo module AVSEC cho ATCO/ATSEP/AIM/MET/ATFM; lồng vào continuation training.</x:v>
      </x:c>
      <x:c r="P437" s="14" t="str">
        <x:v>Nhân viên nhận biết và báo cáo đúng dấu hiệu uy hiếp an ninh</x:v>
      </x:c>
      <x:c r="Q437" s="14" t="str">
        <x:v>Hồ sơ đào tạo, bài kiểm tra, danh sách đạt</x:v>
      </x:c>
      <x:c r="R437" s="14" t="str">
        <x:v>Quy trình đào tạo AVSEC cho nhân viên ANS; Module AVSEC awareness cho nhân viên ANS</x:v>
      </x:c>
      <x:c r="S437" s="14" t="str">
        <x:v>Ban An ninh hàng không</x:v>
      </x:c>
      <x:c r="T437" s="14" t="str">
        <x:v>Các Công ty Quản lý bay khu vực Bắc/Trung/Nam; Ban An ninh hàng không</x:v>
      </x:c>
      <x:c r="U437" s="14" t="str">
        <x:v>Cục QLXNC/CHKVN</x:v>
      </x:c>
      <x:c r="V437" s="14" t="str">
        <x:v>Hằng năm; khi tuyển mới</x:v>
      </x:c>
      <x:c r="W437" s="14" t="str">
        <x:v>P1</x:v>
      </x:c>
      <x:c r="X437" s="14" t="str">
        <x:v>Cao</x:v>
      </x:c>
      <x:c r="Y437" s="14" t="str">
        <x:v>Chưa bắt đầu</x:v>
      </x:c>
      <x:c r="Z437" s="14" t="str"/>
      <x:c r="AA437" s="14" t="str">
        <x:v>https://thuvienphapluat.vn/van-ban/Giao-thong-Van-tai/Nghi-dinh-215-2026-ND-C%D0%A0-an-ninh-hang-khong-711200.aspx</x:v>
      </x:c>
      <x:c r="AB437" s="14" t="str">
        <x:v>an ninh; anhk</x:v>
      </x:c>
    </x:row>
    <x:row r="438">
      <x:c r="A438" s="14" t="str">
        <x:v>VATM-0437</x:v>
      </x:c>
      <x:c r="B438" s="14" t="str">
        <x:v>55</x:v>
      </x:c>
      <x:c r="C438" s="14" t="str">
        <x:v>Nghị định 215/2026/NĐ-CP về an ninh hàng không</x:v>
      </x:c>
      <x:c r="D438" s="14" t="str">
        <x:v>Tong_hop_nhiem_vu_VATM_ND215_2026_ANHK.xlsx</x:v>
      </x:c>
      <x:c r="E438" s="14" t="str">
        <x:v>Nhiem_vu_VATM</x:v>
      </x:c>
      <x:c r="F438" s="56" t="n">
        <x:v>56</x:v>
      </x:c>
      <x:c r="G438" s="14" t="str">
        <x:v>Điều 3,14,28,29</x:v>
      </x:c>
      <x:c r="H438" s="14" t="str">
        <x:v>An ninh hàng không</x:v>
      </x:c>
      <x:c r="I438" s="14" t="str">
        <x:v>Ứng phó sự cố/diễn tập ANHK</x:v>
      </x:c>
      <x:c r="J438" s="14" t="str">
        <x:v>Ghi âm, lưu vết, bảo vệ chứng cứ</x:v>
      </x:c>
      <x:c r="K438" s="14" t="str">
        <x:v>Trực tiếp</x:v>
      </x:c>
      <x:c r="L438" s="14" t="str">
        <x:v>An ninh/bảo vệ</x:v>
      </x:c>
      <x:c r="M438" s="14" t="str">
        <x:v>ANSP</x:v>
      </x:c>
      <x:c r="N438" s="14" t="str">
        <x:v>Các sự cố/hành vi vi phạm phải báo cáo, thống kê, phân tích; với can thiệp bất hợp pháp cần bảo vệ hiện trường và chứng cứ.</x:v>
      </x:c>
      <x:c r="O438" s="14" t="str">
        <x:v>Bảo toàn voice recording, radar replay, CCTV, access logs; quy trình chain-of-custody.</x:v>
      </x:c>
      <x:c r="P438" s="14" t="str">
        <x:v>Chứng cứ toàn vẹn, phục vụ điều tra và giảng bình</x:v>
      </x:c>
      <x:c r="Q438" s="14" t="str">
        <x:v>Biên bản niêm phong dữ liệu, bản sao log, phiếu bàn giao chứng cứ</x:v>
      </x:c>
      <x:c r="R438" s="14" t="str">
        <x:v>Quy trình bảo toàn dữ liệu/chứng cứ sự cố ANS; Mẫu chain-of-custody dữ liệu ANS</x:v>
      </x:c>
      <x:c r="S438" s="14" t="str">
        <x:v>Ban An ninh hàng không; Ban Không lưu; Ban Kỹ thuật - CNS/IT/Môi trường</x:v>
      </x:c>
      <x:c r="T438" s="14" t="str">
        <x:v>Các Công ty Quản lý bay khu vực Bắc/Trung/Nam; Ban An ninh hàng không</x:v>
      </x:c>
      <x:c r="U438" s="14" t="str">
        <x:v>Công an, Cục QLXNC, CHKVN</x:v>
      </x:c>
      <x:c r="V438" s="14" t="str">
        <x:v>Khi phát sinh; lưu trữ theo quy định</x:v>
      </x:c>
      <x:c r="W438" s="14" t="str">
        <x:v>P1</x:v>
      </x:c>
      <x:c r="X438" s="14" t="str">
        <x:v>Rất cao</x:v>
      </x:c>
      <x:c r="Y438" s="14" t="str">
        <x:v>Chưa bắt đầu</x:v>
      </x:c>
      <x:c r="Z438" s="14" t="str"/>
      <x:c r="AA438" s="14" t="str">
        <x:v>https://thuvienphapluat.vn/van-ban/Giao-thong-Van-tai/Nghi-dinh-215-2026-ND-C%D0%A0-an-ninh-hang-khong-711200.aspx</x:v>
      </x:c>
      <x:c r="AB438" s="14" t="str">
        <x:v>an ninh; anhk; cns</x:v>
      </x:c>
    </x:row>
    <x:row r="439">
      <x:c r="A439" s="14" t="str">
        <x:v>VATM-0438</x:v>
      </x:c>
      <x:c r="B439" s="14" t="str">
        <x:v>56</x:v>
      </x:c>
      <x:c r="C439" s="14" t="str">
        <x:v>Nghị định 215/2026/NĐ-CP về an ninh hàng không</x:v>
      </x:c>
      <x:c r="D439" s="14" t="str">
        <x:v>Tong_hop_nhiem_vu_VATM_ND215_2026_ANHK.xlsx</x:v>
      </x:c>
      <x:c r="E439" s="14" t="str">
        <x:v>Nhiem_vu_VATM</x:v>
      </x:c>
      <x:c r="F439" s="56" t="n">
        <x:v>57</x:v>
      </x:c>
      <x:c r="G439" s="14" t="str">
        <x:v>Điều 24,26,53</x:v>
      </x:c>
      <x:c r="H439" s="14" t="str">
        <x:v>An ninh hàng không</x:v>
      </x:c>
      <x:c r="I439" s="14" t="str">
        <x:v>Khu vực hạn chế/kiểm soát ra vào</x:v>
      </x:c>
      <x:c r="J439" s="14" t="str">
        <x:v>Bảo mật thông tin chuyến bay, chuyên cơ, dữ liệu ANS</x:v>
      </x:c>
      <x:c r="K439" s="14" t="str">
        <x:v>Trực tiếp</x:v>
      </x:c>
      <x:c r="L439" s="14" t="str">
        <x:v>An ninh/bảo vệ</x:v>
      </x:c>
      <x:c r="M439" s="14" t="str">
        <x:v>ANSP</x:v>
      </x:c>
      <x:c r="N439" s="14" t="str">
        <x:v>Thông tin an ninh và dữ liệu chuyên ngành phải kiểm soát; chia sẻ trên cơ sở need-to-know.</x:v>
      </x:c>
      <x:c r="O439" s="14" t="str">
        <x:v>Phân loại thông tin chuyến bay đặc biệt, NOTAM/flight plan nhạy cảm; kiểm soát kênh trao đổi và thiết bị cá nhân.</x:v>
      </x:c>
      <x:c r="P439" s="14" t="str">
        <x:v>Không lộ lọt dữ liệu chuyến bay/ANS nhạy cảm</x:v>
      </x:c>
      <x:c r="Q439" s="14" t="str">
        <x:v>Log truy cập, danh mục thông tin hạn chế, hồ sơ cấp quyền</x:v>
      </x:c>
      <x:c r="R439" s="14" t="str">
        <x:v>Quy trình bảo mật thông tin ANS nhạy cảm; Checklist chia sẻ thông tin need-to-know</x:v>
      </x:c>
      <x:c r="S439" s="14" t="str">
        <x:v>Ban An ninh hàng không; Ban Kế hoạch doanh nghiệp - Chuyển đổi số; Ban Không lưu; Ban Kỹ thuật - CNS/IT/Môi trường; Trung tâm Thông báo tin tức hàng không</x:v>
      </x:c>
      <x:c r="T439" s="14" t="str">
        <x:v>Các Công ty Quản lý bay khu vực Bắc/Trung/Nam; Ban An ninh hàng không</x:v>
      </x:c>
      <x:c r="U439" s="14" t="str">
        <x:v>CHKVN, Cục QLXNC</x:v>
      </x:c>
      <x:c r="V439" s="14" t="str">
        <x:v>Liên tục</x:v>
      </x:c>
      <x:c r="W439" s="14" t="str">
        <x:v>P1</x:v>
      </x:c>
      <x:c r="X439" s="14" t="str">
        <x:v>Rất cao</x:v>
      </x:c>
      <x:c r="Y439" s="14" t="str">
        <x:v>Chưa bắt đầu</x:v>
      </x:c>
      <x:c r="Z439" s="14" t="str"/>
      <x:c r="AA439" s="14" t="str">
        <x:v>https://thuvienphapluat.vn/van-ban/Giao-thong-Van-tai/Nghi-dinh-215-2026-ND-C%D0%A0-an-ninh-hang-khong-711200.aspx</x:v>
      </x:c>
      <x:c r="AB439" s="14" t="str">
        <x:v>an ninh; du lieu; cns</x:v>
      </x:c>
    </x:row>
    <x:row r="440">
      <x:c r="A440" s="14" t="str">
        <x:v>VATM-0439</x:v>
      </x:c>
      <x:c r="B440" s="14" t="str">
        <x:v>57</x:v>
      </x:c>
      <x:c r="C440" s="14" t="str">
        <x:v>Nghị định 215/2026/NĐ-CP về an ninh hàng không</x:v>
      </x:c>
      <x:c r="D440" s="14" t="str">
        <x:v>Tong_hop_nhiem_vu_VATM_ND215_2026_ANHK.xlsx</x:v>
      </x:c>
      <x:c r="E440" s="14" t="str">
        <x:v>Nhiem_vu_VATM</x:v>
      </x:c>
      <x:c r="F440" s="56" t="n">
        <x:v>58</x:v>
      </x:c>
      <x:c r="G440" s="14" t="str">
        <x:v>Điều 37</x:v>
      </x:c>
      <x:c r="H440" s="14" t="str">
        <x:v>An ninh hàng không</x:v>
      </x:c>
      <x:c r="I440" s="14" t="str">
        <x:v>Khu vực hạn chế/kiểm soát ra vào</x:v>
      </x:c>
      <x:c r="J440" s="14" t="str">
        <x:v>Báo cáo sau diễn tập và khắc phục</x:v>
      </x:c>
      <x:c r="K440" s="14" t="str">
        <x:v>Trực tiếp</x:v>
      </x:c>
      <x:c r="L440" s="14" t="str">
        <x:v>An ninh/bảo vệ</x:v>
      </x:c>
      <x:c r="M440" s="14" t="str">
        <x:v>ANSP</x:v>
      </x:c>
      <x:c r="N440" s="14" t="str">
        <x:v>Diễn tập cấp cơ sở phải có đánh giá kết quả, bài học, khắc phục tồn tại.</x:v>
      </x:c>
      <x:c r="O440" s="14" t="str">
        <x:v>Tổ chức hot debrief, full debrief, CAPA; theo dõi đóng hành động.</x:v>
      </x:c>
      <x:c r="P440" s="14" t="str">
        <x:v>Tất cả tồn tại được giao người chịu trách nhiệm và thời hạn</x:v>
      </x:c>
      <x:c r="Q440" s="14" t="str">
        <x:v>Báo cáo sau diễn tập, CAPA tracker, biên bản nghiệm thu khắc phục</x:v>
      </x:c>
      <x:c r="R440" s="14" t="str">
        <x:v>Quy trình quản lý CAPA sau diễn tập AVSEC; Mẫu AAR/CAPA diễn tập AVSEC</x:v>
      </x:c>
      <x:c r="S440" s="14" t="str">
        <x:v>Ban An ninh hàng không</x:v>
      </x:c>
      <x:c r="T440" s="14" t="str">
        <x:v>Các Công ty Quản lý bay khu vực Bắc/Trung/Nam; Ban Tổ chức cán bộ; Ban An ninh hàng không</x:v>
      </x:c>
      <x:c r="U440" s="14" t="str">
        <x:v>Cục QLXNC/Cảng vụ/Công an</x:v>
      </x:c>
      <x:c r="V440" s="14" t="str">
        <x:v>Sau diễn tập trong 10-30 ngày nội bộ</x:v>
      </x:c>
      <x:c r="W440" s="14" t="str">
        <x:v>P1</x:v>
      </x:c>
      <x:c r="X440" s="14" t="str">
        <x:v>Cao</x:v>
      </x:c>
      <x:c r="Y440" s="14" t="str">
        <x:v>Chưa bắt đầu</x:v>
      </x:c>
      <x:c r="Z440" s="14" t="str"/>
      <x:c r="AA440" s="14" t="str">
        <x:v>https://thuvienphapluat.vn/van-ban/Giao-thong-Van-tai/Nghi-dinh-215-2026-ND-C%D0%A0-an-ninh-hang-khong-711200.aspx</x:v>
      </x:c>
      <x:c r="AB440" s="14" t="str">
        <x:v>an ninh</x:v>
      </x:c>
    </x:row>
    <x:row r="441">
      <x:c r="A441" s="14" t="str">
        <x:v>VATM-0440</x:v>
      </x:c>
      <x:c r="B441" s="14" t="str">
        <x:v>58</x:v>
      </x:c>
      <x:c r="C441" s="14" t="str">
        <x:v>Nghị định 215/2026/NĐ-CP về an ninh hàng không</x:v>
      </x:c>
      <x:c r="D441" s="14" t="str">
        <x:v>Tong_hop_nhiem_vu_VATM_ND215_2026_ANHK.xlsx</x:v>
      </x:c>
      <x:c r="E441" s="14" t="str">
        <x:v>Nhiem_vu_VATM</x:v>
      </x:c>
      <x:c r="F441" s="56" t="n">
        <x:v>59</x:v>
      </x:c>
      <x:c r="G441" s="14" t="str">
        <x:v>Điều 38-40</x:v>
      </x:c>
      <x:c r="H441" s="14" t="str">
        <x:v>An ninh hàng không</x:v>
      </x:c>
      <x:c r="I441" s="14" t="str">
        <x:v>An ninh hệ thống CNS/ATM/CNTT</x:v>
      </x:c>
      <x:c r="J441" s="14" t="str">
        <x:v>Kiểm tra nội bộ lực lượng KSANHK VATM</x:v>
      </x:c>
      <x:c r="K441" s="14" t="str">
        <x:v>Trực tiếp</x:v>
      </x:c>
      <x:c r="L441" s="14" t="str">
        <x:v>An ninh/bảo vệ</x:v>
      </x:c>
      <x:c r="M441" s="14" t="str">
        <x:v>ANSP</x:v>
      </x:c>
      <x:c r="N441" s="14" t="str">
        <x:v>Lực lượng KSANHK VATM phải duy trì tổ chức, năng lực, trang bị và thực hiện nhiệm vụ; cần kiểm tra nội bộ định kỳ.</x:v>
      </x:c>
      <x:c r="O441" s="14" t="str">
        <x:v>Kiểm tra hồ sơ ca trực, trang bị, năng định, nhật ký vụ việc, tuân thủ SOP.</x:v>
      </x:c>
      <x:c r="P441" s="14" t="str">
        <x:v>Lực lượng KSANHK duy trì đủ điều kiện và sẵn sàng</x:v>
      </x:c>
      <x:c r="Q441" s="14" t="str">
        <x:v>Biên bản kiểm tra nội bộ, CAPA, báo cáo TGĐ</x:v>
      </x:c>
      <x:c r="R441" s="14" t="str">
        <x:v>Quy trình kiểm tra nội bộ AVSEC VATM; Checklist audit lực lượng KSANHK</x:v>
      </x:c>
      <x:c r="S441" s="14" t="str">
        <x:v>Ban An ninh hàng không</x:v>
      </x:c>
      <x:c r="T441" s="14" t="str">
        <x:v>Các Công ty Quản lý bay khu vực Bắc/Trung/Nam; Ban An ninh hàng không</x:v>
      </x:c>
      <x:c r="U441" s="14" t="str">
        <x:v>Cục QLXNC khi giám sát</x:v>
      </x:c>
      <x:c r="V441" s="14" t="str">
        <x:v>Hằng quý/hằng năm</x:v>
      </x:c>
      <x:c r="W441" s="14" t="str">
        <x:v>P1</x:v>
      </x:c>
      <x:c r="X441" s="14" t="str">
        <x:v>Cao</x:v>
      </x:c>
      <x:c r="Y441" s="14" t="str">
        <x:v>Chưa bắt đầu</x:v>
      </x:c>
      <x:c r="Z441" s="14" t="str"/>
      <x:c r="AA441" s="14" t="str">
        <x:v>https://thuvienphapluat.vn/van-ban/Giao-thong-Van-tai/Nghi-dinh-215-2026-ND-C%D0%A0-an-ninh-hang-khong-711200.aspx</x:v>
      </x:c>
      <x:c r="AB441" s="14" t="str">
        <x:v>an ninh; atm; cns; anhk</x:v>
      </x:c>
    </x:row>
    <x:row r="442">
      <x:c r="A442" s="14" t="str">
        <x:v>VATM-0441</x:v>
      </x:c>
      <x:c r="B442" s="14" t="str">
        <x:v>59</x:v>
      </x:c>
      <x:c r="C442" s="14" t="str">
        <x:v>Nghị định 215/2026/NĐ-CP về an ninh hàng không</x:v>
      </x:c>
      <x:c r="D442" s="14" t="str">
        <x:v>Tong_hop_nhiem_vu_VATM_ND215_2026_ANHK.xlsx</x:v>
      </x:c>
      <x:c r="E442" s="14" t="str">
        <x:v>Nhiem_vu_VATM</x:v>
      </x:c>
      <x:c r="F442" s="56" t="n">
        <x:v>60</x:v>
      </x:c>
      <x:c r="G442" s="14" t="str">
        <x:v>Điều 49-52</x:v>
      </x:c>
      <x:c r="H442" s="14" t="str">
        <x:v>An ninh hàng không</x:v>
      </x:c>
      <x:c r="I442" s="14" t="str">
        <x:v>An ninh hệ thống CNS/ATM/CNTT</x:v>
      </x:c>
      <x:c r="J442" s="14" t="str">
        <x:v>Cơ chế báo cáo cho nhà chức trách an ninh</x:v>
      </x:c>
      <x:c r="K442" s="14" t="str">
        <x:v>Phối hợp/Gián tiếp</x:v>
      </x:c>
      <x:c r="L442" s="14" t="str">
        <x:v>An ninh/bảo vệ</x:v>
      </x:c>
      <x:c r="M442" s="14" t="str">
        <x:v>ANSP</x:v>
      </x:c>
      <x:c r="N442" s="14" t="str">
        <x:v>VATM phải sẵn sàng báo cáo, cung cấp tài liệu, thực hiện yêu cầu khắc phục của nhà chức trách an ninh.</x:v>
      </x:c>
      <x:c r="O442" s="14" t="str">
        <x:v>Thiết lập đầu mối duy nhất và quy trình clearance thông tin trước khi gửi; lưu vết báo cáo.</x:v>
      </x:c>
      <x:c r="P442" s="14" t="str">
        <x:v>Phản hồi đúng hạn, nhất quán, đầy đủ chứng cứ</x:v>
      </x:c>
      <x:c r="Q442" s="14" t="str">
        <x:v>Công văn, email chính thức, log xử lý yêu cầu</x:v>
      </x:c>
      <x:c r="R442" s="14" t="str">
        <x:v>Quy trình báo cáo/trao đổi với Nhà chức trách an ninh; Mẫu phiếu xử lý yêu cầu của nhà chức trách</x:v>
      </x:c>
      <x:c r="S442" s="14" t="str">
        <x:v>Ban An ninh hàng không; Văn phòng - Pháp chế</x:v>
      </x:c>
      <x:c r="T442" s="14" t="str">
        <x:v>Các Công ty Quản lý bay khu vực Bắc/Trung/Nam; Ban An ninh hàng không</x:v>
      </x:c>
      <x:c r="U442" s="14" t="str">
        <x:v>Cục QLXNC</x:v>
      </x:c>
      <x:c r="V442" s="14" t="str">
        <x:v>Theo yêu cầu; định kỳ nội bộ</x:v>
      </x:c>
      <x:c r="W442" s="14" t="str">
        <x:v>P1</x:v>
      </x:c>
      <x:c r="X442" s="14" t="str">
        <x:v>Trung bình/Cao</x:v>
      </x:c>
      <x:c r="Y442" s="14" t="str">
        <x:v>Chưa bắt đầu</x:v>
      </x:c>
      <x:c r="Z442" s="14" t="str"/>
      <x:c r="AA442" s="14" t="str">
        <x:v>https://thuvienphapluat.vn/van-ban/Giao-thong-Van-tai/Nghi-dinh-215-2026-ND-C%D0%A0-an-ninh-hang-khong-711200.aspx</x:v>
      </x:c>
      <x:c r="AB442" s="14" t="str">
        <x:v>an ninh; atm; cns; phap che</x:v>
      </x:c>
    </x:row>
    <x:row r="443">
      <x:c r="A443" s="14" t="str">
        <x:v>VATM-0442</x:v>
      </x:c>
      <x:c r="B443" s="14" t="str">
        <x:v>60</x:v>
      </x:c>
      <x:c r="C443" s="14" t="str">
        <x:v>Nghị định 215/2026/NĐ-CP về an ninh hàng không</x:v>
      </x:c>
      <x:c r="D443" s="14" t="str">
        <x:v>Tong_hop_nhiem_vu_VATM_ND215_2026_ANHK.xlsx</x:v>
      </x:c>
      <x:c r="E443" s="14" t="str">
        <x:v>Nhiem_vu_VATM</x:v>
      </x:c>
      <x:c r="F443" s="56" t="n">
        <x:v>61</x:v>
      </x:c>
      <x:c r="G443" s="14" t="str">
        <x:v>Điều 55-56</x:v>
      </x:c>
      <x:c r="H443" s="14" t="str">
        <x:v>An ninh hàng không</x:v>
      </x:c>
      <x:c r="I443" s="14" t="str">
        <x:v>Quản trị, phối hợp và giám sát ANHK</x:v>
      </x:c>
      <x:c r="J443" s="14" t="str">
        <x:v>Dự án đầu tư cơ sở ANS mới/cải tạo</x:v>
      </x:c>
      <x:c r="K443" s="14" t="str">
        <x:v>Trực tiếp</x:v>
      </x:c>
      <x:c r="L443" s="14" t="str">
        <x:v>An ninh/bảo vệ</x:v>
      </x:c>
      <x:c r="M443" s="14" t="str">
        <x:v>ANSP</x:v>
      </x:c>
      <x:c r="N443" s="14" t="str">
        <x:v>Khi xây mới/cải tạo cơ sở ANS, yêu cầu an ninh vật lý, thiết bị, phân vùng, kiểm soát truy cập phải đưa vào nhiệm vụ thiết kế/FS.</x:v>
      </x:c>
      <x:c r="O443" s="14" t="str">
        <x:v>AVSEC by design: threat assessment, zoning, camera, ACS, resilience, đường dự phòng; nghiệm thu an ninh trước khai thác.</x:v>
      </x:c>
      <x:c r="P443" s="14" t="str">
        <x:v>Cơ sở mới không phải sửa chữa tốn kém do thiếu yêu cầu an ninh</x:v>
      </x:c>
      <x:c r="Q443" s="14" t="str">
        <x:v>Yêu cầu thiết kế, hồ sơ nghiệm thu, biên bản đánh giá rủi ro</x:v>
      </x:c>
      <x:c r="R443" s="14" t="str">
        <x:v>Quy trình tích hợp AVSEC trong quản lý dự án ANS; Checklist AVSEC by design</x:v>
      </x:c>
      <x:c r="S443" s="14" t="str">
        <x:v>Ban An ninh hàng không; Ban Kỹ thuật - CNS/IT/Môi trường</x:v>
      </x:c>
      <x:c r="T443" s="14" t="str">
        <x:v>Các Công ty Quản lý bay khu vực Bắc/Trung/Nam; Ban An ninh hàng không</x:v>
      </x:c>
      <x:c r="U443" s="14" t="str">
        <x:v>CHKVN, Cục QLXNC nếu thẩm định</x:v>
      </x:c>
      <x:c r="V443" s="14" t="str">
        <x:v>Từ giai đoạn chuẩn bị dự án</x:v>
      </x:c>
      <x:c r="W443" s="14" t="str">
        <x:v>P1</x:v>
      </x:c>
      <x:c r="X443" s="14" t="str">
        <x:v>Cao</x:v>
      </x:c>
      <x:c r="Y443" s="14" t="str">
        <x:v>Chưa bắt đầu</x:v>
      </x:c>
      <x:c r="Z443" s="14" t="str"/>
      <x:c r="AA443" s="14" t="str">
        <x:v>https://thuvienphapluat.vn/van-ban/Giao-thong-Van-tai/Nghi-dinh-215-2026-ND-C%D0%A0-an-ninh-hang-khong-711200.aspx</x:v>
      </x:c>
      <x:c r="AB443" s="14" t="str">
        <x:v>an ninh; anhk; ans; cns</x:v>
      </x:c>
    </x:row>
    <x:row r="444">
      <x:c r="A444" s="14" t="str">
        <x:v>VATM-0443</x:v>
      </x:c>
      <x:c r="B444" s="14" t="str">
        <x:v>61</x:v>
      </x:c>
      <x:c r="C444" s="14" t="str">
        <x:v>Nghị định 215/2026/NĐ-CP về an ninh hàng không</x:v>
      </x:c>
      <x:c r="D444" s="14" t="str">
        <x:v>Tong_hop_nhiem_vu_VATM_ND215_2026_ANHK.xlsx</x:v>
      </x:c>
      <x:c r="E444" s="14" t="str">
        <x:v>Nhiem_vu_VATM</x:v>
      </x:c>
      <x:c r="F444" s="56" t="n">
        <x:v>62</x:v>
      </x:c>
      <x:c r="G444" s="14" t="str">
        <x:v>Điều 3,27,37</x:v>
      </x:c>
      <x:c r="H444" s="14" t="str">
        <x:v>An ninh hàng không</x:v>
      </x:c>
      <x:c r="I444" s="14" t="str">
        <x:v>An ninh hệ thống CNS/ATM/CNTT</x:v>
      </x:c>
      <x:c r="J444" s="14" t="str">
        <x:v>Văn hóa báo cáo an ninh</x:v>
      </x:c>
      <x:c r="K444" s="14" t="str">
        <x:v>Trực tiếp</x:v>
      </x:c>
      <x:c r="L444" s="14" t="str">
        <x:v>An ninh/bảo vệ</x:v>
      </x:c>
      <x:c r="M444" s="14" t="str">
        <x:v>ANSP</x:v>
      </x:c>
      <x:c r="N444" s="14" t="str">
        <x:v>NĐ yêu cầu sự cố/vi phạm được xử lý, báo cáo, phân tích, rút kinh nghiệm; VATM cần cơ chế non-punitive phù hợp cho báo cáo dấu hiệu an ninh.</x:v>
      </x:c>
      <x:c r="O444" s="14" t="str">
        <x:v>Tạo kênh báo cáo mật/ẩn danh, phân loại AVSEC hazard/threat, phản hồi người báo cáo.</x:v>
      </x:c>
      <x:c r="P444" s="14" t="str">
        <x:v>Tăng phát hiện sớm nguy cơ an ninh tại cơ sở ANS</x:v>
      </x:c>
      <x:c r="Q444" s="14" t="str">
        <x:v>Sổ tiếp nhận báo cáo, dashboard, báo cáo phân tích xu hướng</x:v>
      </x:c>
      <x:c r="R444" s="14" t="str">
        <x:v>Quy trình báo cáo tự nguyện dấu hiệu an ninh ANS; Mẫu phiếu báo cáo dấu hiệu uy hiếp an ninh</x:v>
      </x:c>
      <x:c r="S444" s="14" t="str">
        <x:v>Ban An ninh hàng không; Ban An toàn - Chất lượng</x:v>
      </x:c>
      <x:c r="T444" s="14" t="str">
        <x:v>Các Công ty Quản lý bay khu vực Bắc/Trung/Nam; Ban An ninh hàng không</x:v>
      </x:c>
      <x:c r="U444" s="14" t="str">
        <x:v>CHKVN, Cục QLXNC</x:v>
      </x:c>
      <x:c r="V444" s="14" t="str">
        <x:v>Liên tục</x:v>
      </x:c>
      <x:c r="W444" s="14" t="str">
        <x:v>P1</x:v>
      </x:c>
      <x:c r="X444" s="14" t="str">
        <x:v>Trung bình/Cao</x:v>
      </x:c>
      <x:c r="Y444" s="14" t="str">
        <x:v>Chưa bắt đầu</x:v>
      </x:c>
      <x:c r="Z444" s="14" t="str"/>
      <x:c r="AA444" s="14" t="str">
        <x:v>https://thuvienphapluat.vn/van-ban/Giao-thong-Van-tai/Nghi-dinh-215-2026-ND-C%D0%A0-an-ninh-hang-khong-711200.aspx</x:v>
      </x:c>
      <x:c r="AB444" s="14" t="str">
        <x:v>an ninh; atm; cns; an toan</x:v>
      </x:c>
    </x:row>
    <x:row r="445">
      <x:c r="A445" s="14" t="str">
        <x:v>VATM-0444</x:v>
      </x:c>
      <x:c r="B445" s="14" t="str">
        <x:v>62</x:v>
      </x:c>
      <x:c r="C445" s="14" t="str">
        <x:v>Nghị định 215/2026/NĐ-CP về an ninh hàng không</x:v>
      </x:c>
      <x:c r="D445" s="14" t="str">
        <x:v>Tong_hop_nhiem_vu_VATM_ND215_2026_ANHK.xlsx</x:v>
      </x:c>
      <x:c r="E445" s="14" t="str">
        <x:v>Nhiem_vu_VATM</x:v>
      </x:c>
      <x:c r="F445" s="56" t="n">
        <x:v>63</x:v>
      </x:c>
      <x:c r="G445" s="14" t="str">
        <x:v>Điều 53-54</x:v>
      </x:c>
      <x:c r="H445" s="14" t="str">
        <x:v>An ninh hàng không</x:v>
      </x:c>
      <x:c r="I445" s="14" t="str">
        <x:v>An ninh hệ thống CNS/ATM/CNTT</x:v>
      </x:c>
      <x:c r="J445" s="14" t="str">
        <x:v>Tham gia chương trình tạo thuận lợi và Ủy ban liên ngành khi được mời</x:v>
      </x:c>
      <x:c r="K445" s="14" t="str">
        <x:v>Phối hợp/Gián tiếp</x:v>
      </x:c>
      <x:c r="L445" s="14" t="str">
        <x:v>An ninh/bảo vệ</x:v>
      </x:c>
      <x:c r="M445" s="14" t="str">
        <x:v>ANSP</x:v>
      </x:c>
      <x:c r="N445" s="14" t="str">
        <x:v>VATM với vai trò ANSP cần cung cấp ý kiến kỹ thuật về luồng bay, dữ liệu và vận hành liên tục trong các cơ chế tạo thuận lợi/an ninh liên ngành.</x:v>
      </x:c>
      <x:c r="O445" s="14" t="str">
        <x:v>Chuẩn bị dữ liệu, đề xuất cải tiến quy trình liên ngành không làm tăng rủi ro an ninh.</x:v>
      </x:c>
      <x:c r="P445" s="14" t="str">
        <x:v>Ý kiến VATM được ghi nhận, hỗ trợ tạo thuận lợi mà không ảnh hưởng an ninh</x:v>
      </x:c>
      <x:c r="Q445" s="14" t="str">
        <x:v>Biên bản họp, văn bản góp ý, báo cáo kỹ thuật</x:v>
      </x:c>
      <x:c r="R445" s="14" t="str">
        <x:v>Quy trình tham gia nhóm công tác liên ngành; Mẫu phiếu góp ý chính sách liên ngành</x:v>
      </x:c>
      <x:c r="S445" s="14" t="str">
        <x:v>Ban An ninh hàng không; Văn phòng - Pháp chế; Trung tâm Thông báo tin tức hàng không</x:v>
      </x:c>
      <x:c r="T445" s="14" t="str">
        <x:v>Các Công ty Quản lý bay khu vực Bắc/Trung/Nam; Ban An ninh hàng không</x:v>
      </x:c>
      <x:c r="U445" s="14" t="str">
        <x:v>Ủy ban quốc gia, CHKVN, Cục QLXNC</x:v>
      </x:c>
      <x:c r="V445" s="14" t="str">
        <x:v>Khi được yêu cầu</x:v>
      </x:c>
      <x:c r="W445" s="14" t="str">
        <x:v>P2</x:v>
      </x:c>
      <x:c r="X445" s="14" t="str">
        <x:v>Trung bình</x:v>
      </x:c>
      <x:c r="Y445" s="14" t="str">
        <x:v>Chưa bắt đầu</x:v>
      </x:c>
      <x:c r="Z445" s="14" t="str"/>
      <x:c r="AA445" s="14" t="str">
        <x:v>https://thuvienphapluat.vn/van-ban/Giao-thong-Van-tai/Nghi-dinh-215-2026-ND-C%D0%A0-an-ninh-hang-khong-711200.aspx</x:v>
      </x:c>
      <x:c r="AB445" s="14" t="str">
        <x:v>an ninh; atm; cns; ans; du lieu; phap che</x:v>
      </x:c>
    </x:row>
    <x:row r="446">
      <x:c r="A446" s="14" t="str">
        <x:v>VATM-0445</x:v>
      </x:c>
      <x:c r="B446" s="14" t="str">
        <x:v>63</x:v>
      </x:c>
      <x:c r="C446" s="14" t="str">
        <x:v>Nghị định 215/2026/NĐ-CP về an ninh hàng không</x:v>
      </x:c>
      <x:c r="D446" s="14" t="str">
        <x:v>Tong_hop_nhiem_vu_VATM_ND215_2026_ANHK.xlsx</x:v>
      </x:c>
      <x:c r="E446" s="14" t="str">
        <x:v>Nhiem_vu_VATM</x:v>
      </x:c>
      <x:c r="F446" s="56" t="n">
        <x:v>64</x:v>
      </x:c>
      <x:c r="G446" s="14" t="str">
        <x:v>Điều 67-68, Phụ lục I-II</x:v>
      </x:c>
      <x:c r="H446" s="14" t="str">
        <x:v>An ninh hàng không</x:v>
      </x:c>
      <x:c r="I446" s="14" t="str">
        <x:v>Ứng phó sự cố/diễn tập ANHK</x:v>
      </x:c>
      <x:c r="J446" s="14" t="str">
        <x:v>Hiệp đồng địa phương nơi có công trình ANS ngoài cảng</x:v>
      </x:c>
      <x:c r="K446" s="14" t="str">
        <x:v>Trực tiếp</x:v>
      </x:c>
      <x:c r="L446" s="14" t="str">
        <x:v>An ninh/bảo vệ</x:v>
      </x:c>
      <x:c r="M446" s="14" t="str">
        <x:v>ANSP</x:v>
      </x:c>
      <x:c r="N446" s="14" t="str">
        <x:v>Các công trình ANS ngoài cảng vẫn liên quan phương án khẩn nguy/đánh giá rủi ro địa phương; VATM phải làm việc với Công an/Quân sự địa phương.</x:v>
      </x:c>
      <x:c r="O446" s="14" t="str">
        <x:v>Ký/ cập nhật quy chế phối hợp bảo vệ trạm radar/VHF/NDB/DVOR nếu còn; diễn tập báo động, kiểm tra tiếp cận.</x:v>
      </x:c>
      <x:c r="P446" s="14" t="str">
        <x:v>Cơ sở ngoài cảng có phương án bảo vệ và lực lượng hỗ trợ rõ ràng</x:v>
      </x:c>
      <x:c r="Q446" s="14" t="str">
        <x:v>Quy chế phối hợp, biên bản kiểm tra, danh bạ trực</x:v>
      </x:c>
      <x:c r="R446" s="14" t="str">
        <x:v>SOP phối hợp bảo vệ công trình ANS ngoài cảng; Mẫu quy chế phối hợp địa phương</x:v>
      </x:c>
      <x:c r="S446" s="14" t="str">
        <x:v>Ban An ninh hàng không; Ban Kỹ thuật - CNS/IT/Môi trường; Các Công ty Quản lý bay khu vực Bắc/Trung/Nam</x:v>
      </x:c>
      <x:c r="T446" s="14" t="str">
        <x:v>Các Công ty Quản lý bay khu vực Bắc/Trung/Nam; Ban An ninh hàng không</x:v>
      </x:c>
      <x:c r="U446" s="14" t="str">
        <x:v>Công an/Quân sự địa phương</x:v>
      </x:c>
      <x:c r="V446" s="14" t="str">
        <x:v>Hằng năm; khi thay đổi cơ sở</x:v>
      </x:c>
      <x:c r="W446" s="14" t="str">
        <x:v>P1</x:v>
      </x:c>
      <x:c r="X446" s="14" t="str">
        <x:v>Cao</x:v>
      </x:c>
      <x:c r="Y446" s="14" t="str">
        <x:v>Chưa bắt đầu</x:v>
      </x:c>
      <x:c r="Z446" s="14" t="str"/>
      <x:c r="AA446" s="14" t="str">
        <x:v>https://thuvienphapluat.vn/van-ban/Giao-thong-Van-tai/Nghi-dinh-215-2026-ND-C%D0%A0-an-ninh-hang-khong-711200.aspx</x:v>
      </x:c>
      <x:c r="AB446" s="14" t="str">
        <x:v>an ninh; anhk; ans; atm; cang; cns</x:v>
      </x:c>
    </x:row>
    <x:row r="447">
      <x:c r="A447" s="14" t="str">
        <x:v>VATM-0446</x:v>
      </x:c>
      <x:c r="B447" s="14" t="str">
        <x:v>64</x:v>
      </x:c>
      <x:c r="C447" s="14" t="str">
        <x:v>Nghị định 215/2026/NĐ-CP về an ninh hàng không</x:v>
      </x:c>
      <x:c r="D447" s="14" t="str">
        <x:v>Tong_hop_nhiem_vu_VATM_ND215_2026_ANHK.xlsx</x:v>
      </x:c>
      <x:c r="E447" s="14" t="str">
        <x:v>Nhiem_vu_VATM</x:v>
      </x:c>
      <x:c r="F447" s="56" t="n">
        <x:v>65</x:v>
      </x:c>
      <x:c r="G447" s="14" t="str">
        <x:v>Điều 6,38-40</x:v>
      </x:c>
      <x:c r="H447" s="14" t="str">
        <x:v>An ninh hàng không</x:v>
      </x:c>
      <x:c r="I447" s="14" t="str">
        <x:v>Khu vực hạn chế/kiểm soát ra vào</x:v>
      </x:c>
      <x:c r="J447" s="14" t="str">
        <x:v>Rà soát thuê dịch vụ bảo vệ tại cơ sở ANS</x:v>
      </x:c>
      <x:c r="K447" s="14" t="str">
        <x:v>Trực tiếp</x:v>
      </x:c>
      <x:c r="L447" s="14" t="str">
        <x:v>An ninh/bảo vệ</x:v>
      </x:c>
      <x:c r="M447" s="14" t="str">
        <x:v>ANSP</x:v>
      </x:c>
      <x:c r="N447" s="14" t="str">
        <x:v>Nếu VATM thuê bảo vệ dân sự tại cơ sở ANS, phải làm rõ quan hệ với lực lượng KSANHK theo NĐ, đào tạo, phạm vi nhiệm vụ và chuyển giao vụ việc.</x:v>
      </x:c>
      <x:c r="O447" s="14" t="str">
        <x:v>Bổ sung tiêu chí an ninh hàng không, đào tạo, báo cáo sự cố, bảo mật, phối hợp KSANHK vào hợp đồng.</x:v>
      </x:c>
      <x:c r="P447" s="14" t="str">
        <x:v>Bảo vệ thuê không thay thế sai thẩm quyền KSANHK; phối hợp hiệu quả</x:v>
      </x:c>
      <x:c r="Q447" s="14" t="str">
        <x:v>Hợp đồng, hồ sơ nhân sự bảo vệ, biên bản huấn luyện</x:v>
      </x:c>
      <x:c r="R447" s="14" t="str">
        <x:v>Quy trình quản lý nhà thầu bảo vệ cơ sở ANS; Checklist hợp đồng bảo vệ theo AVSEC</x:v>
      </x:c>
      <x:c r="S447" s="14" t="str">
        <x:v>Ban An ninh hàng không</x:v>
      </x:c>
      <x:c r="T447" s="14" t="str">
        <x:v>Các Công ty Quản lý bay khu vực Bắc/Trung/Nam; Ban An ninh hàng không</x:v>
      </x:c>
      <x:c r="U447" s="14" t="str">
        <x:v>Cục QLXNC/Công an địa phương</x:v>
      </x:c>
      <x:c r="V447" s="14" t="str">
        <x:v>Khi ký/gia hạn hợp đồng</x:v>
      </x:c>
      <x:c r="W447" s="14" t="str">
        <x:v>P1</x:v>
      </x:c>
      <x:c r="X447" s="14" t="str">
        <x:v>Cao</x:v>
      </x:c>
      <x:c r="Y447" s="14" t="str">
        <x:v>Chưa bắt đầu</x:v>
      </x:c>
      <x:c r="Z447" s="14" t="str"/>
      <x:c r="AA447" s="14" t="str">
        <x:v>https://thuvienphapluat.vn/van-ban/Giao-thong-Van-tai/Nghi-dinh-215-2026-ND-C%D0%A0-an-ninh-hang-khong-711200.aspx</x:v>
      </x:c>
      <x:c r="AB447" s="14" t="str">
        <x:v>an ninh; ans; atm; anhk</x:v>
      </x:c>
    </x:row>
    <x:row r="448">
      <x:c r="A448" s="14" t="str">
        <x:v>VATM-0447</x:v>
      </x:c>
      <x:c r="B448" s="14" t="str">
        <x:v>65</x:v>
      </x:c>
      <x:c r="C448" s="14" t="str">
        <x:v>Nghị định 215/2026/NĐ-CP về an ninh hàng không</x:v>
      </x:c>
      <x:c r="D448" s="14" t="str">
        <x:v>Tong_hop_nhiem_vu_VATM_ND215_2026_ANHK.xlsx</x:v>
      </x:c>
      <x:c r="E448" s="14" t="str">
        <x:v>Nhiem_vu_VATM</x:v>
      </x:c>
      <x:c r="F448" s="56" t="n">
        <x:v>66</x:v>
      </x:c>
      <x:c r="G448" s="14" t="str">
        <x:v>Điều 21,40</x:v>
      </x:c>
      <x:c r="H448" s="14" t="str">
        <x:v>An ninh hàng không</x:v>
      </x:c>
      <x:c r="I448" s="14" t="str">
        <x:v>Khu vực hạn chế/kiểm soát ra vào</x:v>
      </x:c>
      <x:c r="J448" s="14" t="str">
        <x:v>Xử lý người gây rối/đe dọa tại cơ sở ANS</x:v>
      </x:c>
      <x:c r="K448" s="14" t="str">
        <x:v>Trực tiếp</x:v>
      </x:c>
      <x:c r="L448" s="14" t="str">
        <x:v>An ninh/bảo vệ</x:v>
      </x:c>
      <x:c r="M448" s="14" t="str">
        <x:v>Doanh nghiệp điều hành bay/ANSP</x:v>
      </x:c>
      <x:c r="N448" s="14" t="str">
        <x:v>Người chiếm đoạt, gây bạo loạn tại cơ sở điều hành bay có thể bị xử lý nghiêm; lực lượng KSANHK VATM lập biên bản và chuyển giao.</x:v>
      </x:c>
      <x:c r="O448" s="14" t="str">
        <x:v>Bảo đảm an toàn nhân viên, cách ly đối tượng, thông báo lực lượng chức năng, lập biên bản theo mẫu.</x:v>
      </x:c>
      <x:c r="P448" s="14" t="str">
        <x:v>Vụ việc được xử lý kịp thời, không gián đoạn dịch vụ điều hành bay</x:v>
      </x:c>
      <x:c r="Q448" s="14" t="str">
        <x:v>Biên bản vụ việc, camera, nhật ký ca trực, bàn giao đối tượng</x:v>
      </x:c>
      <x:c r="R448" s="14" t="str">
        <x:v>SOP xử lý người gây rối tại cơ sở điều hành bay; Mẫu biên bản người gây rối/đe dọa</x:v>
      </x:c>
      <x:c r="S448" s="14" t="str">
        <x:v>Ban An ninh hàng không; Văn phòng - Pháp chế</x:v>
      </x:c>
      <x:c r="T448" s="14" t="str">
        <x:v>Các Công ty Quản lý bay khu vực Bắc/Trung/Nam; Ban An ninh hàng không</x:v>
      </x:c>
      <x:c r="U448" s="14" t="str">
        <x:v>Công an/Cục QLXNC</x:v>
      </x:c>
      <x:c r="V448" s="14" t="str">
        <x:v>Khi phát sinh</x:v>
      </x:c>
      <x:c r="W448" s="14" t="str">
        <x:v>P1</x:v>
      </x:c>
      <x:c r="X448" s="14" t="str">
        <x:v>Rất cao</x:v>
      </x:c>
      <x:c r="Y448" s="14" t="str">
        <x:v>Chưa bắt đầu</x:v>
      </x:c>
      <x:c r="Z448" s="14" t="str"/>
      <x:c r="AA448" s="14" t="str">
        <x:v>https://thuvienphapluat.vn/van-ban/Giao-thong-Van-tai/Nghi-dinh-215-2026-ND-C%D0%A0-an-ninh-hang-khong-711200.aspx</x:v>
      </x:c>
      <x:c r="AB448" s="14" t="str">
        <x:v>an ninh; atm; anhk; phap che</x:v>
      </x:c>
    </x:row>
    <x:row r="449">
      <x:c r="A449" s="14" t="str">
        <x:v>VATM-0448</x:v>
      </x:c>
      <x:c r="B449" s="14" t="str">
        <x:v>66</x:v>
      </x:c>
      <x:c r="C449" s="14" t="str">
        <x:v>Nghị định 215/2026/NĐ-CP về an ninh hàng không</x:v>
      </x:c>
      <x:c r="D449" s="14" t="str">
        <x:v>Tong_hop_nhiem_vu_VATM_ND215_2026_ANHK.xlsx</x:v>
      </x:c>
      <x:c r="E449" s="14" t="str">
        <x:v>Nhiem_vu_VATM</x:v>
      </x:c>
      <x:c r="F449" s="56" t="n">
        <x:v>67</x:v>
      </x:c>
      <x:c r="G449" s="14" t="str">
        <x:v>Điều 29,37,Phụ lục II</x:v>
      </x:c>
      <x:c r="H449" s="14" t="str">
        <x:v>An ninh hàng không</x:v>
      </x:c>
      <x:c r="I449" s="14" t="str">
        <x:v>Ứng phó sự cố/diễn tập ANHK</x:v>
      </x:c>
      <x:c r="J449" s="14" t="str">
        <x:v>UAV xâm nhập đe dọa hoạt động bay/cơ sở ANS</x:v>
      </x:c>
      <x:c r="K449" s="14" t="str">
        <x:v>Trực tiếp</x:v>
      </x:c>
      <x:c r="L449" s="14" t="str">
        <x:v>An ninh/bảo vệ</x:v>
      </x:c>
      <x:c r="M449" s="14" t="str">
        <x:v>ANSP</x:v>
      </x:c>
      <x:c r="N449" s="14" t="str">
        <x:v>Tình huống UAV xâm nhập đe dọa an toàn hoạt động bay phải có trong phương án và diễn tập.</x:v>
      </x:c>
      <x:c r="O449" s="14" t="str">
        <x:v>Xây dựng quy trình ATC-UAV threat: nhận báo cáo, xác minh, cảnh báo, phối hợp chế áp, phát NOTAM nếu cần.</x:v>
      </x:c>
      <x:c r="P449" s="14" t="str">
        <x:v>Giảm rủi ro UAV đối với hoạt động bay và công trình ANS</x:v>
      </x:c>
      <x:c r="Q449" s="14" t="str">
        <x:v>Báo cáo phát hiện UAV, nhật ký ATC, NOTAM, biên bản phối hợp</x:v>
      </x:c>
      <x:c r="R449" s="14" t="str">
        <x:v>SOP xử lý UAV xâm nhập tại cơ sở/không phận cảng; Checklist ATC xử lý UAV</x:v>
      </x:c>
      <x:c r="S449" s="14" t="str">
        <x:v>Ban An ninh hàng không; Ban Kỹ thuật - CNS/IT/Môi trường</x:v>
      </x:c>
      <x:c r="T449" s="14" t="str">
        <x:v>Các Công ty Quản lý bay khu vực Bắc/Trung/Nam; Ban Không lưu; Ban Kỹ thuật - CNS/IT/Môi trường; Ban An ninh hàng không</x:v>
      </x:c>
      <x:c r="U449" s="14" t="str">
        <x:v>Công an, Quân đội, Cảng vụ, ACV</x:v>
      </x:c>
      <x:c r="V449" s="14" t="str">
        <x:v>Khi phát hiện; diễn tập định kỳ</x:v>
      </x:c>
      <x:c r="W449" s="14" t="str">
        <x:v>P1</x:v>
      </x:c>
      <x:c r="X449" s="14" t="str">
        <x:v>Rất cao</x:v>
      </x:c>
      <x:c r="Y449" s="14" t="str">
        <x:v>Chưa bắt đầu</x:v>
      </x:c>
      <x:c r="Z449" s="14" t="str"/>
      <x:c r="AA449" s="14" t="str">
        <x:v>https://thuvienphapluat.vn/van-ban/Giao-thong-Van-tai/Nghi-dinh-215-2026-ND-C%D0%A0-an-ninh-hang-khong-711200.aspx</x:v>
      </x:c>
      <x:c r="AB449" s="14" t="str">
        <x:v>an ninh; anhk; an toan; cns</x:v>
      </x:c>
    </x:row>
    <x:row r="450">
      <x:c r="A450" s="14" t="str">
        <x:v>VATM-0449</x:v>
      </x:c>
      <x:c r="B450" s="14" t="str">
        <x:v>67</x:v>
      </x:c>
      <x:c r="C450" s="14" t="str">
        <x:v>Nghị định 215/2026/NĐ-CP về an ninh hàng không</x:v>
      </x:c>
      <x:c r="D450" s="14" t="str">
        <x:v>Tong_hop_nhiem_vu_VATM_ND215_2026_ANHK.xlsx</x:v>
      </x:c>
      <x:c r="E450" s="14" t="str">
        <x:v>Nhiem_vu_VATM</x:v>
      </x:c>
      <x:c r="F450" s="56" t="n">
        <x:v>68</x:v>
      </x:c>
      <x:c r="G450" s="14" t="str">
        <x:v>Điều 28,29,36</x:v>
      </x:c>
      <x:c r="H450" s="14" t="str">
        <x:v>An ninh hàng không</x:v>
      </x:c>
      <x:c r="I450" s="14" t="str">
        <x:v>Ứng phó sự cố/diễn tập ANHK</x:v>
      </x:c>
      <x:c r="J450" s="14" t="str">
        <x:v>Duy trì dịch vụ ANS khi xảy ra khủng bố/can thiệp</x:v>
      </x:c>
      <x:c r="K450" s="14" t="str">
        <x:v>Trực tiếp</x:v>
      </x:c>
      <x:c r="L450" s="14" t="str">
        <x:v>An ninh/bảo vệ</x:v>
      </x:c>
      <x:c r="M450" s="14" t="str">
        <x:v>ANSP/doanh nghiệp điều hành bay</x:v>
      </x:c>
      <x:c r="N450" s="14" t="str">
        <x:v>NĐ yêu cầu duy trì tối đa hoạt động bình thường nơi xảy ra hành vi can thiệp; VATM phải có phương án dự phòng điều hành bay/CNS.</x:v>
      </x:c>
      <x:c r="O450" s="14" t="str">
        <x:v>Kết nối phương án AVSEC với contingency ATS/CNS/AIS/MET; xác định trigger chuyển cơ sở/dịch vụ dự phòng.</x:v>
      </x:c>
      <x:c r="P450" s="14" t="str">
        <x:v>Dịch vụ tối thiểu được duy trì an toàn khi cơ sở bị đe dọa</x:v>
      </x:c>
      <x:c r="Q450" s="14" t="str">
        <x:v>Kế hoạch contingency, biên bản thử, báo cáo khôi phục</x:v>
      </x:c>
      <x:c r="R450" s="14" t="str">
        <x:v>Quy trình liên kết AVSEC-contingency ANS; Mẫu trigger matrix chuyển dự phòng</x:v>
      </x:c>
      <x:c r="S450" s="14" t="str">
        <x:v>Ban An ninh hàng không; Ban Kỹ thuật - CNS/IT/Môi trường</x:v>
      </x:c>
      <x:c r="T450" s="14" t="str">
        <x:v>Các Công ty Quản lý bay khu vực Bắc/Trung/Nam; Ban Kỹ thuật - CNS/IT/Môi trường; Ban An ninh hàng không</x:v>
      </x:c>
      <x:c r="U450" s="14" t="str">
        <x:v>CHKVN, Cục QLXNC, Quân đội</x:v>
      </x:c>
      <x:c r="V450" s="14" t="str">
        <x:v>Khi lập phương án; thử nghiệm định kỳ</x:v>
      </x:c>
      <x:c r="W450" s="14" t="str">
        <x:v>P1</x:v>
      </x:c>
      <x:c r="X450" s="14" t="str">
        <x:v>Rất cao</x:v>
      </x:c>
      <x:c r="Y450" s="14" t="str">
        <x:v>Chưa bắt đầu</x:v>
      </x:c>
      <x:c r="Z450" s="14" t="str"/>
      <x:c r="AA450" s="14" t="str">
        <x:v>https://thuvienphapluat.vn/van-ban/Giao-thong-Van-tai/Nghi-dinh-215-2026-ND-C%D0%A0-an-ninh-hang-khong-711200.aspx</x:v>
      </x:c>
      <x:c r="AB450" s="14" t="str">
        <x:v>an ninh; anhk; atm; cns</x:v>
      </x:c>
    </x:row>
    <x:row r="451">
      <x:c r="A451" s="14" t="str">
        <x:v>VATM-0450</x:v>
      </x:c>
      <x:c r="B451" s="14" t="str">
        <x:v>68</x:v>
      </x:c>
      <x:c r="C451" s="14" t="str">
        <x:v>Nghị định 215/2026/NĐ-CP về an ninh hàng không</x:v>
      </x:c>
      <x:c r="D451" s="14" t="str">
        <x:v>Tong_hop_nhiem_vu_VATM_ND215_2026_ANHK.xlsx</x:v>
      </x:c>
      <x:c r="E451" s="14" t="str">
        <x:v>Nhiem_vu_VATM</x:v>
      </x:c>
      <x:c r="F451" s="56" t="n">
        <x:v>69</x:v>
      </x:c>
      <x:c r="G451" s="14" t="str">
        <x:v>Điều 24,26,37</x:v>
      </x:c>
      <x:c r="H451" s="14" t="str">
        <x:v>An ninh hàng không</x:v>
      </x:c>
      <x:c r="I451" s="14" t="str">
        <x:v>Ứng phó sự cố/diễn tập ANHK</x:v>
      </x:c>
      <x:c r="J451" s="14" t="str">
        <x:v>Diễn tập bảo mật tài liệu và cyber</x:v>
      </x:c>
      <x:c r="K451" s="14" t="str">
        <x:v>Trực tiếp</x:v>
      </x:c>
      <x:c r="L451" s="14" t="str">
        <x:v>An ninh/bảo vệ</x:v>
      </x:c>
      <x:c r="M451" s="14" t="str">
        <x:v>ANSP</x:v>
      </x:c>
      <x:c r="N451" s="14" t="str">
        <x:v>Tài liệu an ninh hạn chế và hệ thống thông tin chuyên ngành phải được kiểm soát; nên đưa vào diễn tập cấp cơ sở.</x:v>
      </x:c>
      <x:c r="O451" s="14" t="str">
        <x:v>Diễn tập tabletop lộ lọt tài liệu/chèn dữ liệu giả vào hệ thống; đo thời gian phát hiện và khắc phục.</x:v>
      </x:c>
      <x:c r="P451" s="14" t="str">
        <x:v>Nâng năng lực bảo mật và phản ứng sự cố thông tin</x:v>
      </x:c>
      <x:c r="Q451" s="14" t="str">
        <x:v>Biên bản diễn tập, log phát hiện, CAPA</x:v>
      </x:c>
      <x:c r="R451" s="14" t="str">
        <x:v>Quy trình diễn tập cyber/infosec AVSEC; Kịch bản diễn tập lộ lọt tài liệu an ninh</x:v>
      </x:c>
      <x:c r="S451" s="14" t="str">
        <x:v>Ban An ninh hàng không; Ban Kế hoạch doanh nghiệp - Chuyển đổi số; Ban Kỹ thuật - CNS/IT/Môi trường</x:v>
      </x:c>
      <x:c r="T451" s="14" t="str">
        <x:v>Các Công ty Quản lý bay khu vực Bắc/Trung/Nam; Ban An ninh hàng không</x:v>
      </x:c>
      <x:c r="U451" s="14" t="str">
        <x:v>Cục QLXNC/CHKVN</x:v>
      </x:c>
      <x:c r="V451" s="14" t="str">
        <x:v>2 năm/lần hoặc hằng năm nội bộ</x:v>
      </x:c>
      <x:c r="W451" s="14" t="str">
        <x:v>P1</x:v>
      </x:c>
      <x:c r="X451" s="14" t="str">
        <x:v>Cao</x:v>
      </x:c>
      <x:c r="Y451" s="14" t="str">
        <x:v>Chưa bắt đầu</x:v>
      </x:c>
      <x:c r="Z451" s="14" t="str"/>
      <x:c r="AA451" s="14" t="str">
        <x:v>https://thuvienphapluat.vn/van-ban/Giao-thong-Van-tai/Nghi-dinh-215-2026-ND-C%D0%A0-an-ninh-hang-khong-711200.aspx</x:v>
      </x:c>
      <x:c r="AB451" s="14" t="str">
        <x:v>an ninh; anhk; cns</x:v>
      </x:c>
    </x:row>
    <x:row r="452">
      <x:c r="A452" s="14" t="str">
        <x:v>VATM-0451</x:v>
      </x:c>
      <x:c r="B452" s="14" t="str">
        <x:v>69</x:v>
      </x:c>
      <x:c r="C452" s="14" t="str">
        <x:v>Nghị định 215/2026/NĐ-CP về an ninh hàng không</x:v>
      </x:c>
      <x:c r="D452" s="14" t="str">
        <x:v>Tong_hop_nhiem_vu_VATM_ND215_2026_ANHK.xlsx</x:v>
      </x:c>
      <x:c r="E452" s="14" t="str">
        <x:v>Nhiem_vu_VATM</x:v>
      </x:c>
      <x:c r="F452" s="56" t="n">
        <x:v>70</x:v>
      </x:c>
      <x:c r="G452" s="14" t="str">
        <x:v>Điều 25,39</x:v>
      </x:c>
      <x:c r="H452" s="14" t="str">
        <x:v>An ninh hàng không</x:v>
      </x:c>
      <x:c r="I452" s="14" t="str">
        <x:v>An ninh hệ thống CNS/ATM/CNTT</x:v>
      </x:c>
      <x:c r="J452" s="14" t="str">
        <x:v>Kiểm tra nhân thân vị trí nhạy cảm ngoài KSANHK</x:v>
      </x:c>
      <x:c r="K452" s="14" t="str">
        <x:v>Trực tiếp</x:v>
      </x:c>
      <x:c r="L452" s="14" t="str">
        <x:v>An ninh/bảo vệ</x:v>
      </x:c>
      <x:c r="M452" s="14" t="str">
        <x:v>ANSP/doanh nghiệp hàng không</x:v>
      </x:c>
      <x:c r="N452" s="14" t="str">
        <x:v>ATCO, ATSEP, AIS/MET, quản trị viên hệ thống, nhân viên bảo vệ cơ sở ANS là vị trí nhạy cảm cần kiểm soát an ninh nội bộ phù hợp.</x:v>
      </x:c>
      <x:c r="O452" s="14" t="str">
        <x:v>Xác định danh mục vị trí nhạy cảm, mức kiểm tra lý lịch, cam kết bảo mật, giám sát thay đổi bất thường.</x:v>
      </x:c>
      <x:c r="P452" s="14" t="str">
        <x:v>Giảm nguy cơ nội gián/tác động trái phép hệ thống ANS</x:v>
      </x:c>
      <x:c r="Q452" s="14" t="str">
        <x:v>Danh mục vị trí nhạy cảm, hồ sơ kiểm tra, cam kết</x:v>
      </x:c>
      <x:c r="R452" s="14" t="str">
        <x:v>Quy trình quản lý vị trí nhạy cảm về an ninh; Mẫu danh mục vị trí nhạy cảm VATM</x:v>
      </x:c>
      <x:c r="S452" s="14" t="str">
        <x:v>Ban An ninh hàng không</x:v>
      </x:c>
      <x:c r="T452" s="14" t="str">
        <x:v>Các Công ty Quản lý bay khu vực Bắc/Trung/Nam; Ban Kế hoạch doanh nghiệp - Chuyển đổi số; Ban Kỹ thuật - CNS/IT/Môi trường; Ban An ninh hàng không</x:v>
      </x:c>
      <x:c r="U452" s="14" t="str">
        <x:v>Bộ Công an theo hướng dẫn</x:v>
      </x:c>
      <x:c r="V452" s="14" t="str">
        <x:v>Trước tuyển dụng/bổ nhiệm; định kỳ</x:v>
      </x:c>
      <x:c r="W452" s="14" t="str">
        <x:v>P1</x:v>
      </x:c>
      <x:c r="X452" s="14" t="str">
        <x:v>Rất cao</x:v>
      </x:c>
      <x:c r="Y452" s="14" t="str">
        <x:v>Chưa bắt đầu</x:v>
      </x:c>
      <x:c r="Z452" s="14" t="str"/>
      <x:c r="AA452" s="14" t="str">
        <x:v>https://thuvienphapluat.vn/van-ban/Giao-thong-Van-tai/Nghi-dinh-215-2026-ND-C%D0%A0-an-ninh-hang-khong-711200.aspx</x:v>
      </x:c>
      <x:c r="AB452" s="14" t="str">
        <x:v>an ninh; atm; cns; ans; ats; ais; met</x:v>
      </x:c>
    </x:row>
    <x:row r="453">
      <x:c r="A453" s="14" t="str">
        <x:v>VATM-0452</x:v>
      </x:c>
      <x:c r="B453" s="14" t="str">
        <x:v>70</x:v>
      </x:c>
      <x:c r="C453" s="14" t="str">
        <x:v>Nghị định 215/2026/NĐ-CP về an ninh hàng không</x:v>
      </x:c>
      <x:c r="D453" s="14" t="str">
        <x:v>Tong_hop_nhiem_vu_VATM_ND215_2026_ANHK.xlsx</x:v>
      </x:c>
      <x:c r="E453" s="14" t="str">
        <x:v>Nhiem_vu_VATM</x:v>
      </x:c>
      <x:c r="F453" s="56" t="n">
        <x:v>71</x:v>
      </x:c>
      <x:c r="G453" s="14" t="str">
        <x:v>Điều 7,24,26</x:v>
      </x:c>
      <x:c r="H453" s="14" t="str">
        <x:v>An ninh hàng không</x:v>
      </x:c>
      <x:c r="I453" s="14" t="str">
        <x:v>Khu vực hạn chế/kiểm soát ra vào</x:v>
      </x:c>
      <x:c r="J453" s="14" t="str">
        <x:v>Phân vùng khu vực vận hành và hành chính</x:v>
      </x:c>
      <x:c r="K453" s="14" t="str">
        <x:v>Trực tiếp</x:v>
      </x:c>
      <x:c r="L453" s="14" t="str">
        <x:v>An ninh/bảo vệ</x:v>
      </x:c>
      <x:c r="M453" s="14" t="str">
        <x:v>ANSP</x:v>
      </x:c>
      <x:c r="N453" s="14" t="str">
        <x:v>Các khu vực kiểm soát đường dài/tiếp cận/tại sân/ATFM và hệ thống thông tin phải hạn chế truy cập; tách biệt khu hành chính.</x:v>
      </x:c>
      <x:c r="O453" s="14" t="str">
        <x:v>Thiết kế zoning: public/admin/ops/critical; kiểm soát cửa; chính sách clean desk/no device nếu cần.</x:v>
      </x:c>
      <x:c r="P453" s="14" t="str">
        <x:v>Không lẫn khu vực vận hành trọng yếu với khu hành chính công cộng</x:v>
      </x:c>
      <x:c r="Q453" s="14" t="str">
        <x:v>Sơ đồ zoning, quy định ra vào, biên bản kiểm tra</x:v>
      </x:c>
      <x:c r="R453" s="14" t="str">
        <x:v>SOP phân vùng an ninh cơ sở ANS; Mẫu sơ đồ zoning cơ sở ANS</x:v>
      </x:c>
      <x:c r="S453" s="14" t="str">
        <x:v>Ban An ninh hàng không; Các Công ty Quản lý bay khu vực Bắc/Trung/Nam</x:v>
      </x:c>
      <x:c r="T453" s="14" t="str">
        <x:v>Các Công ty Quản lý bay khu vực Bắc/Trung/Nam; Ban Kế hoạch doanh nghiệp - Chuyển đổi số; Ban Kỹ thuật - CNS/IT/Môi trường; Ban An ninh hàng không</x:v>
      </x:c>
      <x:c r="U453" s="14" t="str">
        <x:v>Cục QLXNC khi kiểm tra</x:v>
      </x:c>
      <x:c r="V453" s="14" t="str">
        <x:v>Khi bố trí mặt bằng; rà soát năm</x:v>
      </x:c>
      <x:c r="W453" s="14" t="str">
        <x:v>P1</x:v>
      </x:c>
      <x:c r="X453" s="14" t="str">
        <x:v>Cao</x:v>
      </x:c>
      <x:c r="Y453" s="14" t="str">
        <x:v>Chưa bắt đầu</x:v>
      </x:c>
      <x:c r="Z453" s="14" t="str"/>
      <x:c r="AA453" s="14" t="str">
        <x:v>https://thuvienphapluat.vn/van-ban/Giao-thong-Van-tai/Nghi-dinh-215-2026-ND-C%D0%A0-an-ninh-hang-khong-711200.aspx</x:v>
      </x:c>
      <x:c r="AB453" s="14" t="str">
        <x:v>an ninh; atfm</x:v>
      </x:c>
    </x:row>
    <x:row r="454">
      <x:c r="A454" s="14" t="str">
        <x:v>VATM-0453</x:v>
      </x:c>
      <x:c r="B454" s="14" t="str">
        <x:v>71</x:v>
      </x:c>
      <x:c r="C454" s="14" t="str">
        <x:v>Nghị định 215/2026/NĐ-CP về an ninh hàng không</x:v>
      </x:c>
      <x:c r="D454" s="14" t="str">
        <x:v>Tong_hop_nhiem_vu_VATM_ND215_2026_ANHK.xlsx</x:v>
      </x:c>
      <x:c r="E454" s="14" t="str">
        <x:v>Nhiem_vu_VATM</x:v>
      </x:c>
      <x:c r="F454" s="56" t="n">
        <x:v>72</x:v>
      </x:c>
      <x:c r="G454" s="14" t="str">
        <x:v>Điều 27,37,40</x:v>
      </x:c>
      <x:c r="H454" s="14" t="str">
        <x:v>An ninh hàng không</x:v>
      </x:c>
      <x:c r="I454" s="14" t="str">
        <x:v>Khu vực hạn chế/kiểm soát ra vào</x:v>
      </x:c>
      <x:c r="J454" s="14" t="str">
        <x:v>Đánh giá sau sự cố/giảng bình</x:v>
      </x:c>
      <x:c r="K454" s="14" t="str">
        <x:v>Trực tiếp</x:v>
      </x:c>
      <x:c r="L454" s="14" t="str">
        <x:v>An ninh/bảo vệ</x:v>
      </x:c>
      <x:c r="M454" s="14" t="str">
        <x:v>ANSP</x:v>
      </x:c>
      <x:c r="N454" s="14" t="str">
        <x:v>Sự cố, vi phạm an ninh phải thống kê, phân tích, rút kinh nghiệm; lực lượng KSANHK có nhiệm vụ lập biên bản.</x:v>
      </x:c>
      <x:c r="O454" s="14" t="str">
        <x:v>Tổ chức review theo mô hình just culture phù hợp an ninh, phân tích nguyên nhân gốc, cập nhật SOP/đào tạo.</x:v>
      </x:c>
      <x:c r="P454" s="14" t="str">
        <x:v>Không tái diễn lỗi hệ thống; bài học được phổ biến toàn VATM</x:v>
      </x:c>
      <x:c r="Q454" s="14" t="str">
        <x:v>Báo cáo RCA, biên bản giảng bình, CAPA</x:v>
      </x:c>
      <x:c r="R454" s="14" t="str">
        <x:v>Quy trình điều tra nội bộ sự cố an ninh ANS; Mẫu RCA sự cố an ninh</x:v>
      </x:c>
      <x:c r="S454" s="14" t="str">
        <x:v>Ban An ninh hàng không; Ban An toàn - Chất lượng</x:v>
      </x:c>
      <x:c r="T454" s="14" t="str">
        <x:v>Các Công ty Quản lý bay khu vực Bắc/Trung/Nam; Ban An ninh hàng không</x:v>
      </x:c>
      <x:c r="U454" s="14" t="str">
        <x:v>Cục QLXNC/CHKVN nếu báo cáo</x:v>
      </x:c>
      <x:c r="V454" s="14" t="str">
        <x:v>Sau sự cố</x:v>
      </x:c>
      <x:c r="W454" s="14" t="str">
        <x:v>P1</x:v>
      </x:c>
      <x:c r="X454" s="14" t="str">
        <x:v>Cao</x:v>
      </x:c>
      <x:c r="Y454" s="14" t="str">
        <x:v>Chưa bắt đầu</x:v>
      </x:c>
      <x:c r="Z454" s="14" t="str"/>
      <x:c r="AA454" s="14" t="str">
        <x:v>https://thuvienphapluat.vn/van-ban/Giao-thong-Van-tai/Nghi-dinh-215-2026-ND-C%D0%A0-an-ninh-hang-khong-711200.aspx</x:v>
      </x:c>
      <x:c r="AB454" s="14" t="str">
        <x:v>an ninh; anhk; an toan</x:v>
      </x:c>
    </x:row>
    <x:row r="455">
      <x:c r="A455" s="14" t="str">
        <x:v>VATM-0454</x:v>
      </x:c>
      <x:c r="B455" s="14" t="str">
        <x:v>72</x:v>
      </x:c>
      <x:c r="C455" s="14" t="str">
        <x:v>Nghị định 215/2026/NĐ-CP về an ninh hàng không</x:v>
      </x:c>
      <x:c r="D455" s="14" t="str">
        <x:v>Tong_hop_nhiem_vu_VATM_ND215_2026_ANHK.xlsx</x:v>
      </x:c>
      <x:c r="E455" s="14" t="str">
        <x:v>Nhiem_vu_VATM</x:v>
      </x:c>
      <x:c r="F455" s="56" t="n">
        <x:v>73</x:v>
      </x:c>
      <x:c r="G455" s="14" t="str">
        <x:v>Điều 49-52</x:v>
      </x:c>
      <x:c r="H455" s="14" t="str">
        <x:v>An ninh hàng không</x:v>
      </x:c>
      <x:c r="I455" s="14" t="str">
        <x:v>Quản trị, phối hợp và giám sát ANHK</x:v>
      </x:c>
      <x:c r="J455" s="14" t="str">
        <x:v>Sẵn sàng kiểm tra đột xuất</x:v>
      </x:c>
      <x:c r="K455" s="14" t="str">
        <x:v>Trực tiếp</x:v>
      </x:c>
      <x:c r="L455" s="14" t="str">
        <x:v>An ninh/bảo vệ</x:v>
      </x:c>
      <x:c r="M455" s="14" t="str">
        <x:v>ANSP</x:v>
      </x:c>
      <x:c r="N455" s="14" t="str">
        <x:v>Giám sát viên có quyền tiếp cận, yêu cầu tài liệu, đình chỉ thiết bị/phương tiện uy hiếp an ninh.</x:v>
      </x:c>
      <x:c r="O455" s="14" t="str">
        <x:v>Chuẩn bị bộ hồ sơ tại cơ sở: chương trình, phương án, phân quyền, nhật ký, danh bạ; người trực biết cách tiếp đoàn.</x:v>
      </x:c>
      <x:c r="P455" s="14" t="str">
        <x:v>Không lúng túng khi kiểm tra đột xuất; không vi phạm do thiếu hồ sơ</x:v>
      </x:c>
      <x:c r="Q455" s="14" t="str">
        <x:v>Bộ hồ sơ sẵn sàng kiểm tra, log bàn giao ca, biên bản kiểm tra thử</x:v>
      </x:c>
      <x:c r="R455" s="14" t="str">
        <x:v>SOP sẵn sàng kiểm tra AVSEC tại cơ sở; Checklist hồ sơ trực AVSEC</x:v>
      </x:c>
      <x:c r="S455" s="14" t="str">
        <x:v>Ban An ninh hàng không; Các Công ty Quản lý bay khu vực Bắc/Trung/Nam</x:v>
      </x:c>
      <x:c r="T455" s="14" t="str">
        <x:v>Các Công ty Quản lý bay khu vực Bắc/Trung/Nam; Văn phòng - Pháp chế; Ban An ninh hàng không</x:v>
      </x:c>
      <x:c r="U455" s="14" t="str">
        <x:v>Cục QLXNC/Giám sát viên</x:v>
      </x:c>
      <x:c r="V455" s="14" t="str">
        <x:v>Bất kỳ lúc nào</x:v>
      </x:c>
      <x:c r="W455" s="14" t="str">
        <x:v>P1</x:v>
      </x:c>
      <x:c r="X455" s="14" t="str">
        <x:v>Trung bình/Cao</x:v>
      </x:c>
      <x:c r="Y455" s="14" t="str">
        <x:v>Chưa bắt đầu</x:v>
      </x:c>
      <x:c r="Z455" s="14" t="str"/>
      <x:c r="AA455" s="14" t="str">
        <x:v>https://thuvienphapluat.vn/van-ban/Giao-thong-Van-tai/Nghi-dinh-215-2026-ND-C%D0%A0-an-ninh-hang-khong-711200.aspx</x:v>
      </x:c>
      <x:c r="AB455" s="14" t="str">
        <x:v>an ninh; anhk</x:v>
      </x:c>
    </x:row>
    <x:row r="456">
      <x:c r="A456" s="14" t="str">
        <x:v>VATM-0455</x:v>
      </x:c>
      <x:c r="B456" s="14" t="str">
        <x:v>73</x:v>
      </x:c>
      <x:c r="C456" s="14" t="str">
        <x:v>Nghị định 215/2026/NĐ-CP về an ninh hàng không</x:v>
      </x:c>
      <x:c r="D456" s="14" t="str">
        <x:v>Tong_hop_nhiem_vu_VATM_ND215_2026_ANHK.xlsx</x:v>
      </x:c>
      <x:c r="E456" s="14" t="str">
        <x:v>Nhiem_vu_VATM</x:v>
      </x:c>
      <x:c r="F456" s="56" t="n">
        <x:v>74</x:v>
      </x:c>
      <x:c r="G456" s="14" t="str">
        <x:v>Điều 55-56</x:v>
      </x:c>
      <x:c r="H456" s="14" t="str">
        <x:v>An ninh hàng không</x:v>
      </x:c>
      <x:c r="I456" s="14" t="str">
        <x:v>Khu vực hạn chế/kiểm soát ra vào</x:v>
      </x:c>
      <x:c r="J456" s="14" t="str">
        <x:v>Bảo trì trang thiết bị an ninh</x:v>
      </x:c>
      <x:c r="K456" s="14" t="str">
        <x:v>Trực tiếp</x:v>
      </x:c>
      <x:c r="L456" s="14" t="str">
        <x:v>An ninh/bảo vệ</x:v>
      </x:c>
      <x:c r="M456" s="14" t="str">
        <x:v>ANSP</x:v>
      </x:c>
      <x:c r="N456" s="14" t="str">
        <x:v>Trang thiết bị an ninh phải đầy đủ, phù hợp, vận hành; VATM cần bảo trì để không mất hiệu lực kiểm soát.</x:v>
      </x:c>
      <x:c r="O456" s="14" t="str">
        <x:v>Lập kế hoạch bảo trì camera/ACS/báo động/chiếu sáng; xử lý sự cố trong SLA.</x:v>
      </x:c>
      <x:c r="P456" s="14" t="str">
        <x:v>Thiết bị an ninh khả dụng theo SLA, không có blind spot kéo dài</x:v>
      </x:c>
      <x:c r="Q456" s="14" t="str">
        <x:v>Lịch bảo trì, phiếu kiểm tra, biên bản sửa chữa</x:v>
      </x:c>
      <x:c r="R456" s="14" t="str">
        <x:v>Quy trình bảo trì thiết bị an ninh VATM; Mẫu phiếu kiểm tra ca thiết bị an ninh</x:v>
      </x:c>
      <x:c r="S456" s="14" t="str">
        <x:v>Ban An ninh hàng không; Ban Kỹ thuật - CNS/IT/Môi trường</x:v>
      </x:c>
      <x:c r="T456" s="14" t="str">
        <x:v>Các Công ty Quản lý bay khu vực Bắc/Trung/Nam; Ban An ninh hàng không</x:v>
      </x:c>
      <x:c r="U456" s="14" t="str">
        <x:v>Cục QLXNC khi kiểm tra</x:v>
      </x:c>
      <x:c r="V456" s="14" t="str">
        <x:v>Theo lịch bảo trì; kiểm tra ca/ngày</x:v>
      </x:c>
      <x:c r="W456" s="14" t="str">
        <x:v>P1</x:v>
      </x:c>
      <x:c r="X456" s="14" t="str">
        <x:v>Cao</x:v>
      </x:c>
      <x:c r="Y456" s="14" t="str">
        <x:v>Chưa bắt đầu</x:v>
      </x:c>
      <x:c r="Z456" s="14" t="str"/>
      <x:c r="AA456" s="14" t="str">
        <x:v>https://thuvienphapluat.vn/van-ban/Giao-thong-Van-tai/Nghi-dinh-215-2026-ND-C%D0%A0-an-ninh-hang-khong-711200.aspx</x:v>
      </x:c>
      <x:c r="AB456" s="14" t="str">
        <x:v>an ninh; atm; cns</x:v>
      </x:c>
    </x:row>
    <x:row r="457">
      <x:c r="A457" s="14" t="str">
        <x:v>VATM-0456</x:v>
      </x:c>
      <x:c r="B457" s="14" t="str">
        <x:v>74</x:v>
      </x:c>
      <x:c r="C457" s="14" t="str">
        <x:v>Nghị định 215/2026/NĐ-CP về an ninh hàng không</x:v>
      </x:c>
      <x:c r="D457" s="14" t="str">
        <x:v>Tong_hop_nhiem_vu_VATM_ND215_2026_ANHK.xlsx</x:v>
      </x:c>
      <x:c r="E457" s="14" t="str">
        <x:v>Nhiem_vu_VATM</x:v>
      </x:c>
      <x:c r="F457" s="56" t="n">
        <x:v>75</x:v>
      </x:c>
      <x:c r="G457" s="14" t="str">
        <x:v>Điều 6,7,25,26,29,37-40</x:v>
      </x:c>
      <x:c r="H457" s="14" t="str">
        <x:v>An ninh hàng không</x:v>
      </x:c>
      <x:c r="I457" s="14" t="str">
        <x:v>An ninh hệ thống CNS/ATM/CNTT</x:v>
      </x:c>
      <x:c r="J457" s="14" t="str">
        <x:v>Báo cáo tổng hợp tuân thủ HĐTV/TGĐ</x:v>
      </x:c>
      <x:c r="K457" s="14" t="str">
        <x:v>Trực tiếp</x:v>
      </x:c>
      <x:c r="L457" s="14" t="str">
        <x:v>An ninh/bảo vệ</x:v>
      </x:c>
      <x:c r="M457" s="14" t="str">
        <x:v>ANSP/doanh nghiệp hàng không</x:v>
      </x:c>
      <x:c r="N457" s="14" t="str">
        <x:v>NĐ 215 phát sinh nhiều nghĩa vụ trực tiếp; cần cơ chế báo cáo lãnh đạo VATM về tiến độ và rủi ro tuân thủ.</x:v>
      </x:c>
      <x:c r="O457" s="14" t="str">
        <x:v>Dashboard tiến độ thực hiện, cảnh báo quá hạn, rủi ro cao, hồ sơ thiếu.</x:v>
      </x:c>
      <x:c r="P457" s="14" t="str">
        <x:v>Lãnh đạo nắm trạng thái tuân thủ và quyết định nguồn lực kịp thời</x:v>
      </x:c>
      <x:c r="Q457" s="14" t="str">
        <x:v>Dashboard, báo cáo lãnh đạo, biên bản giao ban</x:v>
      </x:c>
      <x:c r="R457" s="14" t="str">
        <x:v>Quy trình quản trị tuân thủ NĐ 215; Mẫu dashboard tuân thủ NĐ 215</x:v>
      </x:c>
      <x:c r="S457" s="14" t="str">
        <x:v>Ban An ninh hàng không; Văn phòng - Pháp chế</x:v>
      </x:c>
      <x:c r="T457" s="14" t="str">
        <x:v>Các Công ty Quản lý bay khu vực Bắc/Trung/Nam; Ban An ninh hàng không</x:v>
      </x:c>
      <x:c r="U457" s="14" t="str">
        <x:v>HĐTV/CHKVN nếu cần</x:v>
      </x:c>
      <x:c r="V457" s="14" t="str">
        <x:v>Hằng tháng giai đoạn đầu; hằng quý sau ổn định</x:v>
      </x:c>
      <x:c r="W457" s="14" t="str">
        <x:v>P1</x:v>
      </x:c>
      <x:c r="X457" s="14" t="str">
        <x:v>Trung bình/Cao</x:v>
      </x:c>
      <x:c r="Y457" s="14" t="str">
        <x:v>Chưa bắt đầu</x:v>
      </x:c>
      <x:c r="Z457" s="14" t="str"/>
      <x:c r="AA457" s="14" t="str">
        <x:v>https://thuvienphapluat.vn/van-ban/Giao-thong-Van-tai/Nghi-dinh-215-2026-ND-C%D0%A0-an-ninh-hang-khong-711200.aspx</x:v>
      </x:c>
      <x:c r="AB457" s="14" t="str">
        <x:v>an ninh; atm; cns; phap che</x:v>
      </x:c>
    </x:row>
    <x:row r="458">
      <x:c r="A458" s="14" t="str">
        <x:v>VATM-0457</x:v>
      </x:c>
      <x:c r="B458" s="14" t="str">
        <x:v>75</x:v>
      </x:c>
      <x:c r="C458" s="14" t="str">
        <x:v>Nghị định 215/2026/NĐ-CP về an ninh hàng không</x:v>
      </x:c>
      <x:c r="D458" s="14" t="str">
        <x:v>Tong_hop_nhiem_vu_VATM_ND215_2026_ANHK.xlsx</x:v>
      </x:c>
      <x:c r="E458" s="14" t="str">
        <x:v>Nhiem_vu_VATM</x:v>
      </x:c>
      <x:c r="F458" s="56" t="n">
        <x:v>76</x:v>
      </x:c>
      <x:c r="G458" s="14" t="str">
        <x:v>Điều 7,29,38-40</x:v>
      </x:c>
      <x:c r="H458" s="14" t="str">
        <x:v>An ninh hàng không</x:v>
      </x:c>
      <x:c r="I458" s="14" t="str">
        <x:v>Khu vực hạn chế/kiểm soát ra vào</x:v>
      </x:c>
      <x:c r="J458" s="14" t="str">
        <x:v>Liên thông với ACV/Cảng vụ tại TWR/APP trong cảng</x:v>
      </x:c>
      <x:c r="K458" s="14" t="str">
        <x:v>Trực tiếp</x:v>
      </x:c>
      <x:c r="L458" s="14" t="str">
        <x:v>An ninh/bảo vệ</x:v>
      </x:c>
      <x:c r="M458" s="14" t="str">
        <x:v>ANSP</x:v>
      </x:c>
      <x:c r="N458" s="14" t="str">
        <x:v>Cơ sở TWR/APP nằm trong cảng chịu phối hợp khu vực hạn chế, lực lượng KSANHK cảng, phương án khẩn nguy cảng.</x:v>
      </x:c>
      <x:c r="O458" s="14" t="str">
        <x:v>Ký phụ lục phối hợp an ninh tại từng cảng, quy định thẻ, lối vào, kiểm tra nhà thầu, kênh khẩn nguy.</x:v>
      </x:c>
      <x:c r="P458" s="14" t="str">
        <x:v>TWR/APP được bảo vệ thống nhất trong hệ thống an ninh cảng</x:v>
      </x:c>
      <x:c r="Q458" s="14" t="str">
        <x:v>Quy chế phối hợp địa phương, sơ đồ ra vào, biên bản hiệp đồng</x:v>
      </x:c>
      <x:c r="R458" s="14" t="str">
        <x:v>SOP phối hợp an ninh TWR/APP với ACV/Cảng vụ; Mẫu phụ lục hiệp đồng an ninh tại sân bay</x:v>
      </x:c>
      <x:c r="S458" s="14" t="str">
        <x:v>Ban An ninh hàng không; Các Công ty Quản lý bay khu vực Bắc/Trung/Nam</x:v>
      </x:c>
      <x:c r="T458" s="14" t="str">
        <x:v>Các Công ty Quản lý bay khu vực Bắc/Trung/Nam; Ban An ninh hàng không</x:v>
      </x:c>
      <x:c r="U458" s="14" t="str">
        <x:v>ACV, Cảng vụ, KSANHK cảng</x:v>
      </x:c>
      <x:c r="V458" s="14" t="str">
        <x:v>Thường xuyên; khi có diễn tập</x:v>
      </x:c>
      <x:c r="W458" s="14" t="str">
        <x:v>P1</x:v>
      </x:c>
      <x:c r="X458" s="14" t="str">
        <x:v>Cao</x:v>
      </x:c>
      <x:c r="Y458" s="14" t="str">
        <x:v>Chưa bắt đầu</x:v>
      </x:c>
      <x:c r="Z458" s="14" t="str"/>
      <x:c r="AA458" s="14" t="str">
        <x:v>https://thuvienphapluat.vn/van-ban/Giao-thong-Van-tai/Nghi-dinh-215-2026-ND-C%D0%A0-an-ninh-hang-khong-711200.aspx</x:v>
      </x:c>
      <x:c r="AB458" s="14" t="str">
        <x:v>an ninh; anhk; cang</x:v>
      </x:c>
    </x:row>
    <x:row r="459">
      <x:c r="A459" s="14" t="str">
        <x:v>VATM-0458</x:v>
      </x:c>
      <x:c r="B459" s="14" t="str">
        <x:v>76</x:v>
      </x:c>
      <x:c r="C459" s="14" t="str">
        <x:v>Nghị định 215/2026/NĐ-CP về an ninh hàng không</x:v>
      </x:c>
      <x:c r="D459" s="14" t="str">
        <x:v>Tong_hop_nhiem_vu_VATM_ND215_2026_ANHK.xlsx</x:v>
      </x:c>
      <x:c r="E459" s="14" t="str">
        <x:v>Nhiem_vu_VATM</x:v>
      </x:c>
      <x:c r="F459" s="56" t="n">
        <x:v>77</x:v>
      </x:c>
      <x:c r="G459" s="14" t="str">
        <x:v>Điều 7,26,29</x:v>
      </x:c>
      <x:c r="H459" s="14" t="str">
        <x:v>An ninh hàng không</x:v>
      </x:c>
      <x:c r="I459" s="14" t="str">
        <x:v>Khu vực hạn chế/kiểm soát ra vào</x:v>
      </x:c>
      <x:c r="J459" s="14" t="str">
        <x:v>Cơ sở ANS ngoài cảng phải tự chủ bảo vệ hơn</x:v>
      </x:c>
      <x:c r="K459" s="14" t="str">
        <x:v>Trực tiếp</x:v>
      </x:c>
      <x:c r="L459" s="14" t="str">
        <x:v>An ninh/bảo vệ</x:v>
      </x:c>
      <x:c r="M459" s="14" t="str">
        <x:v>ANSP</x:v>
      </x:c>
      <x:c r="N459" s="14" t="str">
        <x:v>Đối với radar/trạm thông tin ngoài cảng, VATM là chủ thể chính về bảo vệ vật lý, kiểm soát vào ra, cyber và phối hợp địa phương.</x:v>
      </x:c>
      <x:c r="O459" s="14" t="str">
        <x:v>Bổ sung bảo vệ vòng ngoài, camera, báo động, danh bạ phản ứng nhanh, hợp đồng bảo vệ và diễn tập địa phương.</x:v>
      </x:c>
      <x:c r="P459" s="14" t="str">
        <x:v>Trạm ngoài cảng có khả năng phát hiện/chống xâm nhập ban đầu</x:v>
      </x:c>
      <x:c r="Q459" s="14" t="str">
        <x:v>Hồ sơ bảo vệ trạm, biên bản tuần tra, hợp đồng bảo vệ, diễn tập</x:v>
      </x:c>
      <x:c r="R459" s="14" t="str">
        <x:v>SOP bảo vệ trạm CNS/radar ngoài cảng; Checklist kiểm tra an ninh trạm ngoài cảng</x:v>
      </x:c>
      <x:c r="S459" s="14" t="str">
        <x:v>Ban An ninh hàng không; Ban Kỹ thuật - CNS/IT/Môi trường; Các Công ty Quản lý bay khu vực Bắc/Trung/Nam</x:v>
      </x:c>
      <x:c r="T459" s="14" t="str">
        <x:v>Các Công ty Quản lý bay khu vực Bắc/Trung/Nam; Ban An ninh hàng không</x:v>
      </x:c>
      <x:c r="U459" s="14" t="str">
        <x:v>Công an/UBND/Quân sự địa phương</x:v>
      </x:c>
      <x:c r="V459" s="14" t="str">
        <x:v>Thường xuyên; kiểm tra quý</x:v>
      </x:c>
      <x:c r="W459" s="14" t="str">
        <x:v>P1</x:v>
      </x:c>
      <x:c r="X459" s="14" t="str">
        <x:v>Rất cao</x:v>
      </x:c>
      <x:c r="Y459" s="14" t="str">
        <x:v>Chưa bắt đầu</x:v>
      </x:c>
      <x:c r="Z459" s="14" t="str"/>
      <x:c r="AA459" s="14" t="str">
        <x:v>https://thuvienphapluat.vn/van-ban/Giao-thong-Van-tai/Nghi-dinh-215-2026-ND-C%D0%A0-an-ninh-hang-khong-711200.aspx</x:v>
      </x:c>
      <x:c r="AB459" s="14" t="str">
        <x:v>an ninh; atm; cang; cns</x:v>
      </x:c>
    </x:row>
    <x:row r="460">
      <x:c r="A460" s="14" t="str">
        <x:v>VATM-0459</x:v>
      </x:c>
      <x:c r="B460" s="14" t="str">
        <x:v>77</x:v>
      </x:c>
      <x:c r="C460" s="14" t="str">
        <x:v>Nghị định 215/2026/NĐ-CP về an ninh hàng không</x:v>
      </x:c>
      <x:c r="D460" s="14" t="str">
        <x:v>Tong_hop_nhiem_vu_VATM_ND215_2026_ANHK.xlsx</x:v>
      </x:c>
      <x:c r="E460" s="14" t="str">
        <x:v>Nhiem_vu_VATM</x:v>
      </x:c>
      <x:c r="F460" s="56" t="n">
        <x:v>78</x:v>
      </x:c>
      <x:c r="G460" s="14" t="str">
        <x:v>Điều 26,53</x:v>
      </x:c>
      <x:c r="H460" s="14" t="str">
        <x:v>An ninh hàng không</x:v>
      </x:c>
      <x:c r="I460" s="14" t="str">
        <x:v>An ninh hệ thống CNS/ATM/CNTT</x:v>
      </x:c>
      <x:c r="J460" s="14" t="str">
        <x:v>Quản lý kết nối liên ngành vào hệ thống ANS</x:v>
      </x:c>
      <x:c r="K460" s="14" t="str">
        <x:v>Trực tiếp</x:v>
      </x:c>
      <x:c r="L460" s="14" t="str">
        <x:v>An ninh/bảo vệ</x:v>
      </x:c>
      <x:c r="M460" s="14" t="str">
        <x:v>ANSP</x:v>
      </x:c>
      <x:c r="N460" s="14" t="str">
        <x:v>Kết nối/chia sẻ dữ liệu phục vụ tạo thuận lợi không được làm tăng rủi ro truy cập trái phép hệ thống chuyên ngành.</x:v>
      </x:c>
      <x:c r="O460" s="14" t="str">
        <x:v>Security review, network segmentation, API gateway, data minimization, thỏa thuận SLA/bảo mật.</x:v>
      </x:c>
      <x:c r="P460" s="14" t="str">
        <x:v>Kết nối có kiểm soát, không ảnh hưởng ATM/CNS/AIS/MET</x:v>
      </x:c>
      <x:c r="Q460" s="14" t="str">
        <x:v>Báo cáo đánh giá bảo mật, hợp đồng/thỏa thuận, log API</x:v>
      </x:c>
      <x:c r="R460" s="14" t="str">
        <x:v>Quy trình phê duyệt kết nối hệ thống ANS; Mẫu đánh giá an ninh kết nối</x:v>
      </x:c>
      <x:c r="S460" s="14" t="str">
        <x:v>Ban An ninh hàng không; Ban Kế hoạch doanh nghiệp - Chuyển đổi số; Ban Kỹ thuật - CNS/IT/Môi trường; Trung tâm Thông báo tin tức hàng không</x:v>
      </x:c>
      <x:c r="T460" s="14" t="str">
        <x:v>Các Công ty Quản lý bay khu vực Bắc/Trung/Nam; Ban An ninh hàng không</x:v>
      </x:c>
      <x:c r="U460" s="14" t="str">
        <x:v>CHKVN, Cục QLXNC</x:v>
      </x:c>
      <x:c r="V460" s="14" t="str">
        <x:v>Trước khi kết nối; đánh giá hằng năm</x:v>
      </x:c>
      <x:c r="W460" s="14" t="str">
        <x:v>P1</x:v>
      </x:c>
      <x:c r="X460" s="14" t="str">
        <x:v>Cao</x:v>
      </x:c>
      <x:c r="Y460" s="14" t="str">
        <x:v>Chưa bắt đầu</x:v>
      </x:c>
      <x:c r="Z460" s="14" t="str"/>
      <x:c r="AA460" s="14" t="str">
        <x:v>https://thuvienphapluat.vn/van-ban/Giao-thong-Van-tai/Nghi-dinh-215-2026-ND-C%D0%A0-an-ninh-hang-khong-711200.aspx</x:v>
      </x:c>
      <x:c r="AB460" s="14" t="str">
        <x:v>an ninh; atm; cns; du lieu</x:v>
      </x:c>
    </x:row>
    <x:row r="461">
      <x:c r="A461" s="14" t="str">
        <x:v>VATM-0460</x:v>
      </x:c>
      <x:c r="B461" s="14" t="str">
        <x:v>78</x:v>
      </x:c>
      <x:c r="C461" s="14" t="str">
        <x:v>Nghị định 215/2026/NĐ-CP về an ninh hàng không</x:v>
      </x:c>
      <x:c r="D461" s="14" t="str">
        <x:v>Tong_hop_nhiem_vu_VATM_ND215_2026_ANHK.xlsx</x:v>
      </x:c>
      <x:c r="E461" s="14" t="str">
        <x:v>Nhiem_vu_VATM</x:v>
      </x:c>
      <x:c r="F461" s="56" t="n">
        <x:v>79</x:v>
      </x:c>
      <x:c r="G461" s="14" t="str">
        <x:v>Điều 6,25,39</x:v>
      </x:c>
      <x:c r="H461" s="14" t="str">
        <x:v>An ninh hàng không</x:v>
      </x:c>
      <x:c r="I461" s="14" t="str">
        <x:v>Chương trình/kế hoạch ANHK VATM</x:v>
      </x:c>
      <x:c r="J461" s="14" t="str">
        <x:v>Bổ nhiệm/kiện toàn đầu mối AVSEC tại từng cơ sở ANS</x:v>
      </x:c>
      <x:c r="K461" s="14" t="str">
        <x:v>Trực tiếp</x:v>
      </x:c>
      <x:c r="L461" s="14" t="str">
        <x:v>An ninh/bảo vệ</x:v>
      </x:c>
      <x:c r="M461" s="14" t="str">
        <x:v>ANSP</x:v>
      </x:c>
      <x:c r="N461" s="14" t="str">
        <x:v>Để thực hiện chương trình an ninh và tổ chức lực lượng, mỗi cơ sở ANS cần đầu mối chịu trách nhiệm rõ ràng.</x:v>
      </x:c>
      <x:c r="O461" s="14" t="str">
        <x:v>Ban hành quyết định đầu mối AVSEC, mô tả công việc, quyền hạn, cơ chế báo cáo.</x:v>
      </x:c>
      <x:c r="P461" s="14" t="str">
        <x:v>Không chồng chéo trách nhiệm; có người chịu trách nhiệm đến từng cơ sở</x:v>
      </x:c>
      <x:c r="Q461" s="14" t="str">
        <x:v>Quyết định phân công, JD, sơ đồ tổ chức</x:v>
      </x:c>
      <x:c r="R461" s="14" t="str">
        <x:v>Quy chế đầu mối AVSEC cơ sở ANS; Mẫu JD đầu mối an ninh cơ sở</x:v>
      </x:c>
      <x:c r="S461" s="14" t="str">
        <x:v>Ban An ninh hàng không</x:v>
      </x:c>
      <x:c r="T461" s="14" t="str">
        <x:v>Các Công ty Quản lý bay khu vực Bắc/Trung/Nam; Ban An ninh hàng không</x:v>
      </x:c>
      <x:c r="U461" s="14" t="str">
        <x:v>Cục QLXNC khi phê duyệt chương trình</x:v>
      </x:c>
      <x:c r="V461" s="14" t="str">
        <x:v>Trong giai đoạn chuyển đổi</x:v>
      </x:c>
      <x:c r="W461" s="14" t="str">
        <x:v>P1</x:v>
      </x:c>
      <x:c r="X461" s="14" t="str">
        <x:v>Cao</x:v>
      </x:c>
      <x:c r="Y461" s="14" t="str">
        <x:v>Chưa bắt đầu</x:v>
      </x:c>
      <x:c r="Z461" s="14" t="str"/>
      <x:c r="AA461" s="14" t="str">
        <x:v>https://thuvienphapluat.vn/van-ban/Giao-thong-Van-tai/Nghi-dinh-215-2026-ND-C%D0%A0-an-ninh-hang-khong-711200.aspx</x:v>
      </x:c>
      <x:c r="AB461" s="14" t="str">
        <x:v>an ninh; atm; anhk; ans</x:v>
      </x:c>
    </x:row>
    <x:row r="462">
      <x:c r="A462" s="14" t="str">
        <x:v>VATM-0461</x:v>
      </x:c>
      <x:c r="B462" s="14" t="str">
        <x:v>79</x:v>
      </x:c>
      <x:c r="C462" s="14" t="str">
        <x:v>Nghị định 215/2026/NĐ-CP về an ninh hàng không</x:v>
      </x:c>
      <x:c r="D462" s="14" t="str">
        <x:v>Tong_hop_nhiem_vu_VATM_ND215_2026_ANHK.xlsx</x:v>
      </x:c>
      <x:c r="E462" s="14" t="str">
        <x:v>Nhiem_vu_VATM</x:v>
      </x:c>
      <x:c r="F462" s="56" t="n">
        <x:v>80</x:v>
      </x:c>
      <x:c r="G462" s="14" t="str">
        <x:v>Điều 29,37,Phụ lục II</x:v>
      </x:c>
      <x:c r="H462" s="14" t="str">
        <x:v>An ninh hàng không</x:v>
      </x:c>
      <x:c r="I462" s="14" t="str">
        <x:v>An ninh hệ thống CNS/ATM/CNTT</x:v>
      </x:c>
      <x:c r="J462" s="14" t="str">
        <x:v>Thông tin liên lạc khẩn nguy</x:v>
      </x:c>
      <x:c r="K462" s="14" t="str">
        <x:v>Trực tiếp</x:v>
      </x:c>
      <x:c r="L462" s="14" t="str">
        <x:v>An ninh/bảo vệ</x:v>
      </x:c>
      <x:c r="M462" s="14" t="str">
        <x:v>ANSP</x:v>
      </x:c>
      <x:c r="N462" s="14" t="str">
        <x:v>Phương án phải có thông tin liên lạc, phối hợp, hậu cần; VATM cần bảo đảm đường truyền/kênh liên lạc giữa ATC-CNS-AN-AT-BCH.</x:v>
      </x:c>
      <x:c r="O462" s="14" t="str">
        <x:v>Thiết lập hotline, backup, radio, nhóm liên lạc bảo mật; test định kỳ và ghi nhận.</x:v>
      </x:c>
      <x:c r="P462" s="14" t="str">
        <x:v>Liên lạc khẩn nguy thông suốt kể cả khi một kênh hỏng</x:v>
      </x:c>
      <x:c r="Q462" s="14" t="str">
        <x:v>Biên bản test liên lạc, danh bạ, cấu hình kênh dự phòng</x:v>
      </x:c>
      <x:c r="R462" s="14" t="str">
        <x:v>SOP thông tin liên lạc khẩn nguy AVSEC ANS; Mẫu danh bạ/biên bản test liên lạc</x:v>
      </x:c>
      <x:c r="S462" s="14" t="str">
        <x:v>Ban An ninh hàng không; Ban Kỹ thuật - CNS/IT/Môi trường</x:v>
      </x:c>
      <x:c r="T462" s="14" t="str">
        <x:v>Các Công ty Quản lý bay khu vực Bắc/Trung/Nam; Ban Không lưu; Ban Kỹ thuật - CNS/IT/Môi trường; Trung tâm Khí tượng hàng không; Trung tâm Thông báo tin tức hàng không; Ban An ninh hàng không</x:v>
      </x:c>
      <x:c r="U462" s="14" t="str">
        <x:v>BCH khẩn nguy, ACV, Cảng vụ, Công an</x:v>
      </x:c>
      <x:c r="V462" s="14" t="str">
        <x:v>Test định kỳ; khi diễn tập</x:v>
      </x:c>
      <x:c r="W462" s="14" t="str">
        <x:v>P1</x:v>
      </x:c>
      <x:c r="X462" s="14" t="str">
        <x:v>Cao</x:v>
      </x:c>
      <x:c r="Y462" s="14" t="str">
        <x:v>Chưa bắt đầu</x:v>
      </x:c>
      <x:c r="Z462" s="14" t="str"/>
      <x:c r="AA462" s="14" t="str">
        <x:v>https://thuvienphapluat.vn/van-ban/Giao-thong-Van-tai/Nghi-dinh-215-2026-ND-C%D0%A0-an-ninh-hang-khong-711200.aspx</x:v>
      </x:c>
      <x:c r="AB462" s="14" t="str">
        <x:v>an ninh; atm; cns</x:v>
      </x:c>
    </x:row>
    <x:row r="463">
      <x:c r="A463" s="14" t="str">
        <x:v>VATM-0462</x:v>
      </x:c>
      <x:c r="B463" s="14" t="str">
        <x:v>80</x:v>
      </x:c>
      <x:c r="C463" s="14" t="str">
        <x:v>Nghị định 215/2026/NĐ-CP về an ninh hàng không</x:v>
      </x:c>
      <x:c r="D463" s="14" t="str">
        <x:v>Tong_hop_nhiem_vu_VATM_ND215_2026_ANHK.xlsx</x:v>
      </x:c>
      <x:c r="E463" s="14" t="str">
        <x:v>Nhiem_vu_VATM</x:v>
      </x:c>
      <x:c r="F463" s="56" t="n">
        <x:v>81</x:v>
      </x:c>
      <x:c r="G463" s="14" t="str">
        <x:v>Điều 7,26,55-56</x:v>
      </x:c>
      <x:c r="H463" s="14" t="str">
        <x:v>An ninh hàng không</x:v>
      </x:c>
      <x:c r="I463" s="14" t="str">
        <x:v>Khu vực hạn chế/kiểm soát ra vào</x:v>
      </x:c>
      <x:c r="J463" s="14" t="str">
        <x:v>Kiểm tra định kỳ an ninh vật lý và kỹ thuật</x:v>
      </x:c>
      <x:c r="K463" s="14" t="str">
        <x:v>Trực tiếp</x:v>
      </x:c>
      <x:c r="L463" s="14" t="str">
        <x:v>An ninh/bảo vệ</x:v>
      </x:c>
      <x:c r="M463" s="14" t="str">
        <x:v>ANSP</x:v>
      </x:c>
      <x:c r="N463" s="14" t="str">
        <x:v>Khu vực hạn chế, hệ thống thông tin và thiết bị an ninh phải được duy trì phù hợp với rủi ro.</x:v>
      </x:c>
      <x:c r="O463" s="14" t="str">
        <x:v>Audit nội bộ theo checklist: hàng rào, cửa, ACS, camera, log, tài khoản, tài liệu, diễn tập.</x:v>
      </x:c>
      <x:c r="P463" s="14" t="str">
        <x:v>Phát hiện sớm lỗ hổng an ninh và khắc phục có hạn định</x:v>
      </x:c>
      <x:c r="Q463" s="14" t="str">
        <x:v>Checklist kiểm tra, ảnh hiện trường, CAPA</x:v>
      </x:c>
      <x:c r="R463" s="14" t="str">
        <x:v>Quy trình kiểm tra định kỳ an ninh cơ sở ANS; Checklist audit an ninh vật lý/kỹ thuật</x:v>
      </x:c>
      <x:c r="S463" s="14" t="str">
        <x:v>Ban An ninh hàng không; Ban Kế hoạch doanh nghiệp - Chuyển đổi số; Ban Kỹ thuật - CNS/IT/Môi trường</x:v>
      </x:c>
      <x:c r="T463" s="14" t="str">
        <x:v>Các Công ty Quản lý bay khu vực Bắc/Trung/Nam; Ban An ninh hàng không</x:v>
      </x:c>
      <x:c r="U463" s="14" t="str">
        <x:v>Cục QLXNC/CHKVN khi kiểm tra</x:v>
      </x:c>
      <x:c r="V463" s="14" t="str">
        <x:v>Hằng tháng/quý/năm theo cấp cơ sở</x:v>
      </x:c>
      <x:c r="W463" s="14" t="str">
        <x:v>P1</x:v>
      </x:c>
      <x:c r="X463" s="14" t="str">
        <x:v>Cao</x:v>
      </x:c>
      <x:c r="Y463" s="14" t="str">
        <x:v>Chưa bắt đầu</x:v>
      </x:c>
      <x:c r="Z463" s="14" t="str"/>
      <x:c r="AA463" s="14" t="str">
        <x:v>https://thuvienphapluat.vn/van-ban/Giao-thong-Van-tai/Nghi-dinh-215-2026-ND-C%D0%A0-an-ninh-hang-khong-711200.aspx</x:v>
      </x:c>
      <x:c r="AB463" s="14" t="str">
        <x:v>an ninh; cns</x:v>
      </x:c>
    </x:row>
    <x:row r="464">
      <x:c r="A464" s="14" t="str">
        <x:v>VATM-0463</x:v>
      </x:c>
      <x:c r="B464" s="14" t="str">
        <x:v>81</x:v>
      </x:c>
      <x:c r="C464" s="14" t="str">
        <x:v>Nghị định 215/2026/NĐ-CP về an ninh hàng không</x:v>
      </x:c>
      <x:c r="D464" s="14" t="str">
        <x:v>Tong_hop_nhiem_vu_VATM_ND215_2026_ANHK.xlsx</x:v>
      </x:c>
      <x:c r="E464" s="14" t="str">
        <x:v>Nhiem_vu_VATM</x:v>
      </x:c>
      <x:c r="F464" s="56" t="n">
        <x:v>82</x:v>
      </x:c>
      <x:c r="G464" s="14" t="str">
        <x:v>Điều 37,39</x:v>
      </x:c>
      <x:c r="H464" s="14" t="str">
        <x:v>An ninh hàng không</x:v>
      </x:c>
      <x:c r="I464" s="14" t="str">
        <x:v>Ứng phó sự cố/diễn tập ANHK</x:v>
      </x:c>
      <x:c r="J464" s="14" t="str">
        <x:v>Kế hoạch đào tạo/diễn tập tích hợp KSANHK và nhân viên ANS</x:v>
      </x:c>
      <x:c r="K464" s="14" t="str">
        <x:v>Trực tiếp</x:v>
      </x:c>
      <x:c r="L464" s="14" t="str">
        <x:v>An ninh/bảo vệ</x:v>
      </x:c>
      <x:c r="M464" s="14" t="str">
        <x:v>ANSP</x:v>
      </x:c>
      <x:c r="N464" s="14" t="str">
        <x:v>Diễn tập cấp cơ sở có lực lượng liên quan; nhân viên KSANHK phải đào tạo cấp phép/năng định.</x:v>
      </x:c>
      <x:c r="O464" s="14" t="str">
        <x:v>Xây dựng chương trình đào tạo 3 tầng: awareness cho toàn bộ, role-based cho ATC/CNS, licensing cho KSANHK.</x:v>
      </x:c>
      <x:c r="P464" s="14" t="str">
        <x:v>Đủ năng lực vận hành và phối hợp trong tình huống AVSEC</x:v>
      </x:c>
      <x:c r="Q464" s="14" t="str">
        <x:v>Kế hoạch đào tạo, giáo án, hồ sơ cấp phép, báo cáo diễn tập</x:v>
      </x:c>
      <x:c r="R464" s="14" t="str">
        <x:v>Quy trình đào tạo và diễn tập AVSEC VATM; Ma trận đào tạo AVSEC theo chức danh</x:v>
      </x:c>
      <x:c r="S464" s="14" t="str">
        <x:v>Ban An ninh hàng không</x:v>
      </x:c>
      <x:c r="T464" s="14" t="str">
        <x:v>Các Công ty Quản lý bay khu vực Bắc/Trung/Nam; Ban An ninh hàng không</x:v>
      </x:c>
      <x:c r="U464" s="14" t="str">
        <x:v>Cục QLXNC</x:v>
      </x:c>
      <x:c r="V464" s="14" t="str">
        <x:v>Kế hoạch năm; diễn tập 2 năm/lần</x:v>
      </x:c>
      <x:c r="W464" s="14" t="str">
        <x:v>P1</x:v>
      </x:c>
      <x:c r="X464" s="14" t="str">
        <x:v>Cao</x:v>
      </x:c>
      <x:c r="Y464" s="14" t="str">
        <x:v>Chưa bắt đầu</x:v>
      </x:c>
      <x:c r="Z464" s="14" t="str"/>
      <x:c r="AA464" s="14" t="str">
        <x:v>https://thuvienphapluat.vn/van-ban/Giao-thong-Van-tai/Nghi-dinh-215-2026-ND-C%D0%A0-an-ninh-hang-khong-711200.aspx</x:v>
      </x:c>
      <x:c r="AB464" s="14" t="str">
        <x:v>an ninh; anhk</x:v>
      </x:c>
    </x:row>
    <x:row r="465">
      <x:c r="A465" s="14" t="str">
        <x:v>VATM-0464</x:v>
      </x:c>
      <x:c r="B465" s="14" t="str">
        <x:v>82</x:v>
      </x:c>
      <x:c r="C465" s="14" t="str">
        <x:v>Nghị định 215/2026/NĐ-CP về an ninh hàng không</x:v>
      </x:c>
      <x:c r="D465" s="14" t="str">
        <x:v>Tong_hop_nhiem_vu_VATM_ND215_2026_ANHK.xlsx</x:v>
      </x:c>
      <x:c r="E465" s="14" t="str">
        <x:v>Nhiem_vu_VATM</x:v>
      </x:c>
      <x:c r="F465" s="56" t="n">
        <x:v>83</x:v>
      </x:c>
      <x:c r="G465" s="14" t="str">
        <x:v>Điều 6,38-40</x:v>
      </x:c>
      <x:c r="H465" s="14" t="str">
        <x:v>An ninh hàng không</x:v>
      </x:c>
      <x:c r="I465" s="14" t="str">
        <x:v>Khu vực hạn chế/kiểm soát ra vào</x:v>
      </x:c>
      <x:c r="J465" s="14" t="str">
        <x:v>Không nhầm lẫn KSANHK với bảo vệ dân sự</x:v>
      </x:c>
      <x:c r="K465" s="14" t="str">
        <x:v>Trực tiếp</x:v>
      </x:c>
      <x:c r="L465" s="14" t="str">
        <x:v>An ninh/bảo vệ</x:v>
      </x:c>
      <x:c r="M465" s="14" t="str">
        <x:v>ANSP</x:v>
      </x:c>
      <x:c r="N465" s="14" t="str">
        <x:v>NĐ quy định lực lượng KSANHK thuộc doanh nghiệp cung cấp dịch vụ không lưu; VATM cần phân định với bảo vệ, an ninh cơ quan, lực lượng thuê ngoài.</x:v>
      </x:c>
      <x:c r="O465" s="14" t="str">
        <x:v>Sửa quy chế để nêu rõ nhiệm vụ KSANHK, bảo vệ dân sự hỗ trợ, phạm vi lập biên bản/chuyển giao.</x:v>
      </x:c>
      <x:c r="P465" s="14" t="str">
        <x:v>Tránh thực hiện sai thẩm quyền hoặc thiếu lực lượng KSANHK theo NĐ</x:v>
      </x:c>
      <x:c r="Q465" s="14" t="str">
        <x:v>Quy chế, hợp đồng, mô tả công việc, đào tạo</x:v>
      </x:c>
      <x:c r="R465" s="14" t="str">
        <x:v>Quy chế phân định KSANHK và bảo vệ cơ sở; Bảng phân quyền KSANHK/bảo vệ</x:v>
      </x:c>
      <x:c r="S465" s="14" t="str">
        <x:v>Ban An ninh hàng không; Văn phòng - Pháp chế</x:v>
      </x:c>
      <x:c r="T465" s="14" t="str">
        <x:v>Các Công ty Quản lý bay khu vực Bắc/Trung/Nam; Ban An ninh hàng không</x:v>
      </x:c>
      <x:c r="U465" s="14" t="str">
        <x:v>Cục QLXNC</x:v>
      </x:c>
      <x:c r="V465" s="14" t="str">
        <x:v>Khi tổ chức lực lượng</x:v>
      </x:c>
      <x:c r="W465" s="14" t="str">
        <x:v>P1</x:v>
      </x:c>
      <x:c r="X465" s="14" t="str">
        <x:v>Cao</x:v>
      </x:c>
      <x:c r="Y465" s="14" t="str">
        <x:v>Chưa bắt đầu</x:v>
      </x:c>
      <x:c r="Z465" s="14" t="str"/>
      <x:c r="AA465" s="14" t="str">
        <x:v>https://thuvienphapluat.vn/van-ban/Giao-thong-Van-tai/Nghi-dinh-215-2026-ND-C%D0%A0-an-ninh-hang-khong-711200.aspx</x:v>
      </x:c>
      <x:c r="AB465" s="14" t="str">
        <x:v>an ninh; atm; anhk; phap che</x:v>
      </x:c>
    </x:row>
    <x:row r="466">
      <x:c r="A466" s="14" t="str">
        <x:v>VATM-0465</x:v>
      </x:c>
      <x:c r="B466" s="14" t="str">
        <x:v>83</x:v>
      </x:c>
      <x:c r="C466" s="14" t="str">
        <x:v>Nghị định 215/2026/NĐ-CP về an ninh hàng không</x:v>
      </x:c>
      <x:c r="D466" s="14" t="str">
        <x:v>Tong_hop_nhiem_vu_VATM_ND215_2026_ANHK.xlsx</x:v>
      </x:c>
      <x:c r="E466" s="14" t="str">
        <x:v>Nhiem_vu_VATM</x:v>
      </x:c>
      <x:c r="F466" s="56" t="n">
        <x:v>84</x:v>
      </x:c>
      <x:c r="G466" s="14" t="str">
        <x:v>Điều 6,7,26,55-56</x:v>
      </x:c>
      <x:c r="H466" s="14" t="str">
        <x:v>An ninh hàng không</x:v>
      </x:c>
      <x:c r="I466" s="14" t="str">
        <x:v>Khu vực hạn chế/kiểm soát ra vào</x:v>
      </x:c>
      <x:c r="J466" s="14" t="str">
        <x:v>Rà soát tất cả văn bản nội bộ VATM liên quan</x:v>
      </x:c>
      <x:c r="K466" s="14" t="str">
        <x:v>Trực tiếp</x:v>
      </x:c>
      <x:c r="L466" s="14" t="str">
        <x:v>An ninh/bảo vệ</x:v>
      </x:c>
      <x:c r="M466" s="14" t="str">
        <x:v>Doanh nghiệp hàng không/ANSP</x:v>
      </x:c>
      <x:c r="N466" s="14" t="str">
        <x:v>Cần sửa đồng bộ văn bản nội bộ: chương trình an ninh, bảo vệ mục tiêu, ra vào, CNTT, nhà thầu, chuyên cơ, khẩn nguy, diễn tập.</x:v>
      </x:c>
      <x:c r="O466" s="14" t="str">
        <x:v>Lập danh mục văn bản cần sửa, ưu tiên văn bản có rủi ro cao; ban hành gói hướng dẫn tạm thời.</x:v>
      </x:c>
      <x:c r="P466" s="14" t="str">
        <x:v>Hệ thống quy trình nội bộ không trái/thiếu so với NĐ 215</x:v>
      </x:c>
      <x:c r="Q466" s="14" t="str">
        <x:v>Danh mục văn bản, quyết định sửa đổi, bản đối chiếu NĐ 215</x:v>
      </x:c>
      <x:c r="R466" s="14" t="str">
        <x:v>Quy trình kiểm soát văn bản nội bộ theo pháp luật mới; Mẫu bảng đối chiếu văn bản nội bộ với NĐ 215</x:v>
      </x:c>
      <x:c r="S466" s="14" t="str">
        <x:v>Ban An ninh hàng không; Văn phòng - Pháp chế</x:v>
      </x:c>
      <x:c r="T466" s="14" t="str">
        <x:v>Các Công ty Quản lý bay khu vực Bắc/Trung/Nam; Ban An ninh hàng không</x:v>
      </x:c>
      <x:c r="U466" s="14" t="str">
        <x:v>CHKVN/Cục QLXNC khi cần</x:v>
      </x:c>
      <x:c r="V466" s="14" t="str">
        <x:v>Trong 60-90 ngày</x:v>
      </x:c>
      <x:c r="W466" s="14" t="str">
        <x:v>P1</x:v>
      </x:c>
      <x:c r="X466" s="14" t="str">
        <x:v>Rất cao</x:v>
      </x:c>
      <x:c r="Y466" s="14" t="str">
        <x:v>Chưa bắt đầu</x:v>
      </x:c>
      <x:c r="Z466" s="14" t="str"/>
      <x:c r="AA466" s="14" t="str">
        <x:v>https://thuvienphapluat.vn/van-ban/Giao-thong-Van-tai/Nghi-dinh-215-2026-ND-C%D0%A0-an-ninh-hang-khong-711200.aspx</x:v>
      </x:c>
      <x:c r="AB466" s="14" t="str">
        <x:v>an ninh; phap che</x:v>
      </x:c>
    </x:row>
    <x:row r="467">
      <x:c r="A467" s="14" t="str">
        <x:v>VATM-0466</x:v>
      </x:c>
      <x:c r="B467" s="14" t="str">
        <x:v>84</x:v>
      </x:c>
      <x:c r="C467" s="14" t="str">
        <x:v>Nghị định 215/2026/NĐ-CP về an ninh hàng không</x:v>
      </x:c>
      <x:c r="D467" s="14" t="str">
        <x:v>Tong_hop_nhiem_vu_VATM_ND215_2026_ANHK.xlsx</x:v>
      </x:c>
      <x:c r="E467" s="14" t="str">
        <x:v>Nhiem_vu_VATM</x:v>
      </x:c>
      <x:c r="F467" s="56" t="n">
        <x:v>85</x:v>
      </x:c>
      <x:c r="G467" s="14" t="str">
        <x:v>Điều 1-2, hiệu lực 01/7/2026</x:v>
      </x:c>
      <x:c r="H467" s="14" t="str">
        <x:v>An ninh hàng không</x:v>
      </x:c>
      <x:c r="I467" s="14" t="str">
        <x:v>An ninh hệ thống CNS/ATM/CNTT</x:v>
      </x:c>
      <x:c r="J467" s="14" t="str">
        <x:v>Hiệu lực và phạm vi áp dụng</x:v>
      </x:c>
      <x:c r="K467" s="14" t="str">
        <x:v>Trực tiếp</x:v>
      </x:c>
      <x:c r="L467" s="14" t="str">
        <x:v>An ninh/bảo vệ</x:v>
      </x:c>
      <x:c r="M467" s="14" t="str">
        <x:v>Doanh nghiệp hàng không/ANSP</x:v>
      </x:c>
      <x:c r="N467" s="14" t="str">
        <x:v>NĐ 215 áp dụng từ 01/7/2026 đối với tổ chức liên quan hoạt động HKDD tại Việt Nam; VATM phải áp dụng ngay cho hoạt động ANS.</x:v>
      </x:c>
      <x:c r="O467" s="14" t="str">
        <x:v>Ban hành thông báo áp dụng, kế hoạch chuyển đổi, yêu cầu đơn vị tự rà soát và báo cáo.</x:v>
      </x:c>
      <x:c r="P467" s="14" t="str">
        <x:v>Không có khoảng trống tuân thủ sau ngày hiệu lực</x:v>
      </x:c>
      <x:c r="Q467" s="14" t="str">
        <x:v>Thông báo nội bộ, kế hoạch chuyển đổi, báo cáo tự rà soát</x:v>
      </x:c>
      <x:c r="R467" s="14" t="str">
        <x:v>Quy trình cập nhật pháp luật mới; Mẫu thông báo pháp luật mới</x:v>
      </x:c>
      <x:c r="S467" s="14" t="str">
        <x:v>Ban An ninh hàng không; Văn phòng - Pháp chế</x:v>
      </x:c>
      <x:c r="T467" s="14" t="str">
        <x:v>Các Công ty Quản lý bay khu vực Bắc/Trung/Nam; Ban An ninh hàng không</x:v>
      </x:c>
      <x:c r="U467" s="14" t="str">
        <x:v>CHKVN/Cục QLXNC</x:v>
      </x:c>
      <x:c r="V467" s="14" t="str">
        <x:v>Từ 01/7/2026</x:v>
      </x:c>
      <x:c r="W467" s="14" t="str">
        <x:v>P1</x:v>
      </x:c>
      <x:c r="X467" s="14" t="str">
        <x:v>Cao</x:v>
      </x:c>
      <x:c r="Y467" s="14" t="str">
        <x:v>Chưa bắt đầu</x:v>
      </x:c>
      <x:c r="Z467" s="14" t="str"/>
      <x:c r="AA467" s="14" t="str">
        <x:v>https://thuvienphapluat.vn/van-ban/Giao-thong-Van-tai/Nghi-dinh-215-2026-ND-C%D0%A0-an-ninh-hang-khong-711200.aspx</x:v>
      </x:c>
      <x:c r="AB467" s="14" t="str">
        <x:v>an ninh; atm; cns; ans; phap che</x:v>
      </x:c>
    </x:row>
    <x:row r="468">
      <x:c r="A468" s="14" t="str">
        <x:v>VATM-0467</x:v>
      </x:c>
      <x:c r="B468" s="14" t="str">
        <x:v>T001</x:v>
      </x:c>
      <x:c r="C468" s="14" t="str">
        <x:v>Dự thảo Nghị định về hoạt động bay (01/07/2026)</x:v>
      </x:c>
      <x:c r="D468" s="14" t="str">
        <x:v>VATM_Ra_soat_du_thao_ND_hoat_dong_bay_01072026_NANG_CAP.xlsx</x:v>
      </x:c>
      <x:c r="E468" s="14" t="str">
        <x:v>04_Nhiem_vu</x:v>
      </x:c>
      <x:c r="F468" s="56" t="n">
        <x:v>2</x:v>
      </x:c>
      <x:c r="G468" s="14" t="str">
        <x:v>Đ1-4, Đ138-140</x:v>
      </x:c>
      <x:c r="H468" s="14" t="str">
        <x:v>Tuân thủ, dữ liệu &amp; chuyển đổi số</x:v>
      </x:c>
      <x:c r="I468" s="14" t="str">
        <x:v>Hồ sơ điện tử, CSDL và ký số</x:v>
      </x:c>
      <x:c r="J468" s="14" t="str">
        <x:v>Pháp chế/chuyển đổi</x:v>
      </x:c>
      <x:c r="K468" s="14" t="str">
        <x:v>Trực tiếp</x:v>
      </x:c>
      <x:c r="L468" s="14" t="str">
        <x:v>Báo cáo/điều tra/khắc phục</x:v>
      </x:c>
      <x:c r="M468" s="14" t="str"/>
      <x:c r="N468" s="14" t="str">
        <x:v>Ban hành Kế hoạch chuyển đổi áp dụng Nghị định về hoạt động bay từ 01/07/2026 trong toàn VATM.</x:v>
      </x:c>
      <x:c r="O468" s="14" t="str"/>
      <x:c r="P468" s="14" t="str">
        <x:v>Quyết định/Kế hoạch triển khai; ma trận trách nhiệm; lịch báo cáo; Ban hành trước 01/07/2026; 100% đơn vị có đầu mối và kế hoạch con; 01 kế hoạch tổng thể + kế hoạch đơn vị</x:v>
      </x:c>
      <x:c r="Q468" s="14" t="str">
        <x:v>Quyết định/Kế hoạch triển khai; ma trận trách nhiệm; lịch báo cáo; Ban hành trước 01/07/2026; 100% đơn vị có đầu mối và kế hoạch con; 01 kế hoạch tổng thể + kế hoạch đơn vị</x:v>
      </x:c>
      <x:c r="R468" s="14" t="str"/>
      <x:c r="S468" s="14" t="str">
        <x:v>Ban Kế hoạch doanh nghiệp - Chuyển đổi số; Ban Kỹ thuật - CNS/IT/Môi trường; Văn phòng - Pháp chế; Ban Không lưu</x:v>
      </x:c>
      <x:c r="T468" s="14" t="str">
        <x:v>Ban Kế hoạch doanh nghiệp - Chuyển đổi số; Ban Kỹ thuật - CNS/IT/Môi trường; Văn phòng - Pháp chế</x:v>
      </x:c>
      <x:c r="U468" s="14" t="str"/>
      <x:c r="V468" s="14" t="str">
        <x:v>Bắt đầu: 20/06/2026; Hoàn thành: 30/06/2026</x:v>
      </x:c>
      <x:c r="W468" s="14" t="str">
        <x:v>P1</x:v>
      </x:c>
      <x:c r="X468" s="14" t="str"/>
      <x:c r="Y468" s="14" t="str">
        <x:v>Chưa bắt đầu</x:v>
      </x:c>
      <x:c r="Z468" s="14" t="str">
        <x:v>Cần cập nhật sau khi Nghị định chính thức ký ban hành</x:v>
      </x:c>
      <x:c r="AA468" s="14" t="str"/>
      <x:c r="AB468" s="14" t="str">
        <x:v>du lieu; atm; phap che</x:v>
      </x:c>
    </x:row>
    <x:row r="469">
      <x:c r="A469" s="14" t="str">
        <x:v>VATM-0468</x:v>
      </x:c>
      <x:c r="B469" s="14" t="str">
        <x:v>T002</x:v>
      </x:c>
      <x:c r="C469" s="14" t="str">
        <x:v>Dự thảo Nghị định về hoạt động bay (01/07/2026)</x:v>
      </x:c>
      <x:c r="D469" s="14" t="str">
        <x:v>VATM_Ra_soat_du_thao_ND_hoat_dong_bay_01072026_NANG_CAP.xlsx</x:v>
      </x:c>
      <x:c r="E469" s="14" t="str">
        <x:v>04_Nhiem_vu</x:v>
      </x:c>
      <x:c r="F469" s="56" t="n">
        <x:v>3</x:v>
      </x:c>
      <x:c r="G469" s="14" t="str">
        <x:v>Đ138-139</x:v>
      </x:c>
      <x:c r="H469" s="14" t="str">
        <x:v>Tuân thủ, dữ liệu &amp; chuyển đổi số</x:v>
      </x:c>
      <x:c r="I469" s="14" t="str">
        <x:v>Hồ sơ điện tử, CSDL và ký số</x:v>
      </x:c>
      <x:c r="J469" s="14" t="str">
        <x:v>Pháp chế/chuyển đổi</x:v>
      </x:c>
      <x:c r="K469" s="14" t="str">
        <x:v>Trực tiếp</x:v>
      </x:c>
      <x:c r="L469" s="14" t="str">
        <x:v>Dữ liệu/số hóa</x:v>
      </x:c>
      <x:c r="M469" s="14" t="str"/>
      <x:c r="N469" s="14" t="str">
        <x:v>Rà soát toàn bộ quy chế, quy trình, sổ tay khai thác, LOA và biểu mẫu nội bộ bị tác động bởi NĐ 125/2015, NĐ 139/2024, NĐ 32/2016 hết hiệu lực.</x:v>
      </x:c>
      <x:c r="O469" s="14" t="str"/>
      <x:c r="P469" s="14" t="str">
        <x:v>Danh mục văn bản cần sửa/ban hành mới; bảng gap pháp lý; 100% văn bản nội bộ có trạng thái: giữ/sửa/bãi bỏ/thay mới; Tối thiểu 01 danh mục toàn VATM</x:v>
      </x:c>
      <x:c r="Q469" s="14" t="str">
        <x:v>Danh mục văn bản cần sửa/ban hành mới; bảng gap pháp lý; 100% văn bản nội bộ có trạng thái: giữ/sửa/bãi bỏ/thay mới; Tối thiểu 01 danh mục toàn VATM</x:v>
      </x:c>
      <x:c r="R469" s="14" t="str"/>
      <x:c r="S469" s="14" t="str">
        <x:v>Ban Kế hoạch doanh nghiệp - Chuyển đổi số; Ban Kỹ thuật - CNS/IT/Môi trường; Văn phòng - Pháp chế</x:v>
      </x:c>
      <x:c r="T469" s="14" t="str">
        <x:v>Ban Không lưu; Ban Kỹ thuật - CNS/IT/Môi trường; Trung tâm Khí tượng hàng không; Trung tâm Thông báo tin tức hàng không; Trung tâm Tìm kiếm cứu nạn hàng không; Các Công ty Quản lý bay khu vực Bắc/Trung/Nam; Văn phòng - Pháp chế</x:v>
      </x:c>
      <x:c r="U469" s="14" t="str"/>
      <x:c r="V469" s="14" t="str">
        <x:v>Bắt đầu: 20/06/2026; Hoàn thành: 31/08/2026</x:v>
      </x:c>
      <x:c r="W469" s="14" t="str">
        <x:v>P1</x:v>
      </x:c>
      <x:c r="X469" s="14" t="str"/>
      <x:c r="Y469" s="14" t="str">
        <x:v>Chưa bắt đầu</x:v>
      </x:c>
      <x:c r="Z469" s="14" t="str">
        <x:v>Ưu tiên văn bản phục vụ khai thác từ 01/07/2026</x:v>
      </x:c>
      <x:c r="AA469" s="14" t="str"/>
      <x:c r="AB469" s="14" t="str">
        <x:v>du lieu; phap che</x:v>
      </x:c>
    </x:row>
    <x:row r="470">
      <x:c r="A470" s="14" t="str">
        <x:v>VATM-0469</x:v>
      </x:c>
      <x:c r="B470" s="14" t="str">
        <x:v>T003</x:v>
      </x:c>
      <x:c r="C470" s="14" t="str">
        <x:v>Dự thảo Nghị định về hoạt động bay (01/07/2026)</x:v>
      </x:c>
      <x:c r="D470" s="14" t="str">
        <x:v>VATM_Ra_soat_du_thao_ND_hoat_dong_bay_01072026_NANG_CAP.xlsx</x:v>
      </x:c>
      <x:c r="E470" s="14" t="str">
        <x:v>04_Nhiem_vu</x:v>
      </x:c>
      <x:c r="F470" s="56" t="n">
        <x:v>4</x:v>
      </x:c>
      <x:c r="G470" s="14" t="str">
        <x:v>Đ4</x:v>
      </x:c>
      <x:c r="H470" s="14" t="str">
        <x:v>Tuân thủ, dữ liệu &amp; chuyển đổi số</x:v>
      </x:c>
      <x:c r="I470" s="14" t="str">
        <x:v>Hồ sơ điện tử, CSDL và ký số</x:v>
      </x:c>
      <x:c r="J470" s="14" t="str">
        <x:v>Pháp chế/chuyển đổi</x:v>
      </x:c>
      <x:c r="K470" s="14" t="str">
        <x:v>Trực tiếp</x:v>
      </x:c>
      <x:c r="L470" s="14" t="str">
        <x:v>Dữ liệu/số hóa</x:v>
      </x:c>
      <x:c r="M470" s="14" t="str"/>
      <x:c r="N470" s="14" t="str">
        <x:v>Chuẩn hóa tiếp nhận, xử lý, lưu trữ hồ sơ điện tử đối với các thủ tục VATM tham gia hoặc được giao xử lý.</x:v>
      </x:c>
      <x:c r="O470" s="14" t="str"/>
      <x:c r="P470" s="14" t="str">
        <x:v>Quy trình hồ sơ điện tử; mẫu metadata; kho lưu trữ số; 100% hồ sơ có log, số hóa kết quả và khả năng truy xuất; 01 quy trình + cấu hình hệ thống</x:v>
      </x:c>
      <x:c r="Q470" s="14" t="str">
        <x:v>Quy trình hồ sơ điện tử; mẫu metadata; kho lưu trữ số; 100% hồ sơ có log, số hóa kết quả và khả năng truy xuất; 01 quy trình + cấu hình hệ thống</x:v>
      </x:c>
      <x:c r="R470" s="14" t="str"/>
      <x:c r="S470" s="14" t="str">
        <x:v>Ban Kế hoạch doanh nghiệp - Chuyển đổi số; Ban Kỹ thuật - CNS/IT/Môi trường; Văn phòng - Pháp chế</x:v>
      </x:c>
      <x:c r="T470" s="14" t="str">
        <x:v>Ban Kế hoạch doanh nghiệp - Chuyển đổi số; Ban Kỹ thuật - CNS/IT/Môi trường; Văn phòng - Pháp chế</x:v>
      </x:c>
      <x:c r="U470" s="14" t="str"/>
      <x:c r="V470" s="14" t="str">
        <x:v>Bắt đầu: 01/07/2026; Hoàn thành: 30/09/2026</x:v>
      </x:c>
      <x:c r="W470" s="14" t="str">
        <x:v>P2</x:v>
      </x:c>
      <x:c r="X470" s="14" t="str"/>
      <x:c r="Y470" s="14" t="str">
        <x:v>Chưa bắt đầu</x:v>
      </x:c>
      <x:c r="Z470" s="14" t="str">
        <x:v>Đồng bộ Cổng DVC/QG nếu có kết nối</x:v>
      </x:c>
      <x:c r="AA470" s="14" t="str"/>
      <x:c r="AB470" s="14" t="str">
        <x:v>du lieu; atm; cns; phap che</x:v>
      </x:c>
    </x:row>
    <x:row r="471">
      <x:c r="A471" s="14" t="str">
        <x:v>VATM-0470</x:v>
      </x:c>
      <x:c r="B471" s="14" t="str">
        <x:v>T004</x:v>
      </x:c>
      <x:c r="C471" s="14" t="str">
        <x:v>Dự thảo Nghị định về hoạt động bay (01/07/2026)</x:v>
      </x:c>
      <x:c r="D471" s="14" t="str">
        <x:v>VATM_Ra_soat_du_thao_ND_hoat_dong_bay_01072026_NANG_CAP.xlsx</x:v>
      </x:c>
      <x:c r="E471" s="14" t="str">
        <x:v>04_Nhiem_vu</x:v>
      </x:c>
      <x:c r="F471" s="56" t="n">
        <x:v>5</x:v>
      </x:c>
      <x:c r="G471" s="14" t="str">
        <x:v>Đ14, Đ17, Đ20-24, PL-VII, PL-VIII</x:v>
      </x:c>
      <x:c r="H471" s="14" t="str">
        <x:v>ANS - ATM/ATS/ATFM</x:v>
      </x:c>
      <x:c r="I471" s="14" t="str">
        <x:v>Cấp phép bay, FPL và xử lý hồ sơ bay</x:v>
      </x:c>
      <x:c r="J471" s="14" t="str">
        <x:v>Cấp phép bay/FPL</x:v>
      </x:c>
      <x:c r="K471" s="14" t="str">
        <x:v>Trực tiếp</x:v>
      </x:c>
      <x:c r="L471" s="14" t="str">
        <x:v>Quy trình/SOP/biểu mẫu</x:v>
      </x:c>
      <x:c r="M471" s="14" t="str"/>
      <x:c r="N471" s="14" t="str">
        <x:v>Thiết lập cơ chế trực ngoài giờ/ngày nghỉ để VATM cấp/sửa/hủy phép bay đúng phạm vi được giao.</x:v>
      </x:c>
      <x:c r="O471" s="14" t="str"/>
      <x:c r="P471" s="14" t="str">
        <x:v>SOP trực ngoài giờ; ma trận phân quyền; mẫu phản hồi; log xử lý; Không gián đoạn xử lý tình huống thuộc khoản 5 Đ14; 100% hồ sơ lưu vết; 01 SOP + ca trực 24/7</x:v>
      </x:c>
      <x:c r="Q471" s="14" t="str">
        <x:v>SOP trực ngoài giờ; ma trận phân quyền; mẫu phản hồi; log xử lý; Không gián đoạn xử lý tình huống thuộc khoản 5 Đ14; 100% hồ sơ lưu vết; 01 SOP + ca trực 24/7</x:v>
      </x:c>
      <x:c r="R471" s="14" t="str"/>
      <x:c r="S471" s="14" t="str">
        <x:v>Ban Không lưu; Trung tâm Quản lý luồng không lưu</x:v>
      </x:c>
      <x:c r="T471" s="14" t="str">
        <x:v>Các Công ty Quản lý bay khu vực Bắc/Trung/Nam; Ban Không lưu</x:v>
      </x:c>
      <x:c r="U471" s="14" t="str"/>
      <x:c r="V471" s="14" t="str">
        <x:v>Bắt đầu: 20/06/2026; Hoàn thành: 30/06/2026</x:v>
      </x:c>
      <x:c r="W471" s="14" t="str">
        <x:v>P1</x:v>
      </x:c>
      <x:c r="X471" s="14" t="str"/>
      <x:c r="Y471" s="14" t="str">
        <x:v>Chưa bắt đầu</x:v>
      </x:c>
      <x:c r="Z471" s="14" t="str">
        <x:v>Cần xác định thẩm quyền ký/duyệt nội bộ</x:v>
      </x:c>
      <x:c r="AA471" s="14" t="str"/>
      <x:c r="AB471" s="14" t="str">
        <x:v>ans; atm; ats; atfm; fpl</x:v>
      </x:c>
    </x:row>
    <x:row r="472">
      <x:c r="A472" s="14" t="str">
        <x:v>VATM-0471</x:v>
      </x:c>
      <x:c r="B472" s="14" t="str">
        <x:v>T005</x:v>
      </x:c>
      <x:c r="C472" s="14" t="str">
        <x:v>Dự thảo Nghị định về hoạt động bay (01/07/2026)</x:v>
      </x:c>
      <x:c r="D472" s="14" t="str">
        <x:v>VATM_Ra_soat_du_thao_ND_hoat_dong_bay_01072026_NANG_CAP.xlsx</x:v>
      </x:c>
      <x:c r="E472" s="14" t="str">
        <x:v>04_Nhiem_vu</x:v>
      </x:c>
      <x:c r="F472" s="56" t="n">
        <x:v>6</x:v>
      </x:c>
      <x:c r="G472" s="14" t="str">
        <x:v>Đ17.7</x:v>
      </x:c>
      <x:c r="H472" s="14" t="str">
        <x:v>ANS - ATM/ATS/ATFM</x:v>
      </x:c>
      <x:c r="I472" s="14" t="str">
        <x:v>Cấp phép bay, FPL và xử lý hồ sơ bay</x:v>
      </x:c>
      <x:c r="J472" s="14" t="str">
        <x:v>Cấp phép bay/FPL</x:v>
      </x:c>
      <x:c r="K472" s="14" t="str">
        <x:v>Trực tiếp</x:v>
      </x:c>
      <x:c r="L472" s="14" t="str">
        <x:v>Báo cáo/điều tra/khắc phục</x:v>
      </x:c>
      <x:c r="M472" s="14" t="str"/>
      <x:c r="N472" s="14" t="str">
        <x:v>Cấu hình quy trình phản hồi Kế hoạch bay không lưu thay phép bay đối với hàng không chuyên dùng/hàng không chung bằng tàu bay Việt Nam trong đường hàng không.</x:v>
      </x:c>
      <x:c r="O472" s="14" t="str"/>
      <x:c r="P472" s="14" t="str">
        <x:v>Quy trình phản hồi FPL; checklist dữ liệu bắt buộc; báo cáo đối soát; 100% FPL đủ điều kiện được phản hồi đúng quy định; phát hiện và trả lại hồ sơ thiếu dữ liệu; 01 quy trình + biểu mẫu kiểm tra</x:v>
      </x:c>
      <x:c r="Q472" s="14" t="str">
        <x:v>Quy trình phản hồi FPL; checklist dữ liệu bắt buộc; báo cáo đối soát; 100% FPL đủ điều kiện được phản hồi đúng quy định; phát hiện và trả lại hồ sơ thiếu dữ liệu; 01 quy trình + biểu mẫu kiểm tra</x:v>
      </x:c>
      <x:c r="R472" s="14" t="str"/>
      <x:c r="S472" s="14" t="str">
        <x:v>Ban Không lưu; Trung tâm Quản lý luồng không lưu</x:v>
      </x:c>
      <x:c r="T472" s="14" t="str">
        <x:v>Ban Không lưu; Các Công ty Quản lý bay khu vực Bắc/Trung/Nam</x:v>
      </x:c>
      <x:c r="U472" s="14" t="str"/>
      <x:c r="V472" s="14" t="str">
        <x:v>Bắt đầu: 20/06/2026; Hoàn thành: 15/07/2026</x:v>
      </x:c>
      <x:c r="W472" s="14" t="str">
        <x:v>P1</x:v>
      </x:c>
      <x:c r="X472" s="14" t="str"/>
      <x:c r="Y472" s="14" t="str">
        <x:v>Chưa bắt đầu</x:v>
      </x:c>
      <x:c r="Z472" s="14" t="str">
        <x:v>Liên quan hệ thống xử lý kế hoạch bay hiện hữu</x:v>
      </x:c>
      <x:c r="AA472" s="14" t="str"/>
      <x:c r="AB472" s="14" t="str">
        <x:v>ans; atm; ats; atfm; fpl</x:v>
      </x:c>
    </x:row>
    <x:row r="473">
      <x:c r="A473" s="14" t="str">
        <x:v>VATM-0472</x:v>
      </x:c>
      <x:c r="B473" s="14" t="str">
        <x:v>T006</x:v>
      </x:c>
      <x:c r="C473" s="14" t="str">
        <x:v>Dự thảo Nghị định về hoạt động bay (01/07/2026)</x:v>
      </x:c>
      <x:c r="D473" s="14" t="str">
        <x:v>VATM_Ra_soat_du_thao_ND_hoat_dong_bay_01072026_NANG_CAP.xlsx</x:v>
      </x:c>
      <x:c r="E473" s="14" t="str">
        <x:v>04_Nhiem_vu</x:v>
      </x:c>
      <x:c r="F473" s="56" t="n">
        <x:v>7</x:v>
      </x:c>
      <x:c r="G473" s="14" t="str">
        <x:v>Đ24, M8G</x:v>
      </x:c>
      <x:c r="H473" s="14" t="str">
        <x:v>ANS - ATM/ATS/ATFM</x:v>
      </x:c>
      <x:c r="I473" s="14" t="str">
        <x:v>Cấp phép bay, FPL và xử lý hồ sơ bay</x:v>
      </x:c>
      <x:c r="J473" s="14" t="str">
        <x:v>Cấp phép bay/FPL</x:v>
      </x:c>
      <x:c r="K473" s="14" t="str">
        <x:v>Trực tiếp</x:v>
      </x:c>
      <x:c r="L473" s="14" t="str">
        <x:v>Dữ liệu/số hóa</x:v>
      </x:c>
      <x:c r="M473" s="14" t="str"/>
      <x:c r="N473" s="14" t="str">
        <x:v>Thiết lập đầu mối tiếp nhận, kiểm tra và phản hồi kế hoạch thực hiện chuyến bay đối với bay qua/bay trong phần FIR trên biển quốc tế do Việt Nam quản lý.</x:v>
      </x:c>
      <x:c r="O473" s="14" t="str"/>
      <x:c r="P473" s="14" t="str">
        <x:v>Đầu mối email/AFS/điện thoại; mẫu phản hồi; log điện tử; dashboard; 100% hồ sơ M8G có xác nhận phản hồi; dữ liệu đồng bộ với FPL và billing; 01 luồng xử lý 24/7</x:v>
      </x:c>
      <x:c r="Q473" s="14" t="str">
        <x:v>Đầu mối email/AFS/điện thoại; mẫu phản hồi; log điện tử; dashboard; 100% hồ sơ M8G có xác nhận phản hồi; dữ liệu đồng bộ với FPL và billing; 01 luồng xử lý 24/7</x:v>
      </x:c>
      <x:c r="R473" s="14" t="str"/>
      <x:c r="S473" s="14" t="str">
        <x:v>Ban Không lưu; Trung tâm Quản lý luồng không lưu</x:v>
      </x:c>
      <x:c r="T473" s="14" t="str">
        <x:v>Các Công ty Quản lý bay khu vực Bắc/Trung/Nam; Ban Tài chính; Ban Không lưu</x:v>
      </x:c>
      <x:c r="U473" s="14" t="str"/>
      <x:c r="V473" s="14" t="str">
        <x:v>Bắt đầu: 20/06/2026; Hoàn thành: 15/07/2026</x:v>
      </x:c>
      <x:c r="W473" s="14" t="str">
        <x:v>P1</x:v>
      </x:c>
      <x:c r="X473" s="14" t="str"/>
      <x:c r="Y473" s="14" t="str">
        <x:v>Chưa bắt đầu</x:v>
      </x:c>
      <x:c r="Z473" s="14" t="str">
        <x:v>Mẫu 8G nêu địa chỉ VATM; cần rà soát địa chỉ, người trực</x:v>
      </x:c>
      <x:c r="AA473" s="14" t="str"/>
      <x:c r="AB473" s="14" t="str">
        <x:v>ans; atm; ats; atfm; fpl</x:v>
      </x:c>
    </x:row>
    <x:row r="474">
      <x:c r="A474" s="14" t="str">
        <x:v>VATM-0473</x:v>
      </x:c>
      <x:c r="B474" s="14" t="str">
        <x:v>T007</x:v>
      </x:c>
      <x:c r="C474" s="14" t="str">
        <x:v>Dự thảo Nghị định về hoạt động bay (01/07/2026)</x:v>
      </x:c>
      <x:c r="D474" s="14" t="str">
        <x:v>VATM_Ra_soat_du_thao_ND_hoat_dong_bay_01072026_NANG_CAP.xlsx</x:v>
      </x:c>
      <x:c r="E474" s="14" t="str">
        <x:v>04_Nhiem_vu</x:v>
      </x:c>
      <x:c r="F474" s="56" t="n">
        <x:v>8</x:v>
      </x:c>
      <x:c r="G474" s="14" t="str">
        <x:v>Đ21-22, Đ101</x:v>
      </x:c>
      <x:c r="H474" s="14" t="str">
        <x:v>ANS - ATM/ATS/ATFM</x:v>
      </x:c>
      <x:c r="I474" s="14" t="str">
        <x:v>Cấp phép bay, FPL và xử lý hồ sơ bay</x:v>
      </x:c>
      <x:c r="J474" s="14" t="str">
        <x:v>Cấp phép bay/FPL</x:v>
      </x:c>
      <x:c r="K474" s="14" t="str">
        <x:v>Trực tiếp</x:v>
      </x:c>
      <x:c r="L474" s="14" t="str">
        <x:v>Quy trình/SOP/biểu mẫu</x:v>
      </x:c>
      <x:c r="M474" s="14" t="str"/>
      <x:c r="N474" s="14" t="str">
        <x:v>Xây dựng quy chế bảo đảm thanh toán, cảnh báo nợ, yêu cầu thanh toán trước và đề xuất từ chối cung cấp ATS trước khởi hành trong giới hạn pháp luật.</x:v>
      </x:c>
      <x:c r="O474" s="14" t="str"/>
      <x:c r="P474" s="14" t="str">
        <x:v>Quy chế thanh toán; dashboard nợ; mẫu thông báo bảo đảm thanh toán; Không áp dụng với tàu bay đang bay; 100% quyết định có căn cứ pháp lý và phê duyệt; 01 quy chế + dashboard</x:v>
      </x:c>
      <x:c r="Q474" s="14" t="str">
        <x:v>Quy chế thanh toán; dashboard nợ; mẫu thông báo bảo đảm thanh toán; Không áp dụng với tàu bay đang bay; 100% quyết định có căn cứ pháp lý và phê duyệt; 01 quy chế + dashboard</x:v>
      </x:c>
      <x:c r="R474" s="14" t="str"/>
      <x:c r="S474" s="14" t="str">
        <x:v>Ban Không lưu; Văn phòng - Pháp chế; Ban Tài chính</x:v>
      </x:c>
      <x:c r="T474" s="14" t="str">
        <x:v>Các Công ty Quản lý bay khu vực Bắc/Trung/Nam; Trung tâm Quản lý luồng không lưu; Ban Không lưu</x:v>
      </x:c>
      <x:c r="U474" s="14" t="str"/>
      <x:c r="V474" s="14" t="str">
        <x:v>Bắt đầu: 01/07/2026; Hoàn thành: 30/09/2026</x:v>
      </x:c>
      <x:c r="W474" s="14" t="str">
        <x:v>P1</x:v>
      </x:c>
      <x:c r="X474" s="14" t="str"/>
      <x:c r="Y474" s="14" t="str">
        <x:v>Chưa bắt đầu</x:v>
      </x:c>
      <x:c r="Z474" s="14" t="str">
        <x:v>Phải ưu tiên an toàn bay, SAR, nhân đạo, khẩn nguy</x:v>
      </x:c>
      <x:c r="AA474" s="14" t="str"/>
      <x:c r="AB474" s="14" t="str">
        <x:v>ans; atm; ats; atfm; fpl; phap che; tai chinh</x:v>
      </x:c>
    </x:row>
    <x:row r="475">
      <x:c r="A475" s="14" t="str">
        <x:v>VATM-0474</x:v>
      </x:c>
      <x:c r="B475" s="14" t="str">
        <x:v>T008</x:v>
      </x:c>
      <x:c r="C475" s="14" t="str">
        <x:v>Dự thảo Nghị định về hoạt động bay (01/07/2026)</x:v>
      </x:c>
      <x:c r="D475" s="14" t="str">
        <x:v>VATM_Ra_soat_du_thao_ND_hoat_dong_bay_01072026_NANG_CAP.xlsx</x:v>
      </x:c>
      <x:c r="E475" s="14" t="str">
        <x:v>04_Nhiem_vu</x:v>
      </x:c>
      <x:c r="F475" s="56" t="n">
        <x:v>9</x:v>
      </x:c>
      <x:c r="G475" s="14" t="str">
        <x:v>PL-VII, PL-VIII</x:v>
      </x:c>
      <x:c r="H475" s="14" t="str">
        <x:v>ANS - ATM/ATS/ATFM</x:v>
      </x:c>
      <x:c r="I475" s="14" t="str">
        <x:v>Cấp phép bay, FPL và xử lý hồ sơ bay</x:v>
      </x:c>
      <x:c r="J475" s="14" t="str">
        <x:v>Cấp phép bay/FPL</x:v>
      </x:c>
      <x:c r="K475" s="14" t="str">
        <x:v>Trực tiếp</x:v>
      </x:c>
      <x:c r="L475" s="14" t="str">
        <x:v>Dữ liệu/số hóa</x:v>
      </x:c>
      <x:c r="M475" s="14" t="str"/>
      <x:c r="N475" s="14" t="str">
        <x:v>Cập nhật checklist kiểm tra dữ liệu trong Mẫu 7A-7E và 8A-8G, gồm MTOW, đường hàng không, điểm vào/ra FIR, địa chỉ thanh toán.</x:v>
      </x:c>
      <x:c r="O475" s="14" t="str"/>
      <x:c r="P475" s="14" t="str">
        <x:v>Checklist dữ liệu; thư viện lỗi; hướng dẫn xử lý sửa đổi/hủy; Giảm lỗi dữ liệu đầu vào; 100% sửa đổi/hủy có liên kết phép bay gốc; 01 checklist theo từng mẫu</x:v>
      </x:c>
      <x:c r="Q475" s="14" t="str">
        <x:v>Checklist dữ liệu; thư viện lỗi; hướng dẫn xử lý sửa đổi/hủy; Giảm lỗi dữ liệu đầu vào; 100% sửa đổi/hủy có liên kết phép bay gốc; 01 checklist theo từng mẫu</x:v>
      </x:c>
      <x:c r="R475" s="14" t="str"/>
      <x:c r="S475" s="14" t="str">
        <x:v>Ban Không lưu; Trung tâm Quản lý luồng không lưu</x:v>
      </x:c>
      <x:c r="T475" s="14" t="str">
        <x:v>Các Công ty Quản lý bay khu vực Bắc/Trung/Nam; Ban Tài chính; Ban Không lưu</x:v>
      </x:c>
      <x:c r="U475" s="14" t="str"/>
      <x:c r="V475" s="14" t="str">
        <x:v>Bắt đầu: 01/07/2026; Hoàn thành: 15/08/2026</x:v>
      </x:c>
      <x:c r="W475" s="14" t="str">
        <x:v>P2</x:v>
      </x:c>
      <x:c r="X475" s="14" t="str"/>
      <x:c r="Y475" s="14" t="str">
        <x:v>Chưa bắt đầu</x:v>
      </x:c>
      <x:c r="Z475" s="14" t="str">
        <x:v>Ưu tiên M7C, M7D, M7Đ, M8C, M8D, M8Đ, M8G</x:v>
      </x:c>
      <x:c r="AA475" s="14" t="str"/>
      <x:c r="AB475" s="14" t="str">
        <x:v>ans; atm; ats; atfm; fpl; du lieu</x:v>
      </x:c>
    </x:row>
    <x:row r="476">
      <x:c r="A476" s="14" t="str">
        <x:v>VATM-0475</x:v>
      </x:c>
      <x:c r="B476" s="14" t="str">
        <x:v>T009</x:v>
      </x:c>
      <x:c r="C476" s="14" t="str">
        <x:v>Dự thảo Nghị định về hoạt động bay (01/07/2026)</x:v>
      </x:c>
      <x:c r="D476" s="14" t="str">
        <x:v>VATM_Ra_soat_du_thao_ND_hoat_dong_bay_01072026_NANG_CAP.xlsx</x:v>
      </x:c>
      <x:c r="E476" s="14" t="str">
        <x:v>04_Nhiem_vu</x:v>
      </x:c>
      <x:c r="F476" s="56" t="n">
        <x:v>10</x:v>
      </x:c>
      <x:c r="G476" s="14" t="str">
        <x:v>Đ5, Đ8-11, Đ121-125</x:v>
      </x:c>
      <x:c r="H476" s="14" t="str">
        <x:v>ANS - ATM/ATS/ATFM</x:v>
      </x:c>
      <x:c r="I476" s="14" t="str">
        <x:v>ATFM, năng lực và điều phối luồng</x:v>
      </x:c>
      <x:c r="J476" s="14" t="str">
        <x:v>ASM-FUA/CDM</x:v>
      </x:c>
      <x:c r="K476" s="14" t="str">
        <x:v>Trực tiếp</x:v>
      </x:c>
      <x:c r="L476" s="14" t="str">
        <x:v>Quy trình/SOP/biểu mẫu</x:v>
      </x:c>
      <x:c r="M476" s="14" t="str"/>
      <x:c r="N476" s="14" t="str">
        <x:v>Rà soát, cập nhật LOA/SOP giữa VATM với cơ quan quân sự/công an về sử dụng vùng trời linh hoạt, kế hoạch sử dụng vùng trời và kế hoạch cập nhật.</x:v>
      </x:c>
      <x:c r="O476" s="14" t="str"/>
      <x:c r="P476" s="14" t="str">
        <x:v>LOA/SOP FUA; danh mục đầu mối 24/7; quy trình AUP/UUP nội bộ; Trước 30/06/2027 hoàn thiện theo Đ139; vận hành thử tối thiểu 02 chu kỳ; 01 bộ LOA/SOP cấp quốc gia + khu vực</x:v>
      </x:c>
      <x:c r="Q476" s="14" t="str">
        <x:v>LOA/SOP FUA; danh mục đầu mối 24/7; quy trình AUP/UUP nội bộ; Trước 30/06/2027 hoàn thiện theo Đ139; vận hành thử tối thiểu 02 chu kỳ; 01 bộ LOA/SOP cấp quốc gia + khu vực</x:v>
      </x:c>
      <x:c r="R476" s="14" t="str"/>
      <x:c r="S476" s="14" t="str">
        <x:v>Trung tâm Quản lý luồng không lưu; Ban Không lưu</x:v>
      </x:c>
      <x:c r="T476" s="14" t="str">
        <x:v>Các Công ty Quản lý bay khu vực Bắc/Trung/Nam; Trung tâm Quản lý luồng không lưu; Ban Không lưu</x:v>
      </x:c>
      <x:c r="U476" s="14" t="str"/>
      <x:c r="V476" s="14" t="str">
        <x:v>Bắt đầu: 01/07/2026; Hoàn thành: 30/06/2027</x:v>
      </x:c>
      <x:c r="W476" s="14" t="str">
        <x:v>P1</x:v>
      </x:c>
      <x:c r="X476" s="14" t="str"/>
      <x:c r="Y476" s="14" t="str">
        <x:v>Chưa bắt đầu</x:v>
      </x:c>
      <x:c r="Z476" s="14" t="str">
        <x:v>Bám mốc chuyển tiếp 12 tháng</x:v>
      </x:c>
      <x:c r="AA476" s="14" t="str"/>
      <x:c r="AB476" s="14" t="str">
        <x:v>ans; atm; ats; atfm</x:v>
      </x:c>
    </x:row>
    <x:row r="477">
      <x:c r="A477" s="14" t="str">
        <x:v>VATM-0476</x:v>
      </x:c>
      <x:c r="B477" s="14" t="str">
        <x:v>T010</x:v>
      </x:c>
      <x:c r="C477" s="14" t="str">
        <x:v>Dự thảo Nghị định về hoạt động bay (01/07/2026)</x:v>
      </x:c>
      <x:c r="D477" s="14" t="str">
        <x:v>VATM_Ra_soat_du_thao_ND_hoat_dong_bay_01072026_NANG_CAP.xlsx</x:v>
      </x:c>
      <x:c r="E477" s="14" t="str">
        <x:v>04_Nhiem_vu</x:v>
      </x:c>
      <x:c r="F477" s="56" t="n">
        <x:v>11</x:v>
      </x:c>
      <x:c r="G477" s="14" t="str">
        <x:v>Đ11.3, Đ122</x:v>
      </x:c>
      <x:c r="H477" s="14" t="str">
        <x:v>ANS - ATM/ATS/ATFM</x:v>
      </x:c>
      <x:c r="I477" s="14" t="str">
        <x:v>ATFM, năng lực và điều phối luồng</x:v>
      </x:c>
      <x:c r="J477" s="14" t="str">
        <x:v>ASM-FUA/CDM</x:v>
      </x:c>
      <x:c r="K477" s="14" t="str">
        <x:v>Trực tiếp</x:v>
      </x:c>
      <x:c r="L477" s="14" t="str">
        <x:v>Quy trình/SOP/biểu mẫu</x:v>
      </x:c>
      <x:c r="M477" s="14" t="str"/>
      <x:c r="N477" s="14" t="str">
        <x:v>Thiết lập cơ chế trao đổi theo thời gian thực giữa Trung tâm Quản lý điều hành bay quốc gia và Trung tâm QLLK khi khu vực cấm/hạn chế/nguy hiểm kết thúc sớm, thu hẹp hoặc không thực hiện.</x:v>
      </x:c>
      <x:c r="O477" s="14" t="str"/>
      <x:c r="P477" s="14" t="str">
        <x:v>SOP thông báo nhanh; mẫu UUP/NOTAM nội bộ; log biến động vùng trời; 100% thay đổi ảnh hưởng khai thác được ghi nhận và truyền đến cơ sở ATS liên quan; 01 luồng phối hợp 24/7</x:v>
      </x:c>
      <x:c r="Q477" s="14" t="str">
        <x:v>SOP thông báo nhanh; mẫu UUP/NOTAM nội bộ; log biến động vùng trời; 100% thay đổi ảnh hưởng khai thác được ghi nhận và truyền đến cơ sở ATS liên quan; 01 luồng phối hợp 24/7</x:v>
      </x:c>
      <x:c r="R477" s="14" t="str"/>
      <x:c r="S477" s="14" t="str">
        <x:v>Trung tâm Quản lý luồng không lưu; Ban Không lưu</x:v>
      </x:c>
      <x:c r="T477" s="14" t="str">
        <x:v>Các Công ty Quản lý bay khu vực Bắc/Trung/Nam; Trung tâm Quản lý luồng không lưu; Ban Không lưu</x:v>
      </x:c>
      <x:c r="U477" s="14" t="str"/>
      <x:c r="V477" s="14" t="str">
        <x:v>Bắt đầu: 01/07/2026; Hoàn thành: 31/10/2026</x:v>
      </x:c>
      <x:c r="W477" s="14" t="str">
        <x:v>P1</x:v>
      </x:c>
      <x:c r="X477" s="14" t="str"/>
      <x:c r="Y477" s="14" t="str">
        <x:v>Chưa bắt đầu</x:v>
      </x:c>
      <x:c r="Z477" s="14" t="str">
        <x:v>Cần kiểm thử quy trình dự phòng khi mất đường truyền</x:v>
      </x:c>
      <x:c r="AA477" s="14" t="str"/>
      <x:c r="AB477" s="14" t="str">
        <x:v>ans; atm; ats; atfm</x:v>
      </x:c>
    </x:row>
    <x:row r="478">
      <x:c r="A478" s="14" t="str">
        <x:v>VATM-0477</x:v>
      </x:c>
      <x:c r="B478" s="14" t="str">
        <x:v>T011</x:v>
      </x:c>
      <x:c r="C478" s="14" t="str">
        <x:v>Dự thảo Nghị định về hoạt động bay (01/07/2026)</x:v>
      </x:c>
      <x:c r="D478" s="14" t="str">
        <x:v>VATM_Ra_soat_du_thao_ND_hoat_dong_bay_01072026_NANG_CAP.xlsx</x:v>
      </x:c>
      <x:c r="E478" s="14" t="str">
        <x:v>04_Nhiem_vu</x:v>
      </x:c>
      <x:c r="F478" s="56" t="n">
        <x:v>12</x:v>
      </x:c>
      <x:c r="G478" s="14" t="str">
        <x:v>Đ102-106</x:v>
      </x:c>
      <x:c r="H478" s="14" t="str">
        <x:v>ANS - ATM/ATS/ATFM</x:v>
      </x:c>
      <x:c r="I478" s="14" t="str">
        <x:v>ATFM, năng lực và điều phối luồng</x:v>
      </x:c>
      <x:c r="J478" s="14" t="str">
        <x:v>ATM/ATFM</x:v>
      </x:c>
      <x:c r="K478" s="14" t="str">
        <x:v>Trực tiếp</x:v>
      </x:c>
      <x:c r="L478" s="14" t="str">
        <x:v>Báo cáo/điều tra/khắc phục</x:v>
      </x:c>
      <x:c r="M478" s="14" t="str"/>
      <x:c r="N478" s="14" t="str">
        <x:v>Cập nhật tài liệu dịch vụ ATM gồm ATS, ATFM và khai thác sử dụng vùng trời theo cấp chiến lược, tiền chiến thuật, chiến thuật, sau khai thác.</x:v>
      </x:c>
      <x:c r="O478" s="14" t="str"/>
      <x:c r="P478" s="14" t="str">
        <x:v>Tài liệu ATFM/CDM; quy trình đánh giá sau khai thác; KPI delay/capacity; Có KPI năng lực và chậm trễ; báo cáo sau khai thác định kỳ hàng tháng; 01 bộ tài liệu + dashboard KPI</x:v>
      </x:c>
      <x:c r="Q478" s="14" t="str">
        <x:v>Tài liệu ATFM/CDM; quy trình đánh giá sau khai thác; KPI delay/capacity; Có KPI năng lực và chậm trễ; báo cáo sau khai thác định kỳ hàng tháng; 01 bộ tài liệu + dashboard KPI</x:v>
      </x:c>
      <x:c r="R478" s="14" t="str"/>
      <x:c r="S478" s="14" t="str">
        <x:v>Trung tâm Quản lý luồng không lưu; Ban Không lưu</x:v>
      </x:c>
      <x:c r="T478" s="14" t="str">
        <x:v>Ban Không lưu; Các Công ty Quản lý bay khu vực Bắc/Trung/Nam</x:v>
      </x:c>
      <x:c r="U478" s="14" t="str"/>
      <x:c r="V478" s="14" t="str">
        <x:v>Bắt đầu: 01/07/2026; Hoàn thành: 31/12/2026</x:v>
      </x:c>
      <x:c r="W478" s="14" t="str">
        <x:v>P1</x:v>
      </x:c>
      <x:c r="X478" s="14" t="str"/>
      <x:c r="Y478" s="14" t="str">
        <x:v>Chưa bắt đầu</x:v>
      </x:c>
      <x:c r="Z478" s="14" t="str">
        <x:v>Đồng bộ Chương trình quốc gia ANS</x:v>
      </x:c>
      <x:c r="AA478" s="14" t="str"/>
      <x:c r="AB478" s="14" t="str">
        <x:v>ans; atm; ats; atfm</x:v>
      </x:c>
    </x:row>
    <x:row r="479">
      <x:c r="A479" s="14" t="str">
        <x:v>VATM-0478</x:v>
      </x:c>
      <x:c r="B479" s="14" t="str">
        <x:v>T012</x:v>
      </x:c>
      <x:c r="C479" s="14" t="str">
        <x:v>Dự thảo Nghị định về hoạt động bay (01/07/2026)</x:v>
      </x:c>
      <x:c r="D479" s="14" t="str">
        <x:v>VATM_Ra_soat_du_thao_ND_hoat_dong_bay_01072026_NANG_CAP.xlsx</x:v>
      </x:c>
      <x:c r="E479" s="14" t="str">
        <x:v>04_Nhiem_vu</x:v>
      </x:c>
      <x:c r="F479" s="56" t="n">
        <x:v>13</x:v>
      </x:c>
      <x:c r="G479" s="14" t="str">
        <x:v>Đ105.4</x:v>
      </x:c>
      <x:c r="H479" s="14" t="str">
        <x:v>ANS - ATM/ATS/ATFM</x:v>
      </x:c>
      <x:c r="I479" s="14" t="str">
        <x:v>ATFM, năng lực và điều phối luồng</x:v>
      </x:c>
      <x:c r="J479" s="14" t="str">
        <x:v>ATM/ATFM</x:v>
      </x:c>
      <x:c r="K479" s="14" t="str">
        <x:v>Trực tiếp</x:v>
      </x:c>
      <x:c r="L479" s="14" t="str">
        <x:v>Dữ liệu/số hóa</x:v>
      </x:c>
      <x:c r="M479" s="14" t="str"/>
      <x:c r="N479" s="14" t="str">
        <x:v>Thiết lập cơ chế chia sẻ dữ liệu khai thác với hãng hàng không và cảng hàng không phục vụ ATFM/CDM.</x:v>
      </x:c>
      <x:c r="O479" s="14" t="str"/>
      <x:c r="P479" s="14" t="str">
        <x:v>Thỏa thuận chia sẻ dữ liệu; danh mục dữ liệu; cơ chế bảo mật; Dữ liệu đủ cho dự báo nhu cầu/năng lực; có phân quyền và kiểm tra định kỳ; 01 thỏa thuận mẫu + thí điểm tại sân bay lớn</x:v>
      </x:c>
      <x:c r="Q479" s="14" t="str">
        <x:v>Thỏa thuận chia sẻ dữ liệu; danh mục dữ liệu; cơ chế bảo mật; Dữ liệu đủ cho dự báo nhu cầu/năng lực; có phân quyền và kiểm tra định kỳ; 01 thỏa thuận mẫu + thí điểm tại sân bay lớn</x:v>
      </x:c>
      <x:c r="R479" s="14" t="str"/>
      <x:c r="S479" s="14" t="str">
        <x:v>Trung tâm Quản lý luồng không lưu; Ban Không lưu</x:v>
      </x:c>
      <x:c r="T479" s="14" t="str">
        <x:v>Các Công ty Quản lý bay khu vực Bắc/Trung/Nam; Trung tâm Quản lý luồng không lưu; Ban Không lưu</x:v>
      </x:c>
      <x:c r="U479" s="14" t="str"/>
      <x:c r="V479" s="14" t="str">
        <x:v>Bắt đầu: 01/09/2026; Hoàn thành: 31/03/2027</x:v>
      </x:c>
      <x:c r="W479" s="14" t="str">
        <x:v>P2</x:v>
      </x:c>
      <x:c r="X479" s="14" t="str"/>
      <x:c r="Y479" s="14" t="str">
        <x:v>Chưa bắt đầu</x:v>
      </x:c>
      <x:c r="Z479" s="14" t="str">
        <x:v>Liên kết với Đ124-125</x:v>
      </x:c>
      <x:c r="AA479" s="14" t="str"/>
      <x:c r="AB479" s="14" t="str">
        <x:v>ans; atm; ats; atfm; cang; du lieu</x:v>
      </x:c>
    </x:row>
    <x:row r="480">
      <x:c r="A480" s="14" t="str">
        <x:v>VATM-0479</x:v>
      </x:c>
      <x:c r="B480" s="14" t="str">
        <x:v>T013</x:v>
      </x:c>
      <x:c r="C480" s="14" t="str">
        <x:v>Dự thảo Nghị định về hoạt động bay (01/07/2026)</x:v>
      </x:c>
      <x:c r="D480" s="14" t="str">
        <x:v>VATM_Ra_soat_du_thao_ND_hoat_dong_bay_01072026_NANG_CAP.xlsx</x:v>
      </x:c>
      <x:c r="E480" s="14" t="str">
        <x:v>04_Nhiem_vu</x:v>
      </x:c>
      <x:c r="F480" s="56" t="n">
        <x:v>14</x:v>
      </x:c>
      <x:c r="G480" s="14" t="str">
        <x:v>Đ9, Đ12, Đ25-54</x:v>
      </x:c>
      <x:c r="H480" s="14" t="str">
        <x:v>ANS - ATM/ATS/ATFM</x:v>
      </x:c>
      <x:c r="I480" s="14" t="str">
        <x:v>Cung cấp ATS/điều hành bay</x:v>
      </x:c>
      <x:c r="J480" s="14" t="str">
        <x:v>ATS</x:v>
      </x:c>
      <x:c r="K480" s="14" t="str">
        <x:v>Trực tiếp</x:v>
      </x:c>
      <x:c r="L480" s="14" t="str">
        <x:v>Hồ sơ/phê duyệt/TTHC</x:v>
      </x:c>
      <x:c r="M480" s="14" t="str"/>
      <x:c r="N480" s="14" t="str">
        <x:v>Rà soát phân công khu vực trách nhiệm, loại vùng trời, chế độ cung cấp ATS và công bố AIP tương ứng.</x:v>
      </x:c>
      <x:c r="O480" s="14" t="str"/>
      <x:c r="P480" s="14" t="str">
        <x:v>Bảng phân công khu vực ATS; đề xuất cập nhật AIP; hồ sơ năng lực; Không có khu vực trách nhiệm mâu thuẫn; 100% thay đổi được công bố đúng AIRAC; Rà soát toàn bộ FIR/khu vực ATS</x:v>
      </x:c>
      <x:c r="Q480" s="14" t="str">
        <x:v>Bảng phân công khu vực ATS; đề xuất cập nhật AIP; hồ sơ năng lực; Không có khu vực trách nhiệm mâu thuẫn; 100% thay đổi được công bố đúng AIRAC; Rà soát toàn bộ FIR/khu vực ATS</x:v>
      </x:c>
      <x:c r="R480" s="14" t="str"/>
      <x:c r="S480" s="14" t="str">
        <x:v>Ban Không lưu; Trung tâm Thông báo tin tức hàng không</x:v>
      </x:c>
      <x:c r="T480" s="14" t="str">
        <x:v>Các Công ty Quản lý bay khu vực Bắc/Trung/Nam; Ban Không lưu</x:v>
      </x:c>
      <x:c r="U480" s="14" t="str"/>
      <x:c r="V480" s="14" t="str">
        <x:v>Bắt đầu: 01/07/2026; Hoàn thành: 31/12/2026</x:v>
      </x:c>
      <x:c r="W480" s="14" t="str">
        <x:v>P2</x:v>
      </x:c>
      <x:c r="X480" s="14" t="str"/>
      <x:c r="Y480" s="14" t="str">
        <x:v>Chưa bắt đầu</x:v>
      </x:c>
      <x:c r="Z480" s="14" t="str">
        <x:v>Căn cứ Điều 9 và Điều 8</x:v>
      </x:c>
      <x:c r="AA480" s="14" t="str"/>
      <x:c r="AB480" s="14" t="str">
        <x:v>ans; atm; ats; atfm</x:v>
      </x:c>
    </x:row>
    <x:row r="481">
      <x:c r="A481" s="14" t="str">
        <x:v>VATM-0480</x:v>
      </x:c>
      <x:c r="B481" s="14" t="str">
        <x:v>T014</x:v>
      </x:c>
      <x:c r="C481" s="14" t="str">
        <x:v>Dự thảo Nghị định về hoạt động bay (01/07/2026)</x:v>
      </x:c>
      <x:c r="D481" s="14" t="str">
        <x:v>VATM_Ra_soat_du_thao_ND_hoat_dong_bay_01072026_NANG_CAP.xlsx</x:v>
      </x:c>
      <x:c r="E481" s="14" t="str">
        <x:v>04_Nhiem_vu</x:v>
      </x:c>
      <x:c r="F481" s="56" t="n">
        <x:v>15</x:v>
      </x:c>
      <x:c r="G481" s="14" t="str">
        <x:v>Đ25-54</x:v>
      </x:c>
      <x:c r="H481" s="14" t="str">
        <x:v>ANS - ATM/ATS/ATFM</x:v>
      </x:c>
      <x:c r="I481" s="14" t="str">
        <x:v>Cung cấp ATS/điều hành bay</x:v>
      </x:c>
      <x:c r="J481" s="14" t="str">
        <x:v>ATS</x:v>
      </x:c>
      <x:c r="K481" s="14" t="str">
        <x:v>Trực tiếp</x:v>
      </x:c>
      <x:c r="L481" s="14" t="str">
        <x:v>Báo cáo/điều tra/khắc phục</x:v>
      </x:c>
      <x:c r="M481" s="14" t="str"/>
      <x:c r="N481" s="14" t="str">
        <x:v>Cập nhật huấn luyện quy tắc bay VFR/IFR, liên lạc, báo cáo vị trí, mất liên lạc, can thiệp bất hợp pháp cho KSVKL.</x:v>
      </x:c>
      <x:c r="O481" s="14" t="str"/>
      <x:c r="P481" s="14" t="str">
        <x:v>Giáo trình cập nhật; bài kiểm tra; hồ sơ năng định kỳ; 100% KSVKL liên quan hoàn thành huấn luyện; kết quả kiểm tra đạt yêu cầu; Huấn luyện toàn bộ cơ sở ATS</x:v>
      </x:c>
      <x:c r="Q481" s="14" t="str">
        <x:v>Giáo trình cập nhật; bài kiểm tra; hồ sơ năng định kỳ; 100% KSVKL liên quan hoàn thành huấn luyện; kết quả kiểm tra đạt yêu cầu; Huấn luyện toàn bộ cơ sở ATS</x:v>
      </x:c>
      <x:c r="R481" s="14" t="str"/>
      <x:c r="S481" s="14" t="str">
        <x:v>Ban Không lưu; Trung tâm Huấn luyện đào tạo</x:v>
      </x:c>
      <x:c r="T481" s="14" t="str">
        <x:v>Các Công ty Quản lý bay khu vực Bắc/Trung/Nam; Ban An ninh hàng không; Ban Không lưu</x:v>
      </x:c>
      <x:c r="U481" s="14" t="str"/>
      <x:c r="V481" s="14" t="str">
        <x:v>Bắt đầu: 01/07/2026; Hoàn thành: 31/12/2026</x:v>
      </x:c>
      <x:c r="W481" s="14" t="str">
        <x:v>P2</x:v>
      </x:c>
      <x:c r="X481" s="14" t="str"/>
      <x:c r="Y481" s="14" t="str">
        <x:v>Chưa bắt đầu</x:v>
      </x:c>
      <x:c r="Z481" s="14" t="str">
        <x:v>Không mô tả chi tiết tình huống ngoài phạm vi pháp lý</x:v>
      </x:c>
      <x:c r="AA481" s="14" t="str"/>
      <x:c r="AB481" s="14" t="str">
        <x:v>ans; atm; ats; atfm; huan luyen</x:v>
      </x:c>
    </x:row>
    <x:row r="482">
      <x:c r="A482" s="14" t="str">
        <x:v>VATM-0481</x:v>
      </x:c>
      <x:c r="B482" s="14" t="str">
        <x:v>T015</x:v>
      </x:c>
      <x:c r="C482" s="14" t="str">
        <x:v>Dự thảo Nghị định về hoạt động bay (01/07/2026)</x:v>
      </x:c>
      <x:c r="D482" s="14" t="str">
        <x:v>VATM_Ra_soat_du_thao_ND_hoat_dong_bay_01072026_NANG_CAP.xlsx</x:v>
      </x:c>
      <x:c r="E482" s="14" t="str">
        <x:v>04_Nhiem_vu</x:v>
      </x:c>
      <x:c r="F482" s="56" t="n">
        <x:v>16</x:v>
      </x:c>
      <x:c r="G482" s="14" t="str">
        <x:v>Đ55-57</x:v>
      </x:c>
      <x:c r="H482" s="14" t="str">
        <x:v>ANS - ATM/ATS/ATFM</x:v>
      </x:c>
      <x:c r="I482" s="14" t="str">
        <x:v>Cung cấp ATS/điều hành bay</x:v>
      </x:c>
      <x:c r="J482" s="14" t="str">
        <x:v>ATS khẩn nguy</x:v>
      </x:c>
      <x:c r="K482" s="14" t="str">
        <x:v>Trực tiếp</x:v>
      </x:c>
      <x:c r="L482" s="14" t="str">
        <x:v>Quy trình/SOP/biểu mẫu</x:v>
      </x:c>
      <x:c r="M482" s="14" t="str"/>
      <x:c r="N482" s="14" t="str">
        <x:v>Cập nhật SOP điều hành, hiệp đồng và thông báo khi tàu bay xả nhiên liệu hoặc thả vật thể trong/ngoài khu vực công bố.</x:v>
      </x:c>
      <x:c r="O482" s="14" t="str"/>
      <x:c r="P482" s="14" t="str">
        <x:v>SOP xử lý; bản đồ khu vực; mẫu thông báo; checklist ATCO; 100% tình huống có ghi âm/log, hiệp đồng và thông báo kịp thời; cập nhật AIP/NOTAM khi cần; 01 SOP toàn quốc + phụ lục khu vực</x:v>
      </x:c>
      <x:c r="Q482" s="14" t="str">
        <x:v>SOP xử lý; bản đồ khu vực; mẫu thông báo; checklist ATCO; 100% tình huống có ghi âm/log, hiệp đồng và thông báo kịp thời; cập nhật AIP/NOTAM khi cần; 01 SOP toàn quốc + phụ lục khu vực</x:v>
      </x:c>
      <x:c r="R482" s="14" t="str"/>
      <x:c r="S482" s="14" t="str">
        <x:v>Ban Không lưu</x:v>
      </x:c>
      <x:c r="T482" s="14" t="str">
        <x:v>Các Công ty Quản lý bay khu vực Bắc/Trung/Nam; Trung tâm Thông báo tin tức hàng không; Ban Không lưu</x:v>
      </x:c>
      <x:c r="U482" s="14" t="str"/>
      <x:c r="V482" s="14" t="str">
        <x:v>Bắt đầu: 01/07/2026; Hoàn thành: 31/10/2026</x:v>
      </x:c>
      <x:c r="W482" s="14" t="str">
        <x:v>P1</x:v>
      </x:c>
      <x:c r="X482" s="14" t="str"/>
      <x:c r="Y482" s="14" t="str">
        <x:v>Chưa bắt đầu</x:v>
      </x:c>
      <x:c r="Z482" s="14" t="str">
        <x:v>Điều 55-57 nêu rõ trách nhiệm cơ sở ATS</x:v>
      </x:c>
      <x:c r="AA482" s="14" t="str"/>
      <x:c r="AB482" s="14" t="str">
        <x:v>ans; atm; ats; atfm</x:v>
      </x:c>
    </x:row>
    <x:row r="483">
      <x:c r="A483" s="14" t="str">
        <x:v>VATM-0482</x:v>
      </x:c>
      <x:c r="B483" s="14" t="str">
        <x:v>T016</x:v>
      </x:c>
      <x:c r="C483" s="14" t="str">
        <x:v>Dự thảo Nghị định về hoạt động bay (01/07/2026)</x:v>
      </x:c>
      <x:c r="D483" s="14" t="str">
        <x:v>VATM_Ra_soat_du_thao_ND_hoat_dong_bay_01072026_NANG_CAP.xlsx</x:v>
      </x:c>
      <x:c r="E483" s="14" t="str">
        <x:v>04_Nhiem_vu</x:v>
      </x:c>
      <x:c r="F483" s="56" t="n">
        <x:v>17</x:v>
      </x:c>
      <x:c r="G483" s="14" t="str">
        <x:v>Đ58-71, PL-VI</x:v>
      </x:c>
      <x:c r="H483" s="14" t="str">
        <x:v>ANS - ATM/ATS/ATFM</x:v>
      </x:c>
      <x:c r="I483" s="14" t="str">
        <x:v>Cung cấp ATS/điều hành bay</x:v>
      </x:c>
      <x:c r="J483" s="14" t="str">
        <x:v>Hiệp đồng quốc phòng</x:v>
      </x:c>
      <x:c r="K483" s="14" t="str">
        <x:v>Trực tiếp</x:v>
      </x:c>
      <x:c r="L483" s="14" t="str">
        <x:v>Quy trình/SOP/biểu mẫu</x:v>
      </x:c>
      <x:c r="M483" s="14" t="str"/>
      <x:c r="N483" s="14" t="str">
        <x:v>Rà soát SOP hiệp đồng ATS trong tình huống tàu bay vi phạm vùng trời bị xử lý; tập trung bảo đảm phân cách, thông tin, sân bay chỉ định và hướng dẫn lăn sau hạ cánh.</x:v>
      </x:c>
      <x:c r="O483" s="14" t="str"/>
      <x:c r="P483" s="14" t="str">
        <x:v>SOP hiệp đồng; checklist điều hành; kịch bản diễn tập bàn; 100% cơ sở ATS liên quan có SOP; diễn tập bàn tối thiểu 01 lần/năm; Theo từng sân bay/cơ sở ATS liên quan</x:v>
      </x:c>
      <x:c r="Q483" s="14" t="str">
        <x:v>SOP hiệp đồng; checklist điều hành; kịch bản diễn tập bàn; 100% cơ sở ATS liên quan có SOP; diễn tập bàn tối thiểu 01 lần/năm; Theo từng sân bay/cơ sở ATS liên quan</x:v>
      </x:c>
      <x:c r="R483" s="14" t="str"/>
      <x:c r="S483" s="14" t="str">
        <x:v>Ban Không lưu</x:v>
      </x:c>
      <x:c r="T483" s="14" t="str">
        <x:v>Các Công ty Quản lý bay khu vực Bắc/Trung/Nam; Ban Không lưu</x:v>
      </x:c>
      <x:c r="U483" s="14" t="str"/>
      <x:c r="V483" s="14" t="str">
        <x:v>Bắt đầu: 01/07/2026; Hoàn thành: 31/12/2026</x:v>
      </x:c>
      <x:c r="W483" s="14" t="str">
        <x:v>P1</x:v>
      </x:c>
      <x:c r="X483" s="14" t="str"/>
      <x:c r="Y483" s="14" t="str">
        <x:v>Chưa bắt đầu</x:v>
      </x:c>
      <x:c r="Z483" s="14" t="str">
        <x:v>Giữ phạm vi ở mức phối hợp an toàn và pháp lý</x:v>
      </x:c>
      <x:c r="AA483" s="14" t="str"/>
      <x:c r="AB483" s="14" t="str">
        <x:v>ans; atm; ats; atfm; san bay</x:v>
      </x:c>
    </x:row>
    <x:row r="484">
      <x:c r="A484" s="14" t="str">
        <x:v>VATM-0483</x:v>
      </x:c>
      <x:c r="B484" s="14" t="str">
        <x:v>T017</x:v>
      </x:c>
      <x:c r="C484" s="14" t="str">
        <x:v>Dự thảo Nghị định về hoạt động bay (01/07/2026)</x:v>
      </x:c>
      <x:c r="D484" s="14" t="str">
        <x:v>VATM_Ra_soat_du_thao_ND_hoat_dong_bay_01072026_NANG_CAP.xlsx</x:v>
      </x:c>
      <x:c r="E484" s="14" t="str">
        <x:v>04_Nhiem_vu</x:v>
      </x:c>
      <x:c r="F484" s="56" t="n">
        <x:v>18</x:v>
      </x:c>
      <x:c r="G484" s="14" t="str">
        <x:v>Đ72-86, PL-Ia, PL-II, PL-III</x:v>
      </x:c>
      <x:c r="H484" s="14" t="str">
        <x:v>ANS - AIS/AIM/Tin tức HK</x:v>
      </x:c>
      <x:c r="I484" s="14" t="str">
        <x:v>Dữ liệu địa hình/chướng ngại và bản đồ</x:v>
      </x:c>
      <x:c r="J484" s="14" t="str">
        <x:v>Chướng ngại/eTOD</x:v>
      </x:c>
      <x:c r="K484" s="14" t="str">
        <x:v>Trực tiếp</x:v>
      </x:c>
      <x:c r="L484" s="14" t="str">
        <x:v>Dữ liệu/số hóa</x:v>
      </x:c>
      <x:c r="M484" s="14" t="str"/>
      <x:c r="N484" s="14" t="str">
        <x:v>Lập kế hoạch công bố lại bề mặt chướng ngại vật hàng không trong thời hạn 24 tháng; phối hợp Cục HKVN, BQP, địa phương và cảng hàng không.</x:v>
      </x:c>
      <x:c r="O484" s="14" t="str"/>
      <x:c r="P484" s="14" t="str">
        <x:v>Kế hoạch 24 tháng; danh mục sân bay/đường CHC; hồ sơ dữ liệu OLS; Hoàn thành trước 30/06/2028; ưu tiên sân bay có khai thác lớn và sân bay dùng chung; Toàn bộ sân bay có hoạt động HKDD liên quan VATM</x:v>
      </x:c>
      <x:c r="Q484" s="14" t="str">
        <x:v>Kế hoạch 24 tháng; danh mục sân bay/đường CHC; hồ sơ dữ liệu OLS; Hoàn thành trước 30/06/2028; ưu tiên sân bay có khai thác lớn và sân bay dùng chung; Toàn bộ sân bay có hoạt động HKDD liên quan VATM</x:v>
      </x:c>
      <x:c r="R484" s="14" t="str"/>
      <x:c r="S484" s="14" t="str">
        <x:v>Trung tâm Thông báo tin tức hàng không; Ban Không lưu; Các Công ty Quản lý bay khu vực Bắc/Trung/Nam</x:v>
      </x:c>
      <x:c r="T484" s="14" t="str">
        <x:v>Các Công ty Quản lý bay khu vực Bắc/Trung/Nam; Trung tâm Thông báo tin tức hàng không</x:v>
      </x:c>
      <x:c r="U484" s="14" t="str"/>
      <x:c r="V484" s="14" t="str">
        <x:v>Bắt đầu: 01/07/2026; Hoàn thành: 30/06/2028</x:v>
      </x:c>
      <x:c r="W484" s="14" t="str">
        <x:v>P1</x:v>
      </x:c>
      <x:c r="X484" s="14" t="str"/>
      <x:c r="Y484" s="14" t="str">
        <x:v>Chưa bắt đầu</x:v>
      </x:c>
      <x:c r="Z484" s="14" t="str">
        <x:v>Bám Điều 139.1</x:v>
      </x:c>
      <x:c r="AA484" s="14" t="str"/>
      <x:c r="AB484" s="14" t="str">
        <x:v>ans; ais; aim; du lieu; cang</x:v>
      </x:c>
    </x:row>
    <x:row r="485">
      <x:c r="A485" s="14" t="str">
        <x:v>VATM-0484</x:v>
      </x:c>
      <x:c r="B485" s="14" t="str">
        <x:v>T018</x:v>
      </x:c>
      <x:c r="C485" s="14" t="str">
        <x:v>Dự thảo Nghị định về hoạt động bay (01/07/2026)</x:v>
      </x:c>
      <x:c r="D485" s="14" t="str">
        <x:v>VATM_Ra_soat_du_thao_ND_hoat_dong_bay_01072026_NANG_CAP.xlsx</x:v>
      </x:c>
      <x:c r="E485" s="14" t="str">
        <x:v>04_Nhiem_vu</x:v>
      </x:c>
      <x:c r="F485" s="56" t="n">
        <x:v>19</x:v>
      </x:c>
      <x:c r="G485" s="14" t="str">
        <x:v>Đ83-85, PL-II</x:v>
      </x:c>
      <x:c r="H485" s="14" t="str">
        <x:v>ANS - AIS/AIM/Tin tức HK</x:v>
      </x:c>
      <x:c r="I485" s="14" t="str">
        <x:v>Dữ liệu địa hình/chướng ngại và bản đồ</x:v>
      </x:c>
      <x:c r="J485" s="14" t="str">
        <x:v>Chướng ngại/eTOD</x:v>
      </x:c>
      <x:c r="K485" s="14" t="str">
        <x:v>Trực tiếp</x:v>
      </x:c>
      <x:c r="L485" s="14" t="str">
        <x:v>Báo cáo/điều tra/khắc phục</x:v>
      </x:c>
      <x:c r="M485" s="14" t="str"/>
      <x:c r="N485" s="14" t="str">
        <x:v>Thiết lập cơ chế tiếp nhận dữ liệu công trình từ địa phương, chủ đầu tư, người khai thác cảng và cập nhật CSDL chướng ngại vật.</x:v>
      </x:c>
      <x:c r="O485" s="14" t="str"/>
      <x:c r="P485" s="14" t="str">
        <x:v>CSDL chướng ngại vật; quy trình tiếp nhận/kiểm tra; mẫu báo cáo sai lệch; Dữ liệu có loại vật thể, WGS-84, chiều cao/mức cao, marking/lighting, effectivity; độ chính xác theo PL-II; 01 CSDL chung + đầu mối nhận dữ liệu</x:v>
      </x:c>
      <x:c r="Q485" s="14" t="str">
        <x:v>CSDL chướng ngại vật; quy trình tiếp nhận/kiểm tra; mẫu báo cáo sai lệch; Dữ liệu có loại vật thể, WGS-84, chiều cao/mức cao, marking/lighting, effectivity; độ chính xác theo PL-II; 01 CSDL chung + đầu mối nhận dữ liệu</x:v>
      </x:c>
      <x:c r="R485" s="14" t="str"/>
      <x:c r="S485" s="14" t="str">
        <x:v>Trung tâm Thông báo tin tức hàng không; Các Công ty Quản lý bay khu vực Bắc/Trung/Nam</x:v>
      </x:c>
      <x:c r="T485" s="14" t="str">
        <x:v>Các Công ty Quản lý bay khu vực Bắc/Trung/Nam; Trung tâm Thông báo tin tức hàng không</x:v>
      </x:c>
      <x:c r="U485" s="14" t="str"/>
      <x:c r="V485" s="14" t="str">
        <x:v>Bắt đầu: 01/07/2026; Hoàn thành: 30/06/2027</x:v>
      </x:c>
      <x:c r="W485" s="14" t="str">
        <x:v>P1</x:v>
      </x:c>
      <x:c r="X485" s="14" t="str"/>
      <x:c r="Y485" s="14" t="str">
        <x:v>Chưa bắt đầu</x:v>
      </x:c>
      <x:c r="Z485" s="14" t="str">
        <x:v>Điều 85 ghi địa chỉ VATM nhận thông tin</x:v>
      </x:c>
      <x:c r="AA485" s="14" t="str"/>
      <x:c r="AB485" s="14" t="str">
        <x:v>ans; ais; aim; du lieu; cang</x:v>
      </x:c>
    </x:row>
    <x:row r="486">
      <x:c r="A486" s="14" t="str">
        <x:v>VATM-0485</x:v>
      </x:c>
      <x:c r="B486" s="14" t="str">
        <x:v>T019</x:v>
      </x:c>
      <x:c r="C486" s="14" t="str">
        <x:v>Dự thảo Nghị định về hoạt động bay (01/07/2026)</x:v>
      </x:c>
      <x:c r="D486" s="14" t="str">
        <x:v>VATM_Ra_soat_du_thao_ND_hoat_dong_bay_01072026_NANG_CAP.xlsx</x:v>
      </x:c>
      <x:c r="E486" s="14" t="str">
        <x:v>04_Nhiem_vu</x:v>
      </x:c>
      <x:c r="F486" s="56" t="n">
        <x:v>20</x:v>
      </x:c>
      <x:c r="G486" s="14" t="str">
        <x:v>Đ82-86, PL-V, PL-Va</x:v>
      </x:c>
      <x:c r="H486" s="14" t="str">
        <x:v>ANS - AIS/AIM/Tin tức HK</x:v>
      </x:c>
      <x:c r="I486" s="14" t="str">
        <x:v>Dữ liệu địa hình/chướng ngại và bản đồ</x:v>
      </x:c>
      <x:c r="J486" s="14" t="str">
        <x:v>Chướng ngại/eTOD</x:v>
      </x:c>
      <x:c r="K486" s="14" t="str">
        <x:v>Trực tiếp</x:v>
      </x:c>
      <x:c r="L486" s="14" t="str">
        <x:v>Dữ liệu/số hóa</x:v>
      </x:c>
      <x:c r="M486" s="14" t="str"/>
      <x:c r="N486" s="14" t="str">
        <x:v>Chuẩn hóa quy trình VATM tham gia đánh giá ảnh hưởng công trình đến tĩnh không, phương thức bay và CNS khi được lấy ý kiến/sao gửi.</x:v>
      </x:c>
      <x:c r="O486" s="14" t="str"/>
      <x:c r="P486" s="14" t="str">
        <x:v>Quy trình đánh giá; mẫu ý kiến kỹ thuật; sổ theo dõi chấp thuận độ cao; 100% ý kiến kỹ thuật có cơ sở dữ liệu, bản đồ và kết luận ảnh hưởng; Theo từng hồ sơ công trình được gửi tới VATM</x:v>
      </x:c>
      <x:c r="Q486" s="14" t="str">
        <x:v>Quy trình đánh giá; mẫu ý kiến kỹ thuật; sổ theo dõi chấp thuận độ cao; 100% ý kiến kỹ thuật có cơ sở dữ liệu, bản đồ và kết luận ảnh hưởng; Theo từng hồ sơ công trình được gửi tới VATM</x:v>
      </x:c>
      <x:c r="R486" s="14" t="str"/>
      <x:c r="S486" s="14" t="str">
        <x:v>Trung tâm Thông báo tin tức hàng không; Ban Kỹ thuật - CNS/IT/Môi trường</x:v>
      </x:c>
      <x:c r="T486" s="14" t="str">
        <x:v>Các Công ty Quản lý bay khu vực Bắc/Trung/Nam; Trung tâm Thông báo tin tức hàng không</x:v>
      </x:c>
      <x:c r="U486" s="14" t="str"/>
      <x:c r="V486" s="14" t="str">
        <x:v>Bắt đầu: 01/07/2026; Hoàn thành: 31/12/2026</x:v>
      </x:c>
      <x:c r="W486" s="14" t="str">
        <x:v>P1</x:v>
      </x:c>
      <x:c r="X486" s="14" t="str"/>
      <x:c r="Y486" s="14" t="str">
        <x:v>Chưa bắt đầu</x:v>
      </x:c>
      <x:c r="Z486" s="14" t="str">
        <x:v>Kết quả chấp thuận độ cao được sao gửi VATM</x:v>
      </x:c>
      <x:c r="AA486" s="14" t="str"/>
      <x:c r="AB486" s="14" t="str">
        <x:v>ans; ais; aim; du lieu; atm; cns</x:v>
      </x:c>
    </x:row>
    <x:row r="487">
      <x:c r="A487" s="14" t="str">
        <x:v>VATM-0486</x:v>
      </x:c>
      <x:c r="B487" s="14" t="str">
        <x:v>T020</x:v>
      </x:c>
      <x:c r="C487" s="14" t="str">
        <x:v>Dự thảo Nghị định về hoạt động bay (01/07/2026)</x:v>
      </x:c>
      <x:c r="D487" s="14" t="str">
        <x:v>VATM_Ra_soat_du_thao_ND_hoat_dong_bay_01072026_NANG_CAP.xlsx</x:v>
      </x:c>
      <x:c r="E487" s="14" t="str">
        <x:v>04_Nhiem_vu</x:v>
      </x:c>
      <x:c r="F487" s="56" t="n">
        <x:v>21</x:v>
      </x:c>
      <x:c r="G487" s="14" t="str">
        <x:v>PL-IV, Đ80, Đ82, Đ86</x:v>
      </x:c>
      <x:c r="H487" s="14" t="str">
        <x:v>ANS - CNS/IT/Kỹ thuật</x:v>
      </x:c>
      <x:c r="I487" s="14" t="str">
        <x:v>CNS, trang thiết bị và bảo trì kỹ thuật</x:v>
      </x:c>
      <x:c r="J487" s="14" t="str">
        <x:v>CNS-BRA</x:v>
      </x:c>
      <x:c r="K487" s="14" t="str">
        <x:v>Trực tiếp</x:v>
      </x:c>
      <x:c r="L487" s="14" t="str">
        <x:v>Quy trình/SOP/biểu mẫu</x:v>
      </x:c>
      <x:c r="M487" s="14" t="str"/>
      <x:c r="N487" s="14" t="str">
        <x:v>Xây dựng/lập bản đồ BRA cho hệ thống CNS, gồm VOR/DME/NDB/ILS/GBAS/VHF/radar và hướng dẫn đánh giá tác động công trình.</x:v>
      </x:c>
      <x:c r="O487" s="14" t="str"/>
      <x:c r="P487" s="14" t="str">
        <x:v>Bộ bản đồ BRA; quy trình đánh giá; thư viện thông số CNS; hồ sơ ATSEP xác nhận; 100% đài trạm trọng yếu có BRA; hồ sơ được cập nhật khi thay đổi thiết bị/vị trí; Theo từng đài trạm CNS</x:v>
      </x:c>
      <x:c r="Q487" s="14" t="str">
        <x:v>Bộ bản đồ BRA; quy trình đánh giá; thư viện thông số CNS; hồ sơ ATSEP xác nhận; 100% đài trạm trọng yếu có BRA; hồ sơ được cập nhật khi thay đổi thiết bị/vị trí; Theo từng đài trạm CNS</x:v>
      </x:c>
      <x:c r="R487" s="14" t="str"/>
      <x:c r="S487" s="14" t="str">
        <x:v>Ban Kỹ thuật - CNS/IT/Môi trường</x:v>
      </x:c>
      <x:c r="T487" s="14" t="str">
        <x:v>Các Công ty Quản lý bay khu vực Bắc/Trung/Nam; Ban Kỹ thuật - CNS/IT/Môi trường</x:v>
      </x:c>
      <x:c r="U487" s="14" t="str"/>
      <x:c r="V487" s="14" t="str">
        <x:v>Bắt đầu: 01/07/2026; Hoàn thành: 30/06/2027</x:v>
      </x:c>
      <x:c r="W487" s="14" t="str">
        <x:v>P1</x:v>
      </x:c>
      <x:c r="X487" s="14" t="str"/>
      <x:c r="Y487" s="14" t="str">
        <x:v>Chưa bắt đầu</x:v>
      </x:c>
      <x:c r="Z487" s="14" t="str">
        <x:v>Liên kết Phụ lục IV</x:v>
      </x:c>
      <x:c r="AA487" s="14" t="str"/>
      <x:c r="AB487" s="14" t="str">
        <x:v>ans; cns</x:v>
      </x:c>
    </x:row>
    <x:row r="488">
      <x:c r="A488" s="14" t="str">
        <x:v>VATM-0487</x:v>
      </x:c>
      <x:c r="B488" s="14" t="str">
        <x:v>T021</x:v>
      </x:c>
      <x:c r="C488" s="14" t="str">
        <x:v>Dự thảo Nghị định về hoạt động bay (01/07/2026)</x:v>
      </x:c>
      <x:c r="D488" s="14" t="str">
        <x:v>VATM_Ra_soat_du_thao_ND_hoat_dong_bay_01072026_NANG_CAP.xlsx</x:v>
      </x:c>
      <x:c r="E488" s="14" t="str">
        <x:v>04_Nhiem_vu</x:v>
      </x:c>
      <x:c r="F488" s="56" t="n">
        <x:v>22</x:v>
      </x:c>
      <x:c r="G488" s="14" t="str">
        <x:v>Đ87-98</x:v>
      </x:c>
      <x:c r="H488" s="14" t="str">
        <x:v>ANS - AIS/AIM/Tin tức HK</x:v>
      </x:c>
      <x:c r="I488" s="14" t="str">
        <x:v>Phương thức bay, sơ đồ và công bố AIS</x:v>
      </x:c>
      <x:c r="J488" s="14" t="str">
        <x:v>PANS-OPS/Charts</x:v>
      </x:c>
      <x:c r="K488" s="14" t="str">
        <x:v>Trực tiếp</x:v>
      </x:c>
      <x:c r="L488" s="14" t="str">
        <x:v>Dữ liệu/số hóa</x:v>
      </x:c>
      <x:c r="M488" s="14" t="str"/>
      <x:c r="N488" s="14" t="str">
        <x:v>Rà soát trách nhiệm VATM chủ trì khảo sát, thiết kế phương thức bay và sản xuất sơ đồ, bản đồ hàng không.</x:v>
      </x:c>
      <x:c r="O488" s="14" t="str"/>
      <x:c r="P488" s="14" t="str">
        <x:v>Quy trình PANS-OPS/charts; hồ sơ khảo sát; ma trận trách nhiệm; 100% phương thức/sơ đồ có dữ liệu đầu vào hợp lệ, kiểm tra độc lập và hồ sơ phê chuẩn; Theo từng sân bay/phương thức/sơ đồ</x:v>
      </x:c>
      <x:c r="Q488" s="14" t="str">
        <x:v>Quy trình PANS-OPS/charts; hồ sơ khảo sát; ma trận trách nhiệm; 100% phương thức/sơ đồ có dữ liệu đầu vào hợp lệ, kiểm tra độc lập và hồ sơ phê chuẩn; Theo từng sân bay/phương thức/sơ đồ</x:v>
      </x:c>
      <x:c r="R488" s="14" t="str"/>
      <x:c r="S488" s="14" t="str">
        <x:v>Trung tâm Thông báo tin tức hàng không; Ban Không lưu</x:v>
      </x:c>
      <x:c r="T488" s="14" t="str">
        <x:v>Các Công ty Quản lý bay khu vực Bắc/Trung/Nam; Trung tâm Thông báo tin tức hàng không</x:v>
      </x:c>
      <x:c r="U488" s="14" t="str"/>
      <x:c r="V488" s="14" t="str">
        <x:v>Bắt đầu: 01/07/2026; Hoàn thành: 31/12/2026</x:v>
      </x:c>
      <x:c r="W488" s="14" t="str">
        <x:v>P1</x:v>
      </x:c>
      <x:c r="X488" s="14" t="str"/>
      <x:c r="Y488" s="14" t="str">
        <x:v>Chưa bắt đầu</x:v>
      </x:c>
      <x:c r="Z488" s="14" t="str">
        <x:v>Điều 89 nêu rõ doanh nghiệp BĐHĐB chủ trì</x:v>
      </x:c>
      <x:c r="AA488" s="14" t="str"/>
      <x:c r="AB488" s="14" t="str">
        <x:v>ans; ais; aim; atm</x:v>
      </x:c>
    </x:row>
    <x:row r="489">
      <x:c r="A489" s="14" t="str">
        <x:v>VATM-0488</x:v>
      </x:c>
      <x:c r="B489" s="14" t="str">
        <x:v>T022</x:v>
      </x:c>
      <x:c r="C489" s="14" t="str">
        <x:v>Dự thảo Nghị định về hoạt động bay (01/07/2026)</x:v>
      </x:c>
      <x:c r="D489" s="14" t="str">
        <x:v>VATM_Ra_soat_du_thao_ND_hoat_dong_bay_01072026_NANG_CAP.xlsx</x:v>
      </x:c>
      <x:c r="E489" s="14" t="str">
        <x:v>04_Nhiem_vu</x:v>
      </x:c>
      <x:c r="F489" s="56" t="n">
        <x:v>23</x:v>
      </x:c>
      <x:c r="G489" s="14" t="str">
        <x:v>Đ91, Đ94, Đ97</x:v>
      </x:c>
      <x:c r="H489" s="14" t="str">
        <x:v>ANS - AIS/AIM/Tin tức HK</x:v>
      </x:c>
      <x:c r="I489" s="14" t="str">
        <x:v>Phương thức bay, sơ đồ và công bố AIS</x:v>
      </x:c>
      <x:c r="J489" s="14" t="str">
        <x:v>PANS-OPS/Charts</x:v>
      </x:c>
      <x:c r="K489" s="14" t="str">
        <x:v>Trực tiếp</x:v>
      </x:c>
      <x:c r="L489" s="14" t="str">
        <x:v>Dữ liệu/số hóa</x:v>
      </x:c>
      <x:c r="M489" s="14" t="str"/>
      <x:c r="N489" s="14" t="str">
        <x:v>Thiết lập kế hoạch chuyển đổi eTOD và bộ dữ liệu số phục vụ phương thức bay, sơ đồ/bản đồ và AIM.</x:v>
      </x:c>
      <x:c r="O489" s="14" t="str"/>
      <x:c r="P489" s="14" t="str">
        <x:v>Đề án eTOD; cấu trúc dữ liệu; phân quyền truy cập; kế hoạch cập nhật; Đáp ứng yêu cầu bảo mật, an ninh mạng, truy xuất nguồn gốc; tích hợp AIM/PANS; 01 đề án và lộ trình dữ liệu số</x:v>
      </x:c>
      <x:c r="Q489" s="14" t="str">
        <x:v>Đề án eTOD; cấu trúc dữ liệu; phân quyền truy cập; kế hoạch cập nhật; Đáp ứng yêu cầu bảo mật, an ninh mạng, truy xuất nguồn gốc; tích hợp AIM/PANS; 01 đề án và lộ trình dữ liệu số</x:v>
      </x:c>
      <x:c r="R489" s="14" t="str"/>
      <x:c r="S489" s="14" t="str">
        <x:v>Trung tâm Thông báo tin tức hàng không; Ban Kế hoạch doanh nghiệp - Chuyển đổi số; Ban Kỹ thuật - CNS/IT/Môi trường</x:v>
      </x:c>
      <x:c r="T489" s="14" t="str">
        <x:v>Các Công ty Quản lý bay khu vực Bắc/Trung/Nam; Trung tâm Thông báo tin tức hàng không</x:v>
      </x:c>
      <x:c r="U489" s="14" t="str"/>
      <x:c r="V489" s="14" t="str">
        <x:v>Bắt đầu: 01/09/2026; Hoàn thành: 31/12/2027</x:v>
      </x:c>
      <x:c r="W489" s="14" t="str">
        <x:v>P1</x:v>
      </x:c>
      <x:c r="X489" s="14" t="str"/>
      <x:c r="Y489" s="14" t="str">
        <x:v>Chưa bắt đầu</x:v>
      </x:c>
      <x:c r="Z489" s="14" t="str">
        <x:v>Điều 94 yêu cầu cơ sở dữ liệu dùng chung dân dụng-quân sự</x:v>
      </x:c>
      <x:c r="AA489" s="14" t="str"/>
      <x:c r="AB489" s="14" t="str">
        <x:v>ans; ais; aim; du lieu; cns</x:v>
      </x:c>
    </x:row>
    <x:row r="490">
      <x:c r="A490" s="14" t="str">
        <x:v>VATM-0489</x:v>
      </x:c>
      <x:c r="B490" s="14" t="str">
        <x:v>T023</x:v>
      </x:c>
      <x:c r="C490" s="14" t="str">
        <x:v>Dự thảo Nghị định về hoạt động bay (01/07/2026)</x:v>
      </x:c>
      <x:c r="D490" s="14" t="str">
        <x:v>VATM_Ra_soat_du_thao_ND_hoat_dong_bay_01072026_NANG_CAP.xlsx</x:v>
      </x:c>
      <x:c r="E490" s="14" t="str">
        <x:v>04_Nhiem_vu</x:v>
      </x:c>
      <x:c r="F490" s="56" t="n">
        <x:v>24</x:v>
      </x:c>
      <x:c r="G490" s="14" t="str">
        <x:v>Đ111-115</x:v>
      </x:c>
      <x:c r="H490" s="14" t="str">
        <x:v>ANS - AIS/AIM/Tin tức HK</x:v>
      </x:c>
      <x:c r="I490" s="14" t="str">
        <x:v>Dữ liệu địa hình/chướng ngại và bản đồ</x:v>
      </x:c>
      <x:c r="J490" s="14" t="str">
        <x:v>AIS/AIM</x:v>
      </x:c>
      <x:c r="K490" s="14" t="str">
        <x:v>Trực tiếp</x:v>
      </x:c>
      <x:c r="L490" s="14" t="str">
        <x:v>Dữ liệu/số hóa</x:v>
      </x:c>
      <x:c r="M490" s="14" t="str"/>
      <x:c r="N490" s="14" t="str">
        <x:v>Thiết lập QMS trong lĩnh vực AIS/AIM và dữ liệu hàng không, bao phủ khởi tạo, thu thập, xử lý, kiểm tra, công bố, sử dụng.</x:v>
      </x:c>
      <x:c r="O490" s="14" t="str"/>
      <x:c r="P490" s="14" t="str">
        <x:v>Sổ tay QMS AIM; quy trình kiểm soát dữ liệu; log toàn vẹn/truy xuất; Dữ liệu chính xác, đầy đủ, kịp thời, nhất quán, hợp lệ, có thể kiểm chứng; 01 QMS AIM + quy trình dữ liệu</x:v>
      </x:c>
      <x:c r="Q490" s="14" t="str">
        <x:v>Sổ tay QMS AIM; quy trình kiểm soát dữ liệu; log toàn vẹn/truy xuất; Dữ liệu chính xác, đầy đủ, kịp thời, nhất quán, hợp lệ, có thể kiểm chứng; 01 QMS AIM + quy trình dữ liệu</x:v>
      </x:c>
      <x:c r="R490" s="14" t="str"/>
      <x:c r="S490" s="14" t="str">
        <x:v>Trung tâm Thông báo tin tức hàng không; Ban An toàn - Chất lượng</x:v>
      </x:c>
      <x:c r="T490" s="14" t="str">
        <x:v>Các Công ty Quản lý bay khu vực Bắc/Trung/Nam; Ban Kỹ thuật - CNS/IT/Môi trường; Trung tâm Khí tượng hàng không; Trung tâm Thông báo tin tức hàng không</x:v>
      </x:c>
      <x:c r="U490" s="14" t="str"/>
      <x:c r="V490" s="14" t="str">
        <x:v>Bắt đầu: 01/07/2026; Hoàn thành: 31/03/2027</x:v>
      </x:c>
      <x:c r="W490" s="14" t="str">
        <x:v>P1</x:v>
      </x:c>
      <x:c r="X490" s="14" t="str"/>
      <x:c r="Y490" s="14" t="str">
        <x:v>Chưa bắt đầu</x:v>
      </x:c>
      <x:c r="Z490" s="14" t="str">
        <x:v>Đ114 yêu cầu thỏa thuận chính thức</x:v>
      </x:c>
      <x:c r="AA490" s="14" t="str"/>
      <x:c r="AB490" s="14" t="str">
        <x:v>ans; ais; aim; du lieu; an toan</x:v>
      </x:c>
    </x:row>
    <x:row r="491">
      <x:c r="A491" s="14" t="str">
        <x:v>VATM-0490</x:v>
      </x:c>
      <x:c r="B491" s="14" t="str">
        <x:v>T024</x:v>
      </x:c>
      <x:c r="C491" s="14" t="str">
        <x:v>Dự thảo Nghị định về hoạt động bay (01/07/2026)</x:v>
      </x:c>
      <x:c r="D491" s="14" t="str">
        <x:v>VATM_Ra_soat_du_thao_ND_hoat_dong_bay_01072026_NANG_CAP.xlsx</x:v>
      </x:c>
      <x:c r="E491" s="14" t="str">
        <x:v>04_Nhiem_vu</x:v>
      </x:c>
      <x:c r="F491" s="56" t="n">
        <x:v>25</x:v>
      </x:c>
      <x:c r="G491" s="14" t="str">
        <x:v>Đ113-114, Đ97</x:v>
      </x:c>
      <x:c r="H491" s="14" t="str">
        <x:v>ANS - AIS/AIM/Tin tức HK</x:v>
      </x:c>
      <x:c r="I491" s="14" t="str">
        <x:v>Dữ liệu địa hình/chướng ngại và bản đồ</x:v>
      </x:c>
      <x:c r="J491" s="14" t="str">
        <x:v>AIS/AIM</x:v>
      </x:c>
      <x:c r="K491" s="14" t="str">
        <x:v>Trực tiếp</x:v>
      </x:c>
      <x:c r="L491" s="14" t="str">
        <x:v>Dữ liệu/số hóa</x:v>
      </x:c>
      <x:c r="M491" s="14" t="str"/>
      <x:c r="N491" s="14" t="str">
        <x:v>Ký/thay thế thỏa thuận chính thức với người khởi tạo dữ liệu, quy định mốc AIRAC 56/84 ngày, chất lượng dữ liệu và trách nhiệm xác nhận.</x:v>
      </x:c>
      <x:c r="O491" s="14" t="str"/>
      <x:c r="P491" s="14" t="str">
        <x:v>Danh mục người khởi tạo dữ liệu; MoU/SLA; lịch AIRAC; biểu mẫu yêu cầu dữ liệu; 100% người khởi tạo trọng yếu có thỏa thuận; không nhận dữ liệu không rõ nguồn; Tối thiểu theo nhóm dữ liệu AIP, PANS, MET, CNS, obstacle</x:v>
      </x:c>
      <x:c r="Q491" s="14" t="str">
        <x:v>Danh mục người khởi tạo dữ liệu; MoU/SLA; lịch AIRAC; biểu mẫu yêu cầu dữ liệu; 100% người khởi tạo trọng yếu có thỏa thuận; không nhận dữ liệu không rõ nguồn; Tối thiểu theo nhóm dữ liệu AIP, PANS, MET, CNS, obstacle</x:v>
      </x:c>
      <x:c r="R491" s="14" t="str"/>
      <x:c r="S491" s="14" t="str">
        <x:v>Trung tâm Thông báo tin tức hàng không</x:v>
      </x:c>
      <x:c r="T491" s="14" t="str">
        <x:v>Các Công ty Quản lý bay khu vực Bắc/Trung/Nam; Ban Kỹ thuật - CNS/IT/Môi trường; Trung tâm Khí tượng hàng không; Trung tâm Thông báo tin tức hàng không</x:v>
      </x:c>
      <x:c r="U491" s="14" t="str"/>
      <x:c r="V491" s="14" t="str">
        <x:v>Bắt đầu: 01/07/2026; Hoàn thành: 30/06/2027</x:v>
      </x:c>
      <x:c r="W491" s="14" t="str">
        <x:v>P1</x:v>
      </x:c>
      <x:c r="X491" s="14" t="str"/>
      <x:c r="Y491" s="14" t="str">
        <x:v>Chưa bắt đầu</x:v>
      </x:c>
      <x:c r="Z491" s="14" t="str">
        <x:v>Cần chờ danh mục do Cục HKVN công bố/hướng dẫn</x:v>
      </x:c>
      <x:c r="AA491" s="14" t="str"/>
      <x:c r="AB491" s="14" t="str">
        <x:v>ans; ais; aim; du lieu</x:v>
      </x:c>
    </x:row>
    <x:row r="492">
      <x:c r="A492" s="14" t="str">
        <x:v>VATM-0491</x:v>
      </x:c>
      <x:c r="B492" s="14" t="str">
        <x:v>T025</x:v>
      </x:c>
      <x:c r="C492" s="14" t="str">
        <x:v>Dự thảo Nghị định về hoạt động bay (01/07/2026)</x:v>
      </x:c>
      <x:c r="D492" s="14" t="str">
        <x:v>VATM_Ra_soat_du_thao_ND_hoat_dong_bay_01072026_NANG_CAP.xlsx</x:v>
      </x:c>
      <x:c r="E492" s="14" t="str">
        <x:v>04_Nhiem_vu</x:v>
      </x:c>
      <x:c r="F492" s="56" t="n">
        <x:v>26</x:v>
      </x:c>
      <x:c r="G492" s="14" t="str">
        <x:v>Đ112</x:v>
      </x:c>
      <x:c r="H492" s="14" t="str">
        <x:v>ANS - AIS/AIM/Tin tức HK</x:v>
      </x:c>
      <x:c r="I492" s="14" t="str">
        <x:v>Dữ liệu địa hình/chướng ngại và bản đồ</x:v>
      </x:c>
      <x:c r="J492" s="14" t="str">
        <x:v>AIS/AIM</x:v>
      </x:c>
      <x:c r="K492" s="14" t="str">
        <x:v>Trực tiếp</x:v>
      </x:c>
      <x:c r="L492" s="14" t="str">
        <x:v>Dữ liệu/số hóa</x:v>
      </x:c>
      <x:c r="M492" s="14" t="str"/>
      <x:c r="N492" s="14" t="str">
        <x:v>Lập lộ trình cung cấp bộ dữ liệu số hàng không và mô hình trao đổi dữ liệu tương thích toàn cầu.</x:v>
      </x:c>
      <x:c r="O492" s="14" t="str"/>
      <x:c r="P492" s="14" t="str">
        <x:v>Lộ trình AIM digital datasets; tiêu chuẩn định dạng; kế hoạch thử nghiệm; Dữ liệu số có cấu trúc, tiêu chuẩn trao đổi, kiểm tra toàn vẹn và phân phối an toàn; 01 lộ trình + thí điểm dữ liệu số</x:v>
      </x:c>
      <x:c r="Q492" s="14" t="str">
        <x:v>Lộ trình AIM digital datasets; tiêu chuẩn định dạng; kế hoạch thử nghiệm; Dữ liệu số có cấu trúc, tiêu chuẩn trao đổi, kiểm tra toàn vẹn và phân phối an toàn; 01 lộ trình + thí điểm dữ liệu số</x:v>
      </x:c>
      <x:c r="R492" s="14" t="str"/>
      <x:c r="S492" s="14" t="str">
        <x:v>Trung tâm Thông báo tin tức hàng không; Ban Kế hoạch doanh nghiệp - Chuyển đổi số; Ban Kỹ thuật - CNS/IT/Môi trường</x:v>
      </x:c>
      <x:c r="T492" s="14" t="str">
        <x:v>Các Công ty Quản lý bay khu vực Bắc/Trung/Nam; Trung tâm Thông báo tin tức hàng không</x:v>
      </x:c>
      <x:c r="U492" s="14" t="str"/>
      <x:c r="V492" s="14" t="str">
        <x:v>Bắt đầu: 01/10/2026; Hoàn thành: 31/12/2027</x:v>
      </x:c>
      <x:c r="W492" s="14" t="str">
        <x:v>P2</x:v>
      </x:c>
      <x:c r="X492" s="14" t="str"/>
      <x:c r="Y492" s="14" t="str">
        <x:v>Chưa bắt đầu</x:v>
      </x:c>
      <x:c r="Z492" s="14" t="str">
        <x:v>Phụ thuộc hướng dẫn Bộ Xây dựng/Cục HKVN</x:v>
      </x:c>
      <x:c r="AA492" s="14" t="str"/>
      <x:c r="AB492" s="14" t="str">
        <x:v>ans; ais; aim; du lieu; cns</x:v>
      </x:c>
    </x:row>
    <x:row r="493">
      <x:c r="A493" s="14" t="str">
        <x:v>VATM-0492</x:v>
      </x:c>
      <x:c r="B493" s="14" t="str">
        <x:v>T026</x:v>
      </x:c>
      <x:c r="C493" s="14" t="str">
        <x:v>Dự thảo Nghị định về hoạt động bay (01/07/2026)</x:v>
      </x:c>
      <x:c r="D493" s="14" t="str">
        <x:v>VATM_Ra_soat_du_thao_ND_hoat_dong_bay_01072026_NANG_CAP.xlsx</x:v>
      </x:c>
      <x:c r="E493" s="14" t="str">
        <x:v>04_Nhiem_vu</x:v>
      </x:c>
      <x:c r="F493" s="56" t="n">
        <x:v>27</x:v>
      </x:c>
      <x:c r="G493" s="14" t="str">
        <x:v>Đ99-101</x:v>
      </x:c>
      <x:c r="H493" s="14" t="str">
        <x:v>Tuân thủ, pháp chế &amp; quản trị</x:v>
      </x:c>
      <x:c r="I493" s="14" t="str">
        <x:v>Giấy phép/phê chuẩn và register</x:v>
      </x:c>
      <x:c r="J493" s="14" t="str">
        <x:v>Quản trị ANSP</x:v>
      </x:c>
      <x:c r="K493" s="14" t="str">
        <x:v>Trực tiếp</x:v>
      </x:c>
      <x:c r="L493" s="14" t="str">
        <x:v>Hồ sơ/phê duyệt/TTHC</x:v>
      </x:c>
      <x:c r="M493" s="14" t="str"/>
      <x:c r="N493" s="14" t="str">
        <x:v>Rà soát điều kiện cung cấp dịch vụ bảo đảm HĐB: tổ chức, nhân viên, cơ sở/trang thiết bị, SMS/SeMS/QMS, tài liệu khai thác.</x:v>
      </x:c>
      <x:c r="O493" s="14" t="str"/>
      <x:c r="P493" s="14" t="str">
        <x:v>Hồ sơ tự đánh giá ANSP; kế hoạch khắc phục; danh mục giấy phép/phê chuẩn; 100% điều kiện theo Đ99 có bằng chứng đáp ứng hoặc kế hoạch khắc phục; 01 bộ hồ sơ self-assessment toàn VATM</x:v>
      </x:c>
      <x:c r="Q493" s="14" t="str">
        <x:v>Hồ sơ tự đánh giá ANSP; kế hoạch khắc phục; danh mục giấy phép/phê chuẩn; 100% điều kiện theo Đ99 có bằng chứng đáp ứng hoặc kế hoạch khắc phục; 01 bộ hồ sơ self-assessment toàn VATM</x:v>
      </x:c>
      <x:c r="R493" s="14" t="str"/>
      <x:c r="S493" s="14" t="str">
        <x:v>Văn phòng - Pháp chế; Ban An toàn - Chất lượng</x:v>
      </x:c>
      <x:c r="T493" s="14" t="str">
        <x:v>Văn phòng - Pháp chế</x:v>
      </x:c>
      <x:c r="U493" s="14" t="str"/>
      <x:c r="V493" s="14" t="str">
        <x:v>Bắt đầu: 01/07/2026; Hoàn thành: 31/12/2026</x:v>
      </x:c>
      <x:c r="W493" s="14" t="str">
        <x:v>P1</x:v>
      </x:c>
      <x:c r="X493" s="14" t="str"/>
      <x:c r="Y493" s="14" t="str">
        <x:v>Chưa bắt đầu</x:v>
      </x:c>
      <x:c r="Z493" s="14" t="str">
        <x:v>Phục vụ giám sát/cấp phép của nhà chức trách</x:v>
      </x:c>
      <x:c r="AA493" s="14" t="str"/>
      <x:c r="AB493" s="14" t="str">
        <x:v>phap che; phe chuan; giay phep; sms; an toan</x:v>
      </x:c>
    </x:row>
    <x:row r="494">
      <x:c r="A494" s="14" t="str">
        <x:v>VATM-0493</x:v>
      </x:c>
      <x:c r="B494" s="14" t="str">
        <x:v>T027</x:v>
      </x:c>
      <x:c r="C494" s="14" t="str">
        <x:v>Dự thảo Nghị định về hoạt động bay (01/07/2026)</x:v>
      </x:c>
      <x:c r="D494" s="14" t="str">
        <x:v>VATM_Ra_soat_du_thao_ND_hoat_dong_bay_01072026_NANG_CAP.xlsx</x:v>
      </x:c>
      <x:c r="E494" s="14" t="str">
        <x:v>04_Nhiem_vu</x:v>
      </x:c>
      <x:c r="F494" s="56" t="n">
        <x:v>28</x:v>
      </x:c>
      <x:c r="G494" s="14" t="str">
        <x:v>Đ100</x:v>
      </x:c>
      <x:c r="H494" s="14" t="str">
        <x:v>Tuân thủ, pháp chế &amp; quản trị</x:v>
      </x:c>
      <x:c r="I494" s="14" t="str">
        <x:v>Giấy phép/phê chuẩn và register</x:v>
      </x:c>
      <x:c r="J494" s="14" t="str">
        <x:v>Quản trị ANSP</x:v>
      </x:c>
      <x:c r="K494" s="14" t="str">
        <x:v>Trực tiếp</x:v>
      </x:c>
      <x:c r="L494" s="14" t="str">
        <x:v>Báo cáo/điều tra/khắc phục</x:v>
      </x:c>
      <x:c r="M494" s="14" t="str"/>
      <x:c r="N494" s="14" t="str">
        <x:v>Thiết lập hoặc cập nhật hệ thống quản lý mệt mỏi đối với kiểm soát viên không lưu.</x:v>
      </x:c>
      <x:c r="O494" s="14" t="str"/>
      <x:c r="P494" s="14" t="str">
        <x:v>FRMS/Chương trình quản lý mệt mỏi; tiêu chí theo dõi ca kíp; báo cáo rủi ro mệt mỏi; 100% cơ sở ATS áp dụng; dữ liệu ca kíp được giám sát; hành động giảm rủi ro được theo dõi; 01 chương trình FRMS toàn ATS</x:v>
      </x:c>
      <x:c r="Q494" s="14" t="str">
        <x:v>FRMS/Chương trình quản lý mệt mỏi; tiêu chí theo dõi ca kíp; báo cáo rủi ro mệt mỏi; 100% cơ sở ATS áp dụng; dữ liệu ca kíp được giám sát; hành động giảm rủi ro được theo dõi; 01 chương trình FRMS toàn ATS</x:v>
      </x:c>
      <x:c r="R494" s="14" t="str"/>
      <x:c r="S494" s="14" t="str">
        <x:v>Văn phòng - Pháp chế; Ban Tổ chức cán bộ; Ban Không lưu; Ban An toàn - Chất lượng</x:v>
      </x:c>
      <x:c r="T494" s="14" t="str">
        <x:v>Trung tâm Huấn luyện đào tạo; Ban Không lưu; Các Công ty Quản lý bay khu vực Bắc/Trung/Nam; Văn phòng - Pháp chế</x:v>
      </x:c>
      <x:c r="U494" s="14" t="str"/>
      <x:c r="V494" s="14" t="str">
        <x:v>Bắt đầu: 01/07/2026; Hoàn thành: 30/06/2027</x:v>
      </x:c>
      <x:c r="W494" s="14" t="str">
        <x:v>P1</x:v>
      </x:c>
      <x:c r="X494" s="14" t="str"/>
      <x:c r="Y494" s="14" t="str">
        <x:v>Chưa bắt đầu</x:v>
      </x:c>
      <x:c r="Z494" s="14" t="str">
        <x:v>Bám tiêu chuẩn ICAO và hướng dẫn Cục HKVN</x:v>
      </x:c>
      <x:c r="AA494" s="14" t="str"/>
      <x:c r="AB494" s="14" t="str">
        <x:v>phap che; phe chuan; giay phep; met; an toan</x:v>
      </x:c>
    </x:row>
    <x:row r="495">
      <x:c r="A495" s="14" t="str">
        <x:v>VATM-0494</x:v>
      </x:c>
      <x:c r="B495" s="14" t="str">
        <x:v>T028</x:v>
      </x:c>
      <x:c r="C495" s="14" t="str">
        <x:v>Dự thảo Nghị định về hoạt động bay (01/07/2026)</x:v>
      </x:c>
      <x:c r="D495" s="14" t="str">
        <x:v>VATM_Ra_soat_du_thao_ND_hoat_dong_bay_01072026_NANG_CAP.xlsx</x:v>
      </x:c>
      <x:c r="E495" s="14" t="str">
        <x:v>04_Nhiem_vu</x:v>
      </x:c>
      <x:c r="F495" s="56" t="n">
        <x:v>29</x:v>
      </x:c>
      <x:c r="G495" s="14" t="str">
        <x:v>Đ99, Đ108, Đ109</x:v>
      </x:c>
      <x:c r="H495" s="14" t="str">
        <x:v>Tuân thủ, pháp chế &amp; quản trị</x:v>
      </x:c>
      <x:c r="I495" s="14" t="str">
        <x:v>Giấy phép/phê chuẩn và register</x:v>
      </x:c>
      <x:c r="J495" s="14" t="str">
        <x:v>Quản trị ANSP</x:v>
      </x:c>
      <x:c r="K495" s="14" t="str">
        <x:v>Trực tiếp</x:v>
      </x:c>
      <x:c r="L495" s="14" t="str">
        <x:v>Hồ sơ/phê duyệt/TTHC</x:v>
      </x:c>
      <x:c r="M495" s="14" t="str"/>
      <x:c r="N495" s="14" t="str">
        <x:v>Rà soát giấy phép/cấp phép cơ sở, công trình và hệ thống trang thiết bị kỹ thuật ATM/CNS/MET/AIS/SAR trước khi đưa vào khai thác.</x:v>
      </x:c>
      <x:c r="O495" s="14" t="str"/>
      <x:c r="P495" s="14" t="str">
        <x:v>Danh mục giấy phép/phê chuẩn; cảnh báo hết hạn; kế hoạch bổ sung; Không khai thác hệ thống chưa được cấp phép/phê chuẩn theo quy định; Toàn bộ cơ sở và hệ thống kỹ thuật ANS</x:v>
      </x:c>
      <x:c r="Q495" s="14" t="str">
        <x:v>Danh mục giấy phép/phê chuẩn; cảnh báo hết hạn; kế hoạch bổ sung; Không khai thác hệ thống chưa được cấp phép/phê chuẩn theo quy định; Toàn bộ cơ sở và hệ thống kỹ thuật ANS</x:v>
      </x:c>
      <x:c r="R495" s="14" t="str"/>
      <x:c r="S495" s="14" t="str">
        <x:v>Văn phòng - Pháp chế; Ban Kỹ thuật - CNS/IT/Môi trường</x:v>
      </x:c>
      <x:c r="T495" s="14" t="str">
        <x:v>Văn phòng - Pháp chế</x:v>
      </x:c>
      <x:c r="U495" s="14" t="str"/>
      <x:c r="V495" s="14" t="str">
        <x:v>Bắt đầu: 01/07/2026; Hoàn thành: 31/12/2026</x:v>
      </x:c>
      <x:c r="W495" s="14" t="str">
        <x:v>P1</x:v>
      </x:c>
      <x:c r="X495" s="14" t="str"/>
      <x:c r="Y495" s="14" t="str">
        <x:v>Chưa bắt đầu</x:v>
      </x:c>
      <x:c r="Z495" s="14" t="str">
        <x:v>Liên quan quy định Bộ trưởng Bộ Xây dựng</x:v>
      </x:c>
      <x:c r="AA495" s="14" t="str"/>
      <x:c r="AB495" s="14" t="str">
        <x:v>phap che; phe chuan; giay phep; atm; cns; ais; met; sar</x:v>
      </x:c>
    </x:row>
    <x:row r="496">
      <x:c r="A496" s="14" t="str">
        <x:v>VATM-0495</x:v>
      </x:c>
      <x:c r="B496" s="14" t="str">
        <x:v>T029</x:v>
      </x:c>
      <x:c r="C496" s="14" t="str">
        <x:v>Dự thảo Nghị định về hoạt động bay (01/07/2026)</x:v>
      </x:c>
      <x:c r="D496" s="14" t="str">
        <x:v>VATM_Ra_soat_du_thao_ND_hoat_dong_bay_01072026_NANG_CAP.xlsx</x:v>
      </x:c>
      <x:c r="E496" s="14" t="str">
        <x:v>04_Nhiem_vu</x:v>
      </x:c>
      <x:c r="F496" s="56" t="n">
        <x:v>30</x:v>
      </x:c>
      <x:c r="G496" s="14" t="str">
        <x:v>Đ116-119</x:v>
      </x:c>
      <x:c r="H496" s="14" t="str">
        <x:v>Tuân thủ, pháp chế &amp; quản trị</x:v>
      </x:c>
      <x:c r="I496" s="14" t="str">
        <x:v>Giấy phép/phê chuẩn và register</x:v>
      </x:c>
      <x:c r="J496" s="14" t="str">
        <x:v>Chương trình ANS</x:v>
      </x:c>
      <x:c r="K496" s="14" t="str">
        <x:v>Trực tiếp</x:v>
      </x:c>
      <x:c r="L496" s="14" t="str">
        <x:v>Hồ sơ/phê duyệt/TTHC</x:v>
      </x:c>
      <x:c r="M496" s="14" t="str"/>
      <x:c r="N496" s="14" t="str">
        <x:v>Xây dựng phần việc VATM tham gia Chương trình quốc gia về bảo đảm hoạt động bay: mục tiêu, KPI, dự án ưu tiên, nguồn lực.</x:v>
      </x:c>
      <x:c r="O496" s="14" t="str"/>
      <x:c r="P496" s="14" t="str">
        <x:v>Đề xuất VATM cho Chương trình ANS; danh mục dự án; KPI; hồ sơ nguồn vốn; Có KPI đo lường an toàn, năng lực, hiệu quả, môi trường, số hóa; danh mục dự án được ưu tiên; 01 đề xuất chương trình + danh mục dự án</x:v>
      </x:c>
      <x:c r="Q496" s="14" t="str">
        <x:v>Đề xuất VATM cho Chương trình ANS; danh mục dự án; KPI; hồ sơ nguồn vốn; Có KPI đo lường an toàn, năng lực, hiệu quả, môi trường, số hóa; danh mục dự án được ưu tiên; 01 đề xuất chương trình + danh mục dự án</x:v>
      </x:c>
      <x:c r="R496" s="14" t="str"/>
      <x:c r="S496" s="14" t="str">
        <x:v>Văn phòng - Pháp chế; Ban Không lưu; Ban Kỹ thuật - CNS/IT/Môi trường</x:v>
      </x:c>
      <x:c r="T496" s="14" t="str">
        <x:v>Văn phòng - Pháp chế</x:v>
      </x:c>
      <x:c r="U496" s="14" t="str"/>
      <x:c r="V496" s="14" t="str">
        <x:v>Bắt đầu: 01/07/2026; Hoàn thành: 30/06/2027</x:v>
      </x:c>
      <x:c r="W496" s="14" t="str">
        <x:v>P1</x:v>
      </x:c>
      <x:c r="X496" s="14" t="str"/>
      <x:c r="Y496" s="14" t="str">
        <x:v>Chưa bắt đầu</x:v>
      </x:c>
      <x:c r="Z496" s="14" t="str">
        <x:v>Gắn cơ chế phí giữ lại Đ119</x:v>
      </x:c>
      <x:c r="AA496" s="14" t="str"/>
      <x:c r="AB496" s="14" t="str">
        <x:v>phap che; phe chuan; giay phep; atm; cns</x:v>
      </x:c>
    </x:row>
    <x:row r="497">
      <x:c r="A497" s="14" t="str">
        <x:v>VATM-0496</x:v>
      </x:c>
      <x:c r="B497" s="14" t="str">
        <x:v>T030</x:v>
      </x:c>
      <x:c r="C497" s="14" t="str">
        <x:v>Dự thảo Nghị định về hoạt động bay (01/07/2026)</x:v>
      </x:c>
      <x:c r="D497" s="14" t="str">
        <x:v>VATM_Ra_soat_du_thao_ND_hoat_dong_bay_01072026_NANG_CAP.xlsx</x:v>
      </x:c>
      <x:c r="E497" s="14" t="str">
        <x:v>04_Nhiem_vu</x:v>
      </x:c>
      <x:c r="F497" s="56" t="n">
        <x:v>31</x:v>
      </x:c>
      <x:c r="G497" s="14" t="str">
        <x:v>Đ119</x:v>
      </x:c>
      <x:c r="H497" s="14" t="str">
        <x:v>Tài chính - Kế hoạch đầu tư</x:v>
      </x:c>
      <x:c r="I497" s="14" t="str">
        <x:v>Kế hoạch vốn, đầu tư và mua sắm</x:v>
      </x:c>
      <x:c r="J497" s="14" t="str">
        <x:v>Tài chính/đầu tư</x:v>
      </x:c>
      <x:c r="K497" s="14" t="str">
        <x:v>Trực tiếp</x:v>
      </x:c>
      <x:c r="L497" s="14" t="str">
        <x:v>Báo cáo/điều tra/khắc phục</x:v>
      </x:c>
      <x:c r="M497" s="14" t="str"/>
      <x:c r="N497" s="14" t="str">
        <x:v>Thiết lập kế hoạch sử dụng 45% phí bay qua được giữ lại cho đào tạo, hợp tác quốc tế, đầu tư hiện đại hóa, chuyển đổi số.</x:v>
      </x:c>
      <x:c r="O497" s="14" t="str"/>
      <x:c r="P497" s="14" t="str">
        <x:v>Kế hoạch vốn; danh mục chi; quy trình hạch toán; báo cáo 2 năm từ 2027; Chi đúng nội dung Đ119; có chỉ số hiệu quả đầu tư và báo cáo định kỳ; Kế hoạch 2027-2030 + báo cáo 2 năm</x:v>
      </x:c>
      <x:c r="Q497" s="14" t="str">
        <x:v>Kế hoạch vốn; danh mục chi; quy trình hạch toán; báo cáo 2 năm từ 2027; Chi đúng nội dung Đ119; có chỉ số hiệu quả đầu tư và báo cáo định kỳ; Kế hoạch 2027-2030 + báo cáo 2 năm</x:v>
      </x:c>
      <x:c r="R497" s="14" t="str"/>
      <x:c r="S497" s="14" t="str">
        <x:v>Ban Kế hoạch - Đầu tư; Ban Tài chính</x:v>
      </x:c>
      <x:c r="T497" s="14" t="str">
        <x:v>Ban Tổ chức cán bộ; Ban Không lưu; Ban Kỹ thuật - CNS/IT/Môi trường</x:v>
      </x:c>
      <x:c r="U497" s="14" t="str"/>
      <x:c r="V497" s="14" t="str">
        <x:v>Bắt đầu: 01/10/2026; Hoàn thành: 31/12/2027</x:v>
      </x:c>
      <x:c r="W497" s="14" t="str">
        <x:v>P1</x:v>
      </x:c>
      <x:c r="X497" s="14" t="str"/>
      <x:c r="Y497" s="14" t="str">
        <x:v>Chưa bắt đầu</x:v>
      </x:c>
      <x:c r="Z497" s="14" t="str">
        <x:v>Định kỳ 02 năm kể từ 2027 báo cáo Bộ Xây dựng</x:v>
      </x:c>
      <x:c r="AA497" s="14" t="str"/>
      <x:c r="AB497" s="14" t="str">
        <x:v>tai chinh</x:v>
      </x:c>
    </x:row>
    <x:row r="498">
      <x:c r="A498" s="14" t="str">
        <x:v>VATM-0497</x:v>
      </x:c>
      <x:c r="B498" s="14" t="str">
        <x:v>T031</x:v>
      </x:c>
      <x:c r="C498" s="14" t="str">
        <x:v>Dự thảo Nghị định về hoạt động bay (01/07/2026)</x:v>
      </x:c>
      <x:c r="D498" s="14" t="str">
        <x:v>VATM_Ra_soat_du_thao_ND_hoat_dong_bay_01072026_NANG_CAP.xlsx</x:v>
      </x:c>
      <x:c r="E498" s="14" t="str">
        <x:v>04_Nhiem_vu</x:v>
      </x:c>
      <x:c r="F498" s="56" t="n">
        <x:v>32</x:v>
      </x:c>
      <x:c r="G498" s="14" t="str">
        <x:v>Đ107-108, PL-IV</x:v>
      </x:c>
      <x:c r="H498" s="14" t="str">
        <x:v>ANS - CNS/IT/Kỹ thuật</x:v>
      </x:c>
      <x:c r="I498" s="14" t="str">
        <x:v>CNS, trang thiết bị và bảo trì kỹ thuật</x:v>
      </x:c>
      <x:c r="J498" s="14" t="str">
        <x:v>CNS</x:v>
      </x:c>
      <x:c r="K498" s="14" t="str">
        <x:v>Trực tiếp</x:v>
      </x:c>
      <x:c r="L498" s="14" t="str">
        <x:v>Báo cáo/điều tra/khắc phục</x:v>
      </x:c>
      <x:c r="M498" s="14" t="str"/>
      <x:c r="N498" s="14" t="str">
        <x:v>Rà soát và cập nhật quy trình cung cấp dịch vụ thông tin, dẫn đường, giám sát hoạt động bay, cấp phép thiết bị và duy trì năng lực.</x:v>
      </x:c>
      <x:c r="O498" s="14" t="str"/>
      <x:c r="P498" s="14" t="str">
        <x:v>Sổ tay CNS; danh mục hệ thống; kế hoạch bảo trì/flight check; báo cáo khả dụng; Dịch vụ CNS liên tục, đúng chuẩn ICAO; sự cố/can nhiễu có xử lý và báo cáo; Toàn bộ hệ thống CNS VATM</x:v>
      </x:c>
      <x:c r="Q498" s="14" t="str">
        <x:v>Sổ tay CNS; danh mục hệ thống; kế hoạch bảo trì/flight check; báo cáo khả dụng; Dịch vụ CNS liên tục, đúng chuẩn ICAO; sự cố/can nhiễu có xử lý và báo cáo; Toàn bộ hệ thống CNS VATM</x:v>
      </x:c>
      <x:c r="R498" s="14" t="str"/>
      <x:c r="S498" s="14" t="str">
        <x:v>Ban Kỹ thuật - CNS/IT/Môi trường</x:v>
      </x:c>
      <x:c r="T498" s="14" t="str">
        <x:v>Ban Không lưu; Các Công ty Quản lý bay khu vực Bắc/Trung/Nam; Ban Kỹ thuật - CNS/IT/Môi trường</x:v>
      </x:c>
      <x:c r="U498" s="14" t="str"/>
      <x:c r="V498" s="14" t="str">
        <x:v>Bắt đầu: 01/07/2026; Hoàn thành: 30/06/2027</x:v>
      </x:c>
      <x:c r="W498" s="14" t="str">
        <x:v>P2</x:v>
      </x:c>
      <x:c r="X498" s="14" t="str"/>
      <x:c r="Y498" s="14" t="str">
        <x:v>Chưa bắt đầu</x:v>
      </x:c>
      <x:c r="Z498" s="14" t="str">
        <x:v>Liên kết BRA và an toàn thông tin</x:v>
      </x:c>
      <x:c r="AA498" s="14" t="str"/>
      <x:c r="AB498" s="14" t="str">
        <x:v>ans; cns</x:v>
      </x:c>
    </x:row>
    <x:row r="499">
      <x:c r="A499" s="14" t="str">
        <x:v>VATM-0498</x:v>
      </x:c>
      <x:c r="B499" s="14" t="str">
        <x:v>T032</x:v>
      </x:c>
      <x:c r="C499" s="14" t="str">
        <x:v>Dự thảo Nghị định về hoạt động bay (01/07/2026)</x:v>
      </x:c>
      <x:c r="D499" s="14" t="str">
        <x:v>VATM_Ra_soat_du_thao_ND_hoat_dong_bay_01072026_NANG_CAP.xlsx</x:v>
      </x:c>
      <x:c r="E499" s="14" t="str">
        <x:v>04_Nhiem_vu</x:v>
      </x:c>
      <x:c r="F499" s="56" t="n">
        <x:v>33</x:v>
      </x:c>
      <x:c r="G499" s="14" t="str">
        <x:v>Đ124-125, Đ94, Đ111</x:v>
      </x:c>
      <x:c r="H499" s="14" t="str">
        <x:v>ANS - CNS/IT/Kỹ thuật</x:v>
      </x:c>
      <x:c r="I499" s="14" t="str">
        <x:v>CNS, trang thiết bị và bảo trì kỹ thuật</x:v>
      </x:c>
      <x:c r="J499" s="14" t="str">
        <x:v>CNS/CNTT</x:v>
      </x:c>
      <x:c r="K499" s="14" t="str">
        <x:v>Trực tiếp</x:v>
      </x:c>
      <x:c r="L499" s="14" t="str">
        <x:v>Dữ liệu/số hóa</x:v>
      </x:c>
      <x:c r="M499" s="14" t="str"/>
      <x:c r="N499" s="14" t="str">
        <x:v>Thiết kế kiến trúc chia sẻ dữ liệu giám sát, kế hoạch bay, AIM/eTOD với phân quyền, dự phòng, an ninh mạng.</x:v>
      </x:c>
      <x:c r="O499" s="14" t="str"/>
      <x:c r="P499" s="14" t="str">
        <x:v>Kiến trúc dữ liệu; quy chế phân quyền; phương án dự phòng; kiểm thử an ninh; Kết nối an toàn, đúng mục đích, có phân quyền và kiểm tra định kỳ; 01 kiến trúc tích hợp + pilot</x:v>
      </x:c>
      <x:c r="Q499" s="14" t="str">
        <x:v>Kiến trúc dữ liệu; quy chế phân quyền; phương án dự phòng; kiểm thử an ninh; Kết nối an toàn, đúng mục đích, có phân quyền và kiểm tra định kỳ; 01 kiến trúc tích hợp + pilot</x:v>
      </x:c>
      <x:c r="R499" s="14" t="str"/>
      <x:c r="S499" s="14" t="str">
        <x:v>Ban Kỹ thuật - CNS/IT/Môi trường; Ban Kế hoạch doanh nghiệp - Chuyển đổi số</x:v>
      </x:c>
      <x:c r="T499" s="14" t="str">
        <x:v>Các Công ty Quản lý bay khu vực Bắc/Trung/Nam; Trung tâm Thông báo tin tức hàng không; Trung tâm Quản lý luồng không lưu; Ban Kỹ thuật - CNS/IT/Môi trường</x:v>
      </x:c>
      <x:c r="U499" s="14" t="str"/>
      <x:c r="V499" s="14" t="str">
        <x:v>Bắt đầu: 01/09/2026; Hoàn thành: 31/12/2027</x:v>
      </x:c>
      <x:c r="W499" s="14" t="str">
        <x:v>P1</x:v>
      </x:c>
      <x:c r="X499" s="14" t="str"/>
      <x:c r="Y499" s="14" t="str">
        <x:v>Chưa bắt đầu</x:v>
      </x:c>
      <x:c r="Z499" s="14" t="str">
        <x:v>Điều 125 yêu cầu rõ phạm vi dữ liệu và trách nhiệm quản lý</x:v>
      </x:c>
      <x:c r="AA499" s="14" t="str"/>
      <x:c r="AB499" s="14" t="str">
        <x:v>ans; cns; aim; an ninh; du lieu</x:v>
      </x:c>
    </x:row>
    <x:row r="500">
      <x:c r="A500" s="14" t="str">
        <x:v>VATM-0499</x:v>
      </x:c>
      <x:c r="B500" s="14" t="str">
        <x:v>T033</x:v>
      </x:c>
      <x:c r="C500" s="14" t="str">
        <x:v>Dự thảo Nghị định về hoạt động bay (01/07/2026)</x:v>
      </x:c>
      <x:c r="D500" s="14" t="str">
        <x:v>VATM_Ra_soat_du_thao_ND_hoat_dong_bay_01072026_NANG_CAP.xlsx</x:v>
      </x:c>
      <x:c r="E500" s="14" t="str">
        <x:v>04_Nhiem_vu</x:v>
      </x:c>
      <x:c r="F500" s="56" t="n">
        <x:v>34</x:v>
      </x:c>
      <x:c r="G500" s="14" t="str">
        <x:v>Đ109-110</x:v>
      </x:c>
      <x:c r="H500" s="14" t="str">
        <x:v>ANS - MET/Khí tượng hàng không</x:v>
      </x:c>
      <x:c r="I500" s="14" t="str">
        <x:v>Quan trắc, dự báo và cảnh báo MET</x:v>
      </x:c>
      <x:c r="J500" s="14" t="str">
        <x:v>MET</x:v>
      </x:c>
      <x:c r="K500" s="14" t="str">
        <x:v>Trực tiếp</x:v>
      </x:c>
      <x:c r="L500" s="14" t="str">
        <x:v>Quy trình/SOP/biểu mẫu</x:v>
      </x:c>
      <x:c r="M500" s="14" t="str"/>
      <x:c r="N500" s="14" t="str">
        <x:v>Rà soát danh mục sản phẩm khí tượng hàng không cơ bản và dịch vụ theo yêu cầu; cập nhật SLA với ATS, SAR, người khai thác cảng/hãng.</x:v>
      </x:c>
      <x:c r="O500" s="14" t="str"/>
      <x:c r="P500" s="14" t="str">
        <x:v>Danh mục sản phẩm MET; SLA; quy trình cảnh báo/tư vấn; hồ sơ thiết bị; Sản phẩm đúng ICAO, đúng thời hạn; cảnh báo/tư vấn được truyền kịp thời tới người dùng; Toàn bộ sân bay/cơ sở MET VATM</x:v>
      </x:c>
      <x:c r="Q500" s="14" t="str">
        <x:v>Danh mục sản phẩm MET; SLA; quy trình cảnh báo/tư vấn; hồ sơ thiết bị; Sản phẩm đúng ICAO, đúng thời hạn; cảnh báo/tư vấn được truyền kịp thời tới người dùng; Toàn bộ sân bay/cơ sở MET VATM</x:v>
      </x:c>
      <x:c r="R500" s="14" t="str"/>
      <x:c r="S500" s="14" t="str">
        <x:v>Trung tâm Khí tượng hàng không</x:v>
      </x:c>
      <x:c r="T500" s="14" t="str">
        <x:v>Các Công ty Quản lý bay khu vực Bắc/Trung/Nam; Ban Không lưu; Trung tâm Tìm kiếm cứu nạn hàng không; Trung tâm Khí tượng hàng không</x:v>
      </x:c>
      <x:c r="U500" s="14" t="str"/>
      <x:c r="V500" s="14" t="str">
        <x:v>Bắt đầu: 01/07/2026; Hoàn thành: 31/12/2026</x:v>
      </x:c>
      <x:c r="W500" s="14" t="str">
        <x:v>P2</x:v>
      </x:c>
      <x:c r="X500" s="14" t="str"/>
      <x:c r="Y500" s="14" t="str">
        <x:v>Chưa bắt đầu</x:v>
      </x:c>
      <x:c r="Z500" s="14" t="str">
        <x:v>Đ109.3 liên quan nguồn dữ liệu KTTV</x:v>
      </x:c>
      <x:c r="AA500" s="14" t="str"/>
      <x:c r="AB500" s="14" t="str">
        <x:v>ans; met; ats; sar; cang</x:v>
      </x:c>
    </x:row>
    <x:row r="501">
      <x:c r="A501" s="14" t="str">
        <x:v>VATM-0500</x:v>
      </x:c>
      <x:c r="B501" s="14" t="str">
        <x:v>T034</x:v>
      </x:c>
      <x:c r="C501" s="14" t="str">
        <x:v>Dự thảo Nghị định về hoạt động bay (01/07/2026)</x:v>
      </x:c>
      <x:c r="D501" s="14" t="str">
        <x:v>VATM_Ra_soat_du_thao_ND_hoat_dong_bay_01072026_NANG_CAP.xlsx</x:v>
      </x:c>
      <x:c r="E501" s="14" t="str">
        <x:v>04_Nhiem_vu</x:v>
      </x:c>
      <x:c r="F501" s="56" t="n">
        <x:v>35</x:v>
      </x:c>
      <x:c r="G501" s="14" t="str">
        <x:v>Đ126-131</x:v>
      </x:c>
      <x:c r="H501" s="14" t="str">
        <x:v>ANS - Tìm kiếm cứu nạn &amp; khẩn nguy</x:v>
      </x:c>
      <x:c r="I501" s="14" t="str">
        <x:v>SAR, khẩn nguy và hiệp đồng</x:v>
      </x:c>
      <x:c r="J501" s="14" t="str">
        <x:v>SAR</x:v>
      </x:c>
      <x:c r="K501" s="14" t="str">
        <x:v>Trực tiếp</x:v>
      </x:c>
      <x:c r="L501" s="14" t="str">
        <x:v>Quy trình/SOP/biểu mẫu</x:v>
      </x:c>
      <x:c r="M501" s="14" t="str"/>
      <x:c r="N501" s="14" t="str">
        <x:v>Cập nhật kế hoạch tìm kiếm cứu nạn hàng không, vai trò đầu mối phối hợp và chủ trì xác định khu vực ưu tiên tìm kiếm.</x:v>
      </x:c>
      <x:c r="O501" s="14" t="str"/>
      <x:c r="P501" s="14" t="str">
        <x:v>Kế hoạch SAR; SOP xác định khu vực ưu tiên; danh bạ phối hợp; log trực; Trực SAR 24/7; khu vực ưu tiên có cơ sở tính toán; phối hợp kịp thời; 01 kế hoạch toàn quốc + kế hoạch khu vực</x:v>
      </x:c>
      <x:c r="Q501" s="14" t="str">
        <x:v>Kế hoạch SAR; SOP xác định khu vực ưu tiên; danh bạ phối hợp; log trực; Trực SAR 24/7; khu vực ưu tiên có cơ sở tính toán; phối hợp kịp thời; 01 kế hoạch toàn quốc + kế hoạch khu vực</x:v>
      </x:c>
      <x:c r="R501" s="14" t="str"/>
      <x:c r="S501" s="14" t="str">
        <x:v>Trung tâm Tìm kiếm cứu nạn hàng không</x:v>
      </x:c>
      <x:c r="T501" s="14" t="str">
        <x:v>Các Công ty Quản lý bay khu vực Bắc/Trung/Nam; Trung tâm Tìm kiếm cứu nạn hàng không</x:v>
      </x:c>
      <x:c r="U501" s="14" t="str"/>
      <x:c r="V501" s="14" t="str">
        <x:v>Bắt đầu: 01/07/2026; Hoàn thành: 31/12/2026</x:v>
      </x:c>
      <x:c r="W501" s="14" t="str">
        <x:v>P1</x:v>
      </x:c>
      <x:c r="X501" s="14" t="str"/>
      <x:c r="Y501" s="14" t="str">
        <x:v>Chưa bắt đầu</x:v>
      </x:c>
      <x:c r="Z501" s="14" t="str">
        <x:v>Đ127-128 xác định rõ vai trò cơ sở SAR của doanh nghiệp BĐHĐB</x:v>
      </x:c>
      <x:c r="AA501" s="14" t="str"/>
      <x:c r="AB501" s="14" t="str">
        <x:v>ans; sar</x:v>
      </x:c>
    </x:row>
    <x:row r="502">
      <x:c r="A502" s="14" t="str">
        <x:v>VATM-0501</x:v>
      </x:c>
      <x:c r="B502" s="14" t="str">
        <x:v>T035</x:v>
      </x:c>
      <x:c r="C502" s="14" t="str">
        <x:v>Dự thảo Nghị định về hoạt động bay (01/07/2026)</x:v>
      </x:c>
      <x:c r="D502" s="14" t="str">
        <x:v>VATM_Ra_soat_du_thao_ND_hoat_dong_bay_01072026_NANG_CAP.xlsx</x:v>
      </x:c>
      <x:c r="E502" s="14" t="str">
        <x:v>04_Nhiem_vu</x:v>
      </x:c>
      <x:c r="F502" s="56" t="n">
        <x:v>36</x:v>
      </x:c>
      <x:c r="G502" s="14" t="str">
        <x:v>Đ131</x:v>
      </x:c>
      <x:c r="H502" s="14" t="str">
        <x:v>ANS - Tìm kiếm cứu nạn &amp; khẩn nguy</x:v>
      </x:c>
      <x:c r="I502" s="14" t="str">
        <x:v>SAR, khẩn nguy và hiệp đồng</x:v>
      </x:c>
      <x:c r="J502" s="14" t="str">
        <x:v>SAR/diễn tập</x:v>
      </x:c>
      <x:c r="K502" s="14" t="str">
        <x:v>Trực tiếp</x:v>
      </x:c>
      <x:c r="L502" s="14" t="str">
        <x:v>Khai thác/cung cấp dịch vụ ANS</x:v>
      </x:c>
      <x:c r="M502" s="14" t="str"/>
      <x:c r="N502" s="14" t="str">
        <x:v>Lập kế hoạch tham gia diễn tập TKCN hàng không cấp quốc gia tối thiểu hai năm một lần, kết hợp diễn tập bàn cấp VATM hằng năm.</x:v>
      </x:c>
      <x:c r="O502" s="14" t="str"/>
      <x:c r="P502" s="14" t="str">
        <x:v>Kịch bản diễn tập; kế hoạch lực lượng; biên bản rút kinh nghiệm; Tối thiểu 01 diễn tập quốc gia/2 năm; 01 diễn tập bàn VATM/năm; Theo chu kỳ 2027, 2029...</x:v>
      </x:c>
      <x:c r="Q502" s="14" t="str">
        <x:v>Kịch bản diễn tập; kế hoạch lực lượng; biên bản rút kinh nghiệm; Tối thiểu 01 diễn tập quốc gia/2 năm; 01 diễn tập bàn VATM/năm; Theo chu kỳ 2027, 2029...</x:v>
      </x:c>
      <x:c r="R502" s="14" t="str"/>
      <x:c r="S502" s="14" t="str">
        <x:v>Trung tâm Tìm kiếm cứu nạn hàng không; Ban An toàn - Chất lượng</x:v>
      </x:c>
      <x:c r="T502" s="14" t="str">
        <x:v>Các Công ty Quản lý bay khu vực Bắc/Trung/Nam; Trung tâm Tìm kiếm cứu nạn hàng không</x:v>
      </x:c>
      <x:c r="U502" s="14" t="str"/>
      <x:c r="V502" s="14" t="str">
        <x:v>Bắt đầu: 01/10/2026; Hoàn thành: 31/12/2027</x:v>
      </x:c>
      <x:c r="W502" s="14" t="str">
        <x:v>P2</x:v>
      </x:c>
      <x:c r="X502" s="14" t="str"/>
      <x:c r="Y502" s="14" t="str">
        <x:v>Chưa bắt đầu</x:v>
      </x:c>
      <x:c r="Z502" s="14" t="str">
        <x:v>Gắn với kế hoạch quốc gia do Cục HKVN chủ trì</x:v>
      </x:c>
      <x:c r="AA502" s="14" t="str"/>
      <x:c r="AB502" s="14" t="str">
        <x:v>ans; sar; atm; an toan</x:v>
      </x:c>
    </x:row>
    <x:row r="503">
      <x:c r="A503" s="14" t="str">
        <x:v>VATM-0502</x:v>
      </x:c>
      <x:c r="B503" s="14" t="str">
        <x:v>T036</x:v>
      </x:c>
      <x:c r="C503" s="14" t="str">
        <x:v>Dự thảo Nghị định về hoạt động bay (01/07/2026)</x:v>
      </x:c>
      <x:c r="D503" s="14" t="str">
        <x:v>VATM_Ra_soat_du_thao_ND_hoat_dong_bay_01072026_NANG_CAP.xlsx</x:v>
      </x:c>
      <x:c r="E503" s="14" t="str">
        <x:v>04_Nhiem_vu</x:v>
      </x:c>
      <x:c r="F503" s="56" t="n">
        <x:v>37</x:v>
      </x:c>
      <x:c r="G503" s="14" t="str">
        <x:v>Toàn bộ</x:v>
      </x:c>
      <x:c r="H503" s="14" t="str">
        <x:v>ANS - ATM/ATS/ATFM</x:v>
      </x:c>
      <x:c r="I503" s="14" t="str">
        <x:v>Cung cấp ATS/điều hành bay</x:v>
      </x:c>
      <x:c r="J503" s="14" t="str">
        <x:v>Đào tạo/phổ biến</x:v>
      </x:c>
      <x:c r="K503" s="14" t="str">
        <x:v>Trực tiếp</x:v>
      </x:c>
      <x:c r="L503" s="14" t="str">
        <x:v>Quy trình/SOP/biểu mẫu</x:v>
      </x:c>
      <x:c r="M503" s="14" t="str"/>
      <x:c r="N503" s="14" t="str">
        <x:v>Thiết kế chương trình đào tạo chuyển đổi Nghị định cho lãnh đạo trực, KSVKL, AIS/AIM, CNS, MET, SAR, PANS-OPS, tài chính.</x:v>
      </x:c>
      <x:c r="O503" s="14" t="str"/>
      <x:c r="P503" s="14" t="str">
        <x:v>Chương trình đào tạo; tài liệu tóm tắt theo vai trò; bài kiểm tra; 100% nhân sự trọng yếu hoàn thành đào tạo trước khi áp dụng SOP mới; Tối thiểu 08 module theo nhóm nghiệp vụ</x:v>
      </x:c>
      <x:c r="Q503" s="14" t="str">
        <x:v>Chương trình đào tạo; tài liệu tóm tắt theo vai trò; bài kiểm tra; 100% nhân sự trọng yếu hoàn thành đào tạo trước khi áp dụng SOP mới; Tối thiểu 08 module theo nhóm nghiệp vụ</x:v>
      </x:c>
      <x:c r="R503" s="14" t="str"/>
      <x:c r="S503" s="14" t="str">
        <x:v>Ban Không lưu; Văn phòng - Pháp chế; Trung tâm Huấn luyện đào tạo</x:v>
      </x:c>
      <x:c r="T503" s="14" t="str">
        <x:v>Các Công ty Quản lý bay khu vực Bắc/Trung/Nam; Ban Không lưu</x:v>
      </x:c>
      <x:c r="U503" s="14" t="str"/>
      <x:c r="V503" s="14" t="str">
        <x:v>Bắt đầu: 20/06/2026; Hoàn thành: 31/12/2026</x:v>
      </x:c>
      <x:c r="W503" s="14" t="str">
        <x:v>P1</x:v>
      </x:c>
      <x:c r="X503" s="14" t="str"/>
      <x:c r="Y503" s="14" t="str">
        <x:v>Chưa bắt đầu</x:v>
      </x:c>
      <x:c r="Z503" s="14" t="str">
        <x:v>Ưu tiên module cấp phép/FPL, ATS, AIM, chướng ngại, SAR</x:v>
      </x:c>
      <x:c r="AA503" s="14" t="str"/>
      <x:c r="AB503" s="14" t="str">
        <x:v>ans; atm; ats; atfm; cns; ais; aim; met; sar; tai chinh; huan luyen; phap che</x:v>
      </x:c>
    </x:row>
    <x:row r="504">
      <x:c r="A504" s="14" t="str">
        <x:v>VATM-0503</x:v>
      </x:c>
      <x:c r="B504" s="14" t="str">
        <x:v>T037</x:v>
      </x:c>
      <x:c r="C504" s="14" t="str">
        <x:v>Dự thảo Nghị định về hoạt động bay (01/07/2026)</x:v>
      </x:c>
      <x:c r="D504" s="14" t="str">
        <x:v>VATM_Ra_soat_du_thao_ND_hoat_dong_bay_01072026_NANG_CAP.xlsx</x:v>
      </x:c>
      <x:c r="E504" s="14" t="str">
        <x:v>04_Nhiem_vu</x:v>
      </x:c>
      <x:c r="F504" s="56" t="n">
        <x:v>38</x:v>
      </x:c>
      <x:c r="G504" s="14" t="str">
        <x:v>Đ15, Đ23, Đ114, Đ124</x:v>
      </x:c>
      <x:c r="H504" s="14" t="str">
        <x:v>ANS - ATM/ATS/ATFM</x:v>
      </x:c>
      <x:c r="I504" s="14" t="str">
        <x:v>Cung cấp ATS/điều hành bay</x:v>
      </x:c>
      <x:c r="J504" s="14" t="str">
        <x:v>Truyền thông/đối ngoại</x:v>
      </x:c>
      <x:c r="K504" s="14" t="str">
        <x:v>Trực tiếp</x:v>
      </x:c>
      <x:c r="L504" s="14" t="str">
        <x:v>Dữ liệu/số hóa</x:v>
      </x:c>
      <x:c r="M504" s="14" t="str"/>
      <x:c r="N504" s="14" t="str">
        <x:v>Công bố đầu mối, phương thức tiếp nhận hồ sơ/dữ liệu và kênh phối hợp cho các bên liên quan.</x:v>
      </x:c>
      <x:c r="O504" s="14" t="str"/>
      <x:c r="P504" s="14" t="str">
        <x:v>Danh bạ đầu mối; hướng dẫn gửi dữ liệu/hồ sơ; thông báo tới đối tác; Đầu mối rõ, hoạt động 24/7 nếu liên quan khai thác; giảm nhầm lẫn thẩm quyền; 01 gói truyền thông đối tác</x:v>
      </x:c>
      <x:c r="Q504" s="14" t="str">
        <x:v>Danh bạ đầu mối; hướng dẫn gửi dữ liệu/hồ sơ; thông báo tới đối tác; Đầu mối rõ, hoạt động 24/7 nếu liên quan khai thác; giảm nhầm lẫn thẩm quyền; 01 gói truyền thông đối tác</x:v>
      </x:c>
      <x:c r="R504" s="14" t="str"/>
      <x:c r="S504" s="14" t="str">
        <x:v>Ban Không lưu; Văn phòng - Pháp chế</x:v>
      </x:c>
      <x:c r="T504" s="14" t="str">
        <x:v>Các Công ty Quản lý bay khu vực Bắc/Trung/Nam; Ban Tài chính; Trung tâm Thông báo tin tức hàng không; Trung tâm Quản lý luồng không lưu; Ban Không lưu</x:v>
      </x:c>
      <x:c r="U504" s="14" t="str"/>
      <x:c r="V504" s="14" t="str">
        <x:v>Bắt đầu: 01/07/2026; Hoàn thành: 30/09/2026</x:v>
      </x:c>
      <x:c r="W504" s="14" t="str">
        <x:v>P2</x:v>
      </x:c>
      <x:c r="X504" s="14" t="str"/>
      <x:c r="Y504" s="14" t="str">
        <x:v>Chưa bắt đầu</x:v>
      </x:c>
      <x:c r="Z504" s="14" t="str">
        <x:v>Đồng bộ địa chỉ trong phụ lục/mẫu biểu</x:v>
      </x:c>
      <x:c r="AA504" s="14" t="str"/>
      <x:c r="AB504" s="14" t="str">
        <x:v>ans; atm; ats; atfm; du lieu; phap che</x:v>
      </x:c>
    </x:row>
    <x:row r="505">
      <x:c r="A505" s="14" t="str">
        <x:v>VATM-0504</x:v>
      </x:c>
      <x:c r="B505" s="14" t="str">
        <x:v>T038</x:v>
      </x:c>
      <x:c r="C505" s="14" t="str">
        <x:v>Dự thảo Nghị định về hoạt động bay (01/07/2026)</x:v>
      </x:c>
      <x:c r="D505" s="14" t="str">
        <x:v>VATM_Ra_soat_du_thao_ND_hoat_dong_bay_01072026_NANG_CAP.xlsx</x:v>
      </x:c>
      <x:c r="E505" s="14" t="str">
        <x:v>04_Nhiem_vu</x:v>
      </x:c>
      <x:c r="F505" s="56" t="n">
        <x:v>39</x:v>
      </x:c>
      <x:c r="G505" s="14" t="str">
        <x:v>Toàn bộ</x:v>
      </x:c>
      <x:c r="H505" s="14" t="str">
        <x:v>ANS - ATM/ATS/ATFM</x:v>
      </x:c>
      <x:c r="I505" s="14" t="str">
        <x:v>Cung cấp ATS/điều hành bay</x:v>
      </x:c>
      <x:c r="J505" s="14" t="str">
        <x:v>Kiểm tra/giám sát</x:v>
      </x:c>
      <x:c r="K505" s="14" t="str">
        <x:v>Trực tiếp</x:v>
      </x:c>
      <x:c r="L505" s="14" t="str">
        <x:v>Báo cáo/điều tra/khắc phục</x:v>
      </x:c>
      <x:c r="M505" s="14" t="str"/>
      <x:c r="N505" s="14" t="str">
        <x:v>Thiết lập cơ chế giám sát thực hiện theo tháng/quý, dashboard tiến độ và báo cáo Tổng giám đốc.</x:v>
      </x:c>
      <x:c r="O505" s="14" t="str"/>
      <x:c r="P505" s="14" t="str">
        <x:v>Dashboard tiến độ; báo cáo tháng/quý; danh mục rủi ro; 100% nhiệm vụ P1 có chủ trì, mốc, sản phẩm và trạng thái; xử lý vướng mắc đúng cấp; 01 dashboard + báo cáo định kỳ</x:v>
      </x:c>
      <x:c r="Q505" s="14" t="str">
        <x:v>Dashboard tiến độ; báo cáo tháng/quý; danh mục rủi ro; 100% nhiệm vụ P1 có chủ trì, mốc, sản phẩm và trạng thái; xử lý vướng mắc đúng cấp; 01 dashboard + báo cáo định kỳ</x:v>
      </x:c>
      <x:c r="R505" s="14" t="str"/>
      <x:c r="S505" s="14" t="str">
        <x:v>Ban Không lưu; Văn phòng - Pháp chế; Ban An toàn - Chất lượng</x:v>
      </x:c>
      <x:c r="T505" s="14" t="str">
        <x:v>Các Công ty Quản lý bay khu vực Bắc/Trung/Nam; Ban Không lưu</x:v>
      </x:c>
      <x:c r="U505" s="14" t="str"/>
      <x:c r="V505" s="14" t="str">
        <x:v>Bắt đầu: 01/07/2026; Hoàn thành: 30/06/2028</x:v>
      </x:c>
      <x:c r="W505" s="14" t="str">
        <x:v>P1</x:v>
      </x:c>
      <x:c r="X505" s="14" t="str"/>
      <x:c r="Y505" s="14" t="str">
        <x:v>Chưa bắt đầu</x:v>
      </x:c>
      <x:c r="Z505" s="14" t="str">
        <x:v>Liên tục đến hết giai đoạn chuyển tiếp 24 tháng</x:v>
      </x:c>
      <x:c r="AA505" s="14" t="str"/>
      <x:c r="AB505" s="14" t="str">
        <x:v>ans; atm; ats; atfm; an toan; phap che</x:v>
      </x:c>
    </x:row>
    <x:row r="506">
      <x:c r="A506" s="14" t="str">
        <x:v>VATM-0505</x:v>
      </x:c>
      <x:c r="B506" s="14" t="str">
        <x:v>T-01</x:v>
      </x:c>
      <x:c r="C506" s="14" t="str">
        <x:v>Dự thảo Nghị định về Nhà chức trách HKVN &amp; quản lý an toàn HK (01/07/2026)</x:v>
      </x:c>
      <x:c r="D506" s="14" t="str">
        <x:v>VATM_Ra_soat_du_thao_ND_Nha_chuc_trach_QLAT_01072026.xlsx</x:v>
      </x:c>
      <x:c r="E506" s="14" t="str">
        <x:v>Nhiem_vu_VATM</x:v>
      </x:c>
      <x:c r="F506" s="56" t="n">
        <x:v>2</x:v>
      </x:c>
      <x:c r="G506" s="14" t="str">
        <x:v>Điều 84-85</x:v>
      </x:c>
      <x:c r="H506" s="14" t="str">
        <x:v>Tuân thủ, pháp chế &amp; quản trị</x:v>
      </x:c>
      <x:c r="I506" s="14" t="str">
        <x:v>Quản trị triển khai, RACI và báo cáo</x:v>
      </x:c>
      <x:c r="J506" s="14" t="str">
        <x:v>Quản trị triển khai</x:v>
      </x:c>
      <x:c r="K506" s="14" t="str">
        <x:v>Trực tiếp</x:v>
      </x:c>
      <x:c r="L506" s="14" t="str">
        <x:v>Tuân thủ/quản trị</x:v>
      </x:c>
      <x:c r="M506" s="14" t="str"/>
      <x:c r="N506" s="14" t="str">
        <x:v>Thành lập Ban triển khai NĐ NCTHK &amp; quản lý an toàn, có đại diện Pháp chế, An toàn-Chất lượng, ATS/CNS/MET/AIS/SAR, Nhân sự, Đào tạo, CNTT, Tài chính.</x:v>
      </x:c>
      <x:c r="O506" s="14" t="str"/>
      <x:c r="P506" s="14" t="str">
        <x:v>Quyết định thành lập, RACI, lịch họp, dashboard tiến độ; 01 đầu mối cấp Tổng công ty; họp ít nhất 2 tuần/lần giai đoạn 01/07-30/09/2026</x:v>
      </x:c>
      <x:c r="Q506" s="14" t="str">
        <x:v>Quyết định thành lập, RACI, lịch họp, dashboard tiến độ; 01 đầu mối cấp Tổng công ty; họp ít nhất 2 tuần/lần giai đoạn 01/07-30/09/2026</x:v>
      </x:c>
      <x:c r="R506" s="14" t="str"/>
      <x:c r="S506" s="14" t="str">
        <x:v>Văn phòng - Pháp chế; Ban Không lưu</x:v>
      </x:c>
      <x:c r="T506" s="14" t="str">
        <x:v>Văn phòng - Pháp chế</x:v>
      </x:c>
      <x:c r="U506" s="14" t="str"/>
      <x:c r="V506" s="14" t="str">
        <x:v>01/07/2026</x:v>
      </x:c>
      <x:c r="W506" s="14" t="str">
        <x:v>P1</x:v>
      </x:c>
      <x:c r="X506" s="14" t="str"/>
      <x:c r="Y506" s="14" t="str">
        <x:v>Chưa bắt đầu</x:v>
      </x:c>
      <x:c r="Z506" s="14" t="str">
        <x:v>Điểm khởi động bắt buộc</x:v>
      </x:c>
      <x:c r="AA506" s="14" t="str"/>
      <x:c r="AB506" s="14" t="str">
        <x:v>phap che; ats; cns; ais; met; sar; an toan; tai chinh</x:v>
      </x:c>
    </x:row>
    <x:row r="507">
      <x:c r="A507" s="14" t="str">
        <x:v>VATM-0506</x:v>
      </x:c>
      <x:c r="B507" s="14" t="str">
        <x:v>T-02</x:v>
      </x:c>
      <x:c r="C507" s="14" t="str">
        <x:v>Dự thảo Nghị định về Nhà chức trách HKVN &amp; quản lý an toàn HK (01/07/2026)</x:v>
      </x:c>
      <x:c r="D507" s="14" t="str">
        <x:v>VATM_Ra_soat_du_thao_ND_Nha_chuc_trach_QLAT_01072026.xlsx</x:v>
      </x:c>
      <x:c r="E507" s="14" t="str">
        <x:v>Nhiem_vu_VATM</x:v>
      </x:c>
      <x:c r="F507" s="56" t="n">
        <x:v>3</x:v>
      </x:c>
      <x:c r="G507" s="14" t="str">
        <x:v>Điều 1,84</x:v>
      </x:c>
      <x:c r="H507" s="14" t="str">
        <x:v>Tuân thủ, pháp chế &amp; quản trị</x:v>
      </x:c>
      <x:c r="I507" s="14" t="str">
        <x:v>Quản trị triển khai, RACI và báo cáo</x:v>
      </x:c>
      <x:c r="J507" s="14" t="str">
        <x:v>Quản trị triển khai</x:v>
      </x:c>
      <x:c r="K507" s="14" t="str">
        <x:v>Trực tiếp</x:v>
      </x:c>
      <x:c r="L507" s="14" t="str">
        <x:v>Báo cáo/điều tra/khắc phục</x:v>
      </x:c>
      <x:c r="M507" s="14" t="str"/>
      <x:c r="N507" s="14" t="str">
        <x:v>Ban hành báo cáo GAP pháp lý giữa dự thảo và quy định hiện hành, có danh mục tài liệu VATM cần sửa đổi.</x:v>
      </x:c>
      <x:c r="O507" s="14" t="str"/>
      <x:c r="P507" s="14" t="str">
        <x:v>Báo cáo GAP; danh mục văn bản nội bộ sửa đổi/ban hành mới; Bao phủ 100% điều/phụ lục liên quan trực tiếp/gián tiếp</x:v>
      </x:c>
      <x:c r="Q507" s="14" t="str">
        <x:v>Báo cáo GAP; danh mục văn bản nội bộ sửa đổi/ban hành mới; Bao phủ 100% điều/phụ lục liên quan trực tiếp/gián tiếp</x:v>
      </x:c>
      <x:c r="R507" s="14" t="str"/>
      <x:c r="S507" s="14" t="str">
        <x:v>Văn phòng - Pháp chế</x:v>
      </x:c>
      <x:c r="T507" s="14" t="str">
        <x:v>Ban An toàn - Chất lượng; Văn phòng - Pháp chế</x:v>
      </x:c>
      <x:c r="U507" s="14" t="str"/>
      <x:c r="V507" s="14" t="str">
        <x:v>30/07/2026</x:v>
      </x:c>
      <x:c r="W507" s="14" t="str">
        <x:v>P1</x:v>
      </x:c>
      <x:c r="X507" s="14" t="str"/>
      <x:c r="Y507" s="14" t="str">
        <x:v>Chưa bắt đầu</x:v>
      </x:c>
      <x:c r="Z507" s="14" t="str">
        <x:v>Dựa trên file này</x:v>
      </x:c>
      <x:c r="AA507" s="14" t="str"/>
      <x:c r="AB507" s="14" t="str">
        <x:v>phap che; atm</x:v>
      </x:c>
    </x:row>
    <x:row r="508">
      <x:c r="A508" s="14" t="str">
        <x:v>VATM-0507</x:v>
      </x:c>
      <x:c r="B508" s="14" t="str">
        <x:v>T-03</x:v>
      </x:c>
      <x:c r="C508" s="14" t="str">
        <x:v>Dự thảo Nghị định về Nhà chức trách HKVN &amp; quản lý an toàn HK (01/07/2026)</x:v>
      </x:c>
      <x:c r="D508" s="14" t="str">
        <x:v>VATM_Ra_soat_du_thao_ND_Nha_chuc_trach_QLAT_01072026.xlsx</x:v>
      </x:c>
      <x:c r="E508" s="14" t="str">
        <x:v>Nhiem_vu_VATM</x:v>
      </x:c>
      <x:c r="F508" s="56" t="n">
        <x:v>4</x:v>
      </x:c>
      <x:c r="G508" s="14" t="str">
        <x:v>Điều 7-11</x:v>
      </x:c>
      <x:c r="H508" s="14" t="str">
        <x:v>Tuân thủ, pháp chế &amp; quản trị</x:v>
      </x:c>
      <x:c r="I508" s="14" t="str">
        <x:v>Quản trị triển khai, RACI và báo cáo</x:v>
      </x:c>
      <x:c r="J508" s="14" t="str">
        <x:v>Quản trị triển khai</x:v>
      </x:c>
      <x:c r="K508" s="14" t="str">
        <x:v>Trực tiếp</x:v>
      </x:c>
      <x:c r="L508" s="14" t="str">
        <x:v>Quy trình/SOP/biểu mẫu</x:v>
      </x:c>
      <x:c r="M508" s="14" t="str"/>
      <x:c r="N508" s="14" t="str">
        <x:v>Lập cơ chế theo dõi văn bản/chỉ dẫn kỹ thuật/chỉ lệnh/miễn trừ của NCTHK và phân công xử lý trong VATM.</x:v>
      </x:c>
      <x:c r="O508" s="14" t="str"/>
      <x:c r="P508" s="14" t="str">
        <x:v>Sổ theo dõi pháp chế; quy trình cập nhật yêu cầu NCTHK; Cập nhật trong 03 ngày làm việc từ khi nhận văn bản/chỉ lệnh</x:v>
      </x:c>
      <x:c r="Q508" s="14" t="str">
        <x:v>Sổ theo dõi pháp chế; quy trình cập nhật yêu cầu NCTHK; Cập nhật trong 03 ngày làm việc từ khi nhận văn bản/chỉ lệnh</x:v>
      </x:c>
      <x:c r="R508" s="14" t="str"/>
      <x:c r="S508" s="14" t="str">
        <x:v>Văn phòng - Pháp chế</x:v>
      </x:c>
      <x:c r="T508" s="14" t="str">
        <x:v>Văn phòng - Pháp chế; Ban An toàn - Chất lượng</x:v>
      </x:c>
      <x:c r="U508" s="14" t="str"/>
      <x:c r="V508" s="14" t="str">
        <x:v>30/09/2026</x:v>
      </x:c>
      <x:c r="W508" s="14" t="str">
        <x:v>P1</x:v>
      </x:c>
      <x:c r="X508" s="14" t="str"/>
      <x:c r="Y508" s="14" t="str">
        <x:v>Chưa bắt đầu</x:v>
      </x:c>
      <x:c r="Z508" s="14" t="str">
        <x:v>Liên quan audit</x:v>
      </x:c>
      <x:c r="AA508" s="14" t="str"/>
      <x:c r="AB508" s="14" t="str">
        <x:v>phap che; atm</x:v>
      </x:c>
    </x:row>
    <x:row r="509">
      <x:c r="A509" s="14" t="str">
        <x:v>VATM-0508</x:v>
      </x:c>
      <x:c r="B509" s="14" t="str">
        <x:v>T-04</x:v>
      </x:c>
      <x:c r="C509" s="14" t="str">
        <x:v>Dự thảo Nghị định về Nhà chức trách HKVN &amp; quản lý an toàn HK (01/07/2026)</x:v>
      </x:c>
      <x:c r="D509" s="14" t="str">
        <x:v>VATM_Ra_soat_du_thao_ND_Nha_chuc_trach_QLAT_01072026.xlsx</x:v>
      </x:c>
      <x:c r="E509" s="14" t="str">
        <x:v>Nhiem_vu_VATM</x:v>
      </x:c>
      <x:c r="F509" s="56" t="n">
        <x:v>5</x:v>
      </x:c>
      <x:c r="G509" s="14" t="str">
        <x:v>Điều 9-11</x:v>
      </x:c>
      <x:c r="H509" s="14" t="str">
        <x:v>Tuân thủ, pháp chế &amp; quản trị</x:v>
      </x:c>
      <x:c r="I509" s="14" t="str">
        <x:v>Quản trị triển khai, RACI và báo cáo</x:v>
      </x:c>
      <x:c r="J509" s="14" t="str">
        <x:v>Quản trị triển khai</x:v>
      </x:c>
      <x:c r="K509" s="14" t="str">
        <x:v>Trực tiếp</x:v>
      </x:c>
      <x:c r="L509" s="14" t="str">
        <x:v>Hồ sơ/phê duyệt/TTHC</x:v>
      </x:c>
      <x:c r="M509" s="14" t="str"/>
      <x:c r="N509" s="14" t="str">
        <x:v>Kiểm kê toàn bộ giấy phép, giấy chứng nhận, năng định, phê chuẩn, tài liệu khai thác thuộc VATM và đơn vị thành viên.</x:v>
      </x:c>
      <x:c r="O509" s="14" t="str"/>
      <x:c r="P509" s="14" t="str">
        <x:v>Register giấy phép/phê chuẩn; cảnh báo hết hạn; 100% giấy phép/phê chuẩn có owner, hạn hiệu lực, điều kiện duy trì</x:v>
      </x:c>
      <x:c r="Q509" s="14" t="str">
        <x:v>Register giấy phép/phê chuẩn; cảnh báo hết hạn; 100% giấy phép/phê chuẩn có owner, hạn hiệu lực, điều kiện duy trì</x:v>
      </x:c>
      <x:c r="R509" s="14" t="str"/>
      <x:c r="S509" s="14" t="str">
        <x:v>Văn phòng - Pháp chế</x:v>
      </x:c>
      <x:c r="T509" s="14" t="str">
        <x:v>Ban Không lưu; Ban Kỹ thuật - CNS/IT/Môi trường; Ban An toàn - Chất lượng; Văn phòng - Pháp chế</x:v>
      </x:c>
      <x:c r="U509" s="14" t="str"/>
      <x:c r="V509" s="14" t="str">
        <x:v>30/09/2026</x:v>
      </x:c>
      <x:c r="W509" s="14" t="str">
        <x:v>P1</x:v>
      </x:c>
      <x:c r="X509" s="14" t="str"/>
      <x:c r="Y509" s="14" t="str">
        <x:v>Chưa bắt đầu</x:v>
      </x:c>
      <x:c r="Z509" s="14" t="str">
        <x:v>Tích hợp với DMS</x:v>
      </x:c>
      <x:c r="AA509" s="14" t="str"/>
      <x:c r="AB509" s="14" t="str">
        <x:v>phap che; atm; phe chuan; giay phep</x:v>
      </x:c>
    </x:row>
    <x:row r="510">
      <x:c r="A510" s="14" t="str">
        <x:v>VATM-0509</x:v>
      </x:c>
      <x:c r="B510" s="14" t="str">
        <x:v>T-05</x:v>
      </x:c>
      <x:c r="C510" s="14" t="str">
        <x:v>Dự thảo Nghị định về Nhà chức trách HKVN &amp; quản lý an toàn HK (01/07/2026)</x:v>
      </x:c>
      <x:c r="D510" s="14" t="str">
        <x:v>VATM_Ra_soat_du_thao_ND_Nha_chuc_trach_QLAT_01072026.xlsx</x:v>
      </x:c>
      <x:c r="E510" s="14" t="str">
        <x:v>Nhiem_vu_VATM</x:v>
      </x:c>
      <x:c r="F510" s="56" t="n">
        <x:v>6</x:v>
      </x:c>
      <x:c r="G510" s="14" t="str">
        <x:v>Điều 5</x:v>
      </x:c>
      <x:c r="H510" s="14" t="str">
        <x:v>Tuân thủ, dữ liệu &amp; chuyển đổi số</x:v>
      </x:c>
      <x:c r="I510" s="14" t="str">
        <x:v>Hồ sơ điện tử, CSDL và ký số</x:v>
      </x:c>
      <x:c r="J510" s="14" t="str">
        <x:v>TTHC số</x:v>
      </x:c>
      <x:c r="K510" s="14" t="str">
        <x:v>Trực tiếp</x:v>
      </x:c>
      <x:c r="L510" s="14" t="str">
        <x:v>Dữ liệu/số hóa</x:v>
      </x:c>
      <x:c r="M510" s="14" t="str"/>
      <x:c r="N510" s="14" t="str">
        <x:v>Chuẩn hóa quy trình nộp hồ sơ trực tuyến/trực tiếp/bưu chính, theo dõi phí 03 ngày và bổ sung hồ sơ 15 ngày.</x:v>
      </x:c>
      <x:c r="O510" s="14" t="str"/>
      <x:c r="P510" s="14" t="str">
        <x:v>SOP thủ tục với Cục HKVN; mẫu checklist hồ sơ; Không hồ sơ quá hạn do chậm nộp phí/bổ sung; log 100% hồ sơ</x:v>
      </x:c>
      <x:c r="Q510" s="14" t="str">
        <x:v>SOP thủ tục với Cục HKVN; mẫu checklist hồ sơ; Không hồ sơ quá hạn do chậm nộp phí/bổ sung; log 100% hồ sơ</x:v>
      </x:c>
      <x:c r="R510" s="14" t="str"/>
      <x:c r="S510" s="14" t="str">
        <x:v>Ban Kế hoạch doanh nghiệp - Chuyển đổi số; Ban Kỹ thuật - CNS/IT/Môi trường; Văn phòng - Pháp chế</x:v>
      </x:c>
      <x:c r="T510" s="14" t="str">
        <x:v>Ban Tài chính; Văn phòng - Pháp chế</x:v>
      </x:c>
      <x:c r="U510" s="14" t="str"/>
      <x:c r="V510" s="14" t="str">
        <x:v>30/09/2026</x:v>
      </x:c>
      <x:c r="W510" s="14" t="str">
        <x:v>P1</x:v>
      </x:c>
      <x:c r="X510" s="14" t="str"/>
      <x:c r="Y510" s="14" t="str">
        <x:v>Chưa bắt đầu</x:v>
      </x:c>
      <x:c r="Z510" s="14" t="str"/>
      <x:c r="AA510" s="14" t="str"/>
      <x:c r="AB510" s="14" t="str">
        <x:v>du lieu; phap che</x:v>
      </x:c>
    </x:row>
    <x:row r="511">
      <x:c r="A511" s="14" t="str">
        <x:v>VATM-0510</x:v>
      </x:c>
      <x:c r="B511" s="14" t="str">
        <x:v>T-06</x:v>
      </x:c>
      <x:c r="C511" s="14" t="str">
        <x:v>Dự thảo Nghị định về Nhà chức trách HKVN &amp; quản lý an toàn HK (01/07/2026)</x:v>
      </x:c>
      <x:c r="D511" s="14" t="str">
        <x:v>VATM_Ra_soat_du_thao_ND_Nha_chuc_trach_QLAT_01072026.xlsx</x:v>
      </x:c>
      <x:c r="E511" s="14" t="str">
        <x:v>Nhiem_vu_VATM</x:v>
      </x:c>
      <x:c r="F511" s="56" t="n">
        <x:v>7</x:v>
      </x:c>
      <x:c r="G511" s="14" t="str">
        <x:v>Điều 6</x:v>
      </x:c>
      <x:c r="H511" s="14" t="str">
        <x:v>Tuân thủ, dữ liệu &amp; chuyển đổi số</x:v>
      </x:c>
      <x:c r="I511" s="14" t="str">
        <x:v>Hồ sơ điện tử, CSDL và ký số</x:v>
      </x:c>
      <x:c r="J511" s="14" t="str">
        <x:v>Dữ liệu số</x:v>
      </x:c>
      <x:c r="K511" s="14" t="str">
        <x:v>Trực tiếp</x:v>
      </x:c>
      <x:c r="L511" s="14" t="str">
        <x:v>Huấn luyện/nhân sự</x:v>
      </x:c>
      <x:c r="M511" s="14" t="str"/>
      <x:c r="N511" s="14" t="str">
        <x:v>Ban hành quy chế dữ liệu điện tử/chữ ký số/chữ ký điện tử nội bộ cho hồ sơ an toàn, khai thác, huấn luyện, kỹ thuật.</x:v>
      </x:c>
      <x:c r="O511" s="14" t="str"/>
      <x:c r="P511" s="14" t="str">
        <x:v>Quy chế; ma trận loại chữ ký; tiêu chuẩn lưu trữ điện tử; 100% hồ sơ gửi cơ quan quản lý dùng chữ ký số hợp lệ; hồ sơ nội bộ có xác thực/lưu vết</x:v>
      </x:c>
      <x:c r="Q511" s="14" t="str">
        <x:v>Quy chế; ma trận loại chữ ký; tiêu chuẩn lưu trữ điện tử; 100% hồ sơ gửi cơ quan quản lý dùng chữ ký số hợp lệ; hồ sơ nội bộ có xác thực/lưu vết</x:v>
      </x:c>
      <x:c r="R511" s="14" t="str"/>
      <x:c r="S511" s="14" t="str">
        <x:v>Ban Kế hoạch doanh nghiệp - Chuyển đổi số; Ban Kỹ thuật - CNS/IT/Môi trường</x:v>
      </x:c>
      <x:c r="T511" s="14" t="str">
        <x:v>Văn phòng - Pháp chế; Ban An toàn - Chất lượng</x:v>
      </x:c>
      <x:c r="U511" s="14" t="str"/>
      <x:c r="V511" s="14" t="str">
        <x:v>31/12/2026</x:v>
      </x:c>
      <x:c r="W511" s="14" t="str">
        <x:v>P1</x:v>
      </x:c>
      <x:c r="X511" s="14" t="str"/>
      <x:c r="Y511" s="14" t="str">
        <x:v>Chưa bắt đầu</x:v>
      </x:c>
      <x:c r="Z511" s="14" t="str">
        <x:v>Cần hạ tầng CA/SSO</x:v>
      </x:c>
      <x:c r="AA511" s="14" t="str"/>
      <x:c r="AB511" s="14" t="str">
        <x:v>du lieu; an toan; huan luyen; cns</x:v>
      </x:c>
    </x:row>
    <x:row r="512">
      <x:c r="A512" s="14" t="str">
        <x:v>VATM-0511</x:v>
      </x:c>
      <x:c r="B512" s="14" t="str">
        <x:v>T-07</x:v>
      </x:c>
      <x:c r="C512" s="14" t="str">
        <x:v>Dự thảo Nghị định về Nhà chức trách HKVN &amp; quản lý an toàn HK (01/07/2026)</x:v>
      </x:c>
      <x:c r="D512" s="14" t="str">
        <x:v>VATM_Ra_soat_du_thao_ND_Nha_chuc_trach_QLAT_01072026.xlsx</x:v>
      </x:c>
      <x:c r="E512" s="14" t="str">
        <x:v>Nhiem_vu_VATM</x:v>
      </x:c>
      <x:c r="F512" s="56" t="n">
        <x:v>8</x:v>
      </x:c>
      <x:c r="G512" s="14" t="str">
        <x:v>Điều 19-22</x:v>
      </x:c>
      <x:c r="H512" s="14" t="str">
        <x:v>Tuân thủ, dữ liệu &amp; chuyển đổi số</x:v>
      </x:c>
      <x:c r="I512" s="14" t="str">
        <x:v>Hồ sơ điện tử, CSDL và ký số</x:v>
      </x:c>
      <x:c r="J512" s="14" t="str">
        <x:v>Dữ liệu số</x:v>
      </x:c>
      <x:c r="K512" s="14" t="str">
        <x:v>Trực tiếp</x:v>
      </x:c>
      <x:c r="L512" s="14" t="str">
        <x:v>Báo cáo/điều tra/khắc phục</x:v>
      </x:c>
      <x:c r="M512" s="14" t="str"/>
      <x:c r="N512" s="14" t="str">
        <x:v>Lập danh mục dữ liệu VATM phải chia sẻ vào CSDL HKDD: giấy phép NVHK, hoạt động bay/điều hành bay, sự cố, đào tạo, kỹ thuật, MET/AIS/SAR.</x:v>
      </x:c>
      <x:c r="O512" s="14" t="str"/>
      <x:c r="P512" s="14" t="str">
        <x:v>Data inventory và data owner map; Mỗi tập dữ liệu có owner, tần suất cập nhật, tiêu chuẩn chất lượng, mức độ bảo mật</x:v>
      </x:c>
      <x:c r="Q512" s="14" t="str">
        <x:v>Data inventory và data owner map; Mỗi tập dữ liệu có owner, tần suất cập nhật, tiêu chuẩn chất lượng, mức độ bảo mật</x:v>
      </x:c>
      <x:c r="R512" s="14" t="str"/>
      <x:c r="S512" s="14" t="str">
        <x:v>Ban Kế hoạch doanh nghiệp - Chuyển đổi số; Ban Kỹ thuật - CNS/IT/Môi trường</x:v>
      </x:c>
      <x:c r="T512" s="14" t="str">
        <x:v>Ban Tổ chức cán bộ; Ban Không lưu; Ban Kỹ thuật - CNS/IT/Môi trường; Ban An toàn - Chất lượng; Trung tâm Khí tượng hàng không; Trung tâm Thông báo tin tức hàng không; Trung tâm Tìm kiếm cứu nạn hàng không; Văn phòng - Pháp chế</x:v>
      </x:c>
      <x:c r="U512" s="14" t="str"/>
      <x:c r="V512" s="14" t="str">
        <x:v>30/09/2026</x:v>
      </x:c>
      <x:c r="W512" s="14" t="str">
        <x:v>P1</x:v>
      </x:c>
      <x:c r="X512" s="14" t="str"/>
      <x:c r="Y512" s="14" t="str">
        <x:v>Chưa bắt đầu</x:v>
      </x:c>
      <x:c r="Z512" s="14" t="str">
        <x:v>Theo yêu cầu Cục HKVN</x:v>
      </x:c>
      <x:c r="AA512" s="14" t="str"/>
      <x:c r="AB512" s="14" t="str">
        <x:v>du lieu; atm; ais; met; sar; giay phep; cns</x:v>
      </x:c>
    </x:row>
    <x:row r="513">
      <x:c r="A513" s="14" t="str">
        <x:v>VATM-0512</x:v>
      </x:c>
      <x:c r="B513" s="14" t="str">
        <x:v>T-08</x:v>
      </x:c>
      <x:c r="C513" s="14" t="str">
        <x:v>Dự thảo Nghị định về Nhà chức trách HKVN &amp; quản lý an toàn HK (01/07/2026)</x:v>
      </x:c>
      <x:c r="D513" s="14" t="str">
        <x:v>VATM_Ra_soat_du_thao_ND_Nha_chuc_trach_QLAT_01072026.xlsx</x:v>
      </x:c>
      <x:c r="E513" s="14" t="str">
        <x:v>Nhiem_vu_VATM</x:v>
      </x:c>
      <x:c r="F513" s="56" t="n">
        <x:v>9</x:v>
      </x:c>
      <x:c r="G513" s="14" t="str">
        <x:v>Điều 20-22</x:v>
      </x:c>
      <x:c r="H513" s="14" t="str">
        <x:v>Tuân thủ, dữ liệu &amp; chuyển đổi số</x:v>
      </x:c>
      <x:c r="I513" s="14" t="str">
        <x:v>Hồ sơ điện tử, CSDL và ký số</x:v>
      </x:c>
      <x:c r="J513" s="14" t="str">
        <x:v>Dữ liệu số</x:v>
      </x:c>
      <x:c r="K513" s="14" t="str">
        <x:v>Trực tiếp</x:v>
      </x:c>
      <x:c r="L513" s="14" t="str">
        <x:v>Dữ liệu/số hóa</x:v>
      </x:c>
      <x:c r="M513" s="14" t="str"/>
      <x:c r="N513" s="14" t="str">
        <x:v>Thiết lập chuẩn kết nối, chia sẻ dữ liệu với Cục HKVN/NCTHK theo từng giai đoạn, gồm phân quyền, log truy cập, dự phòng.</x:v>
      </x:c>
      <x:c r="O513" s="14" t="str"/>
      <x:c r="P513" s="14" t="str">
        <x:v>Kiến trúc kết nối; API/file exchange; quy chế phân quyền; SLA dữ liệu ≥95% đúng hạn; log truy cập lưu tối thiểu theo quy định nội bộ/pháp luật</x:v>
      </x:c>
      <x:c r="Q513" s="14" t="str">
        <x:v>Kiến trúc kết nối; API/file exchange; quy chế phân quyền; SLA dữ liệu ≥95% đúng hạn; log truy cập lưu tối thiểu theo quy định nội bộ/pháp luật</x:v>
      </x:c>
      <x:c r="R513" s="14" t="str"/>
      <x:c r="S513" s="14" t="str">
        <x:v>Ban Kế hoạch doanh nghiệp - Chuyển đổi số; Ban Kỹ thuật - CNS/IT/Môi trường</x:v>
      </x:c>
      <x:c r="T513" s="14" t="str">
        <x:v>Văn phòng - Pháp chế; Ban An ninh hàng không</x:v>
      </x:c>
      <x:c r="U513" s="14" t="str"/>
      <x:c r="V513" s="14" t="str">
        <x:v>31/03/2027</x:v>
      </x:c>
      <x:c r="W513" s="14" t="str">
        <x:v>P1</x:v>
      </x:c>
      <x:c r="X513" s="14" t="str"/>
      <x:c r="Y513" s="14" t="str">
        <x:v>Chưa bắt đầu</x:v>
      </x:c>
      <x:c r="Z513" s="14" t="str">
        <x:v>Chờ chuẩn kỹ thuật từ NCTHK</x:v>
      </x:c>
      <x:c r="AA513" s="14" t="str"/>
      <x:c r="AB513" s="14" t="str">
        <x:v>du lieu; cns</x:v>
      </x:c>
    </x:row>
    <x:row r="514">
      <x:c r="A514" s="14" t="str">
        <x:v>VATM-0513</x:v>
      </x:c>
      <x:c r="B514" s="14" t="str">
        <x:v>T-09</x:v>
      </x:c>
      <x:c r="C514" s="14" t="str">
        <x:v>Dự thảo Nghị định về Nhà chức trách HKVN &amp; quản lý an toàn HK (01/07/2026)</x:v>
      </x:c>
      <x:c r="D514" s="14" t="str">
        <x:v>VATM_Ra_soat_du_thao_ND_Nha_chuc_trach_QLAT_01072026.xlsx</x:v>
      </x:c>
      <x:c r="E514" s="14" t="str">
        <x:v>Nhiem_vu_VATM</x:v>
      </x:c>
      <x:c r="F514" s="56" t="n">
        <x:v>10</x:v>
      </x:c>
      <x:c r="G514" s="14" t="str">
        <x:v>Điều 21</x:v>
      </x:c>
      <x:c r="H514" s="14" t="str">
        <x:v>Tuân thủ, dữ liệu &amp; chuyển đổi số</x:v>
      </x:c>
      <x:c r="I514" s="14" t="str">
        <x:v>Hồ sơ điện tử, CSDL và ký số</x:v>
      </x:c>
      <x:c r="J514" s="14" t="str">
        <x:v>Dữ liệu số</x:v>
      </x:c>
      <x:c r="K514" s="14" t="str">
        <x:v>Trực tiếp</x:v>
      </x:c>
      <x:c r="L514" s="14" t="str">
        <x:v>Báo cáo/điều tra/khắc phục</x:v>
      </x:c>
      <x:c r="M514" s="14" t="str"/>
      <x:c r="N514" s="14" t="str">
        <x:v>Ban hành quy trình đảm bảo chất lượng dữ liệu: đầy đủ, chính xác, kịp thời, toàn vẹn đối với dữ liệu VATM tạo lập/chia sẻ.</x:v>
      </x:c>
      <x:c r="O514" s="14" t="str"/>
      <x:c r="P514" s="14" t="str">
        <x:v>DQP - Data Quality Procedure; báo cáo chất lượng dữ liệu quý; Độ đầy đủ ≥98%; lỗi dữ liệu trọng yếu có CAP trong 05 ngày làm việc</x:v>
      </x:c>
      <x:c r="Q514" s="14" t="str">
        <x:v>DQP - Data Quality Procedure; báo cáo chất lượng dữ liệu quý; Độ đầy đủ ≥98%; lỗi dữ liệu trọng yếu có CAP trong 05 ngày làm việc</x:v>
      </x:c>
      <x:c r="R514" s="14" t="str"/>
      <x:c r="S514" s="14" t="str">
        <x:v>Ban Kế hoạch doanh nghiệp - Chuyển đổi số; Ban Kỹ thuật - CNS/IT/Môi trường</x:v>
      </x:c>
      <x:c r="T514" s="14" t="str">
        <x:v>Ban An toàn - Chất lượng; Văn phòng - Pháp chế</x:v>
      </x:c>
      <x:c r="U514" s="14" t="str"/>
      <x:c r="V514" s="14" t="str">
        <x:v>31/12/2026</x:v>
      </x:c>
      <x:c r="W514" s="14" t="str">
        <x:v>P1</x:v>
      </x:c>
      <x:c r="X514" s="14" t="str"/>
      <x:c r="Y514" s="14" t="str">
        <x:v>Chưa bắt đầu</x:v>
      </x:c>
      <x:c r="Z514" s="14" t="str"/>
      <x:c r="AA514" s="14" t="str"/>
      <x:c r="AB514" s="14" t="str">
        <x:v>du lieu; atm; cns</x:v>
      </x:c>
    </x:row>
    <x:row r="515">
      <x:c r="A515" s="14" t="str">
        <x:v>VATM-0514</x:v>
      </x:c>
      <x:c r="B515" s="14" t="str">
        <x:v>T-10</x:v>
      </x:c>
      <x:c r="C515" s="14" t="str">
        <x:v>Dự thảo Nghị định về Nhà chức trách HKVN &amp; quản lý an toàn HK (01/07/2026)</x:v>
      </x:c>
      <x:c r="D515" s="14" t="str">
        <x:v>VATM_Ra_soat_du_thao_ND_Nha_chuc_trach_QLAT_01072026.xlsx</x:v>
      </x:c>
      <x:c r="E515" s="14" t="str">
        <x:v>Nhiem_vu_VATM</x:v>
      </x:c>
      <x:c r="F515" s="56" t="n">
        <x:v>11</x:v>
      </x:c>
      <x:c r="G515" s="14" t="str">
        <x:v>Điều 28-29,85</x:v>
      </x:c>
      <x:c r="H515" s="14" t="str">
        <x:v>An toàn hàng không / SMS</x:v>
      </x:c>
      <x:c r="I515" s="14" t="str">
        <x:v>Khung SMS và quản trị an toàn</x:v>
      </x:c>
      <x:c r="J515" s="14" t="str">
        <x:v>SMS</x:v>
      </x:c>
      <x:c r="K515" s="14" t="str">
        <x:v>Trực tiếp</x:v>
      </x:c>
      <x:c r="L515" s="14" t="str">
        <x:v>SMS/QLAT</x:v>
      </x:c>
      <x:c r="M515" s="14" t="str"/>
      <x:c r="N515" s="14" t="str">
        <x:v>Rà soát và sửa đổi tài liệu SMS VATM theo 04 thành phần: chính sách/mục tiêu, quản lý rủi ro, đảm bảo an toàn, thúc đẩy an toàn.</x:v>
      </x:c>
      <x:c r="O515" s="14" t="str"/>
      <x:c r="P515" s="14" t="str">
        <x:v>SMS Manual revision; hồ sơ trình NCTHK chấp thuận; Trình chấp thuận trong 12 tháng từ ngày hiệu lực; bao phủ ATS/CNS/MET/AIS/SAR</x:v>
      </x:c>
      <x:c r="Q515" s="14" t="str">
        <x:v>SMS Manual revision; hồ sơ trình NCTHK chấp thuận; Trình chấp thuận trong 12 tháng từ ngày hiệu lực; bao phủ ATS/CNS/MET/AIS/SAR</x:v>
      </x:c>
      <x:c r="R515" s="14" t="str"/>
      <x:c r="S515" s="14" t="str">
        <x:v>Ban An toàn - Chất lượng</x:v>
      </x:c>
      <x:c r="T515" s="14" t="str">
        <x:v>Các Công ty Quản lý bay khu vực Bắc/Trung/Nam; Ban An toàn - Chất lượng</x:v>
      </x:c>
      <x:c r="U515" s="14" t="str"/>
      <x:c r="V515" s="14" t="str">
        <x:v>30/06/2027</x:v>
      </x:c>
      <x:c r="W515" s="14" t="str">
        <x:v>P1</x:v>
      </x:c>
      <x:c r="X515" s="14" t="str"/>
      <x:c r="Y515" s="14" t="str">
        <x:v>Chưa bắt đầu</x:v>
      </x:c>
      <x:c r="Z515" s="14" t="str">
        <x:v>Theo chuyển tiếp Điều 85</x:v>
      </x:c>
      <x:c r="AA515" s="14" t="str"/>
      <x:c r="AB515" s="14" t="str">
        <x:v>sms; an toan; atm</x:v>
      </x:c>
    </x:row>
    <x:row r="516">
      <x:c r="A516" s="14" t="str">
        <x:v>VATM-0515</x:v>
      </x:c>
      <x:c r="B516" s="14" t="str">
        <x:v>T-11</x:v>
      </x:c>
      <x:c r="C516" s="14" t="str">
        <x:v>Dự thảo Nghị định về Nhà chức trách HKVN &amp; quản lý an toàn HK (01/07/2026)</x:v>
      </x:c>
      <x:c r="D516" s="14" t="str">
        <x:v>VATM_Ra_soat_du_thao_ND_Nha_chuc_trach_QLAT_01072026.xlsx</x:v>
      </x:c>
      <x:c r="E516" s="14" t="str">
        <x:v>Nhiem_vu_VATM</x:v>
      </x:c>
      <x:c r="F516" s="56" t="n">
        <x:v>12</x:v>
      </x:c>
      <x:c r="G516" s="14" t="str">
        <x:v>Điều 28-30</x:v>
      </x:c>
      <x:c r="H516" s="14" t="str">
        <x:v>An toàn hàng không / SMS</x:v>
      </x:c>
      <x:c r="I516" s="14" t="str">
        <x:v>Khung SMS và quản trị an toàn</x:v>
      </x:c>
      <x:c r="J516" s="14" t="str">
        <x:v>SMS</x:v>
      </x:c>
      <x:c r="K516" s="14" t="str">
        <x:v>Trực tiếp</x:v>
      </x:c>
      <x:c r="L516" s="14" t="str">
        <x:v>SMS/QLAT</x:v>
      </x:c>
      <x:c r="M516" s="14" t="str"/>
      <x:c r="N516" s="14" t="str">
        <x:v>Thiết lập bộ SPI/SPT cho dịch vụ ANS, gắn dữ liệu vận hành và safety occurrence.</x:v>
      </x:c>
      <x:c r="O516" s="14" t="str"/>
      <x:c r="P516" s="14" t="str">
        <x:v>Bộ SPI/SPT; dashboard theo tháng/quý; Có baseline, target, alert level; đánh giá trend hằng quý</x:v>
      </x:c>
      <x:c r="Q516" s="14" t="str">
        <x:v>Bộ SPI/SPT; dashboard theo tháng/quý; Có baseline, target, alert level; đánh giá trend hằng quý</x:v>
      </x:c>
      <x:c r="R516" s="14" t="str"/>
      <x:c r="S516" s="14" t="str">
        <x:v>Ban An toàn - Chất lượng</x:v>
      </x:c>
      <x:c r="T516" s="14" t="str">
        <x:v>Các Công ty Quản lý bay khu vực Bắc/Trung/Nam; Ban Kế hoạch doanh nghiệp - Chuyển đổi số; Ban Không lưu; Ban Kỹ thuật - CNS/IT/Môi trường; Trung tâm Khí tượng hàng không; Trung tâm Thông báo tin tức hàng không; Trung tâm Tìm kiếm cứu nạn hàng không; Ban An toàn - Chất lượng</x:v>
      </x:c>
      <x:c r="U516" s="14" t="str"/>
      <x:c r="V516" s="14" t="str">
        <x:v>31/12/2026</x:v>
      </x:c>
      <x:c r="W516" s="14" t="str">
        <x:v>P1</x:v>
      </x:c>
      <x:c r="X516" s="14" t="str"/>
      <x:c r="Y516" s="14" t="str">
        <x:v>Chưa bắt đầu</x:v>
      </x:c>
      <x:c r="Z516" s="14" t="str">
        <x:v>Phù hợp SSP</x:v>
      </x:c>
      <x:c r="AA516" s="14" t="str"/>
      <x:c r="AB516" s="14" t="str">
        <x:v>sms; an toan; ans; spi; spt; du lieu</x:v>
      </x:c>
    </x:row>
    <x:row r="517">
      <x:c r="A517" s="14" t="str">
        <x:v>VATM-0516</x:v>
      </x:c>
      <x:c r="B517" s="14" t="str">
        <x:v>T-12</x:v>
      </x:c>
      <x:c r="C517" s="14" t="str">
        <x:v>Dự thảo Nghị định về Nhà chức trách HKVN &amp; quản lý an toàn HK (01/07/2026)</x:v>
      </x:c>
      <x:c r="D517" s="14" t="str">
        <x:v>VATM_Ra_soat_du_thao_ND_Nha_chuc_trach_QLAT_01072026.xlsx</x:v>
      </x:c>
      <x:c r="E517" s="14" t="str">
        <x:v>Nhiem_vu_VATM</x:v>
      </x:c>
      <x:c r="F517" s="56" t="n">
        <x:v>13</x:v>
      </x:c>
      <x:c r="G517" s="14" t="str">
        <x:v>Điều 30</x:v>
      </x:c>
      <x:c r="H517" s="14" t="str">
        <x:v>An toàn hàng không / SMS</x:v>
      </x:c>
      <x:c r="I517" s="14" t="str">
        <x:v>Khung SMS và quản trị an toàn</x:v>
      </x:c>
      <x:c r="J517" s="14" t="str">
        <x:v>SMS</x:v>
      </x:c>
      <x:c r="K517" s="14" t="str">
        <x:v>Trực tiếp</x:v>
      </x:c>
      <x:c r="L517" s="14" t="str">
        <x:v>Báo cáo/điều tra/khắc phục</x:v>
      </x:c>
      <x:c r="M517" s="14" t="str"/>
      <x:c r="N517" s="14" t="str">
        <x:v>Chuẩn hóa taxonomy sự cố và mối nguy theo phân loại ICAO/ADREP tương thích với CSDL an toàn quốc gia.</x:v>
      </x:c>
      <x:c r="O517" s="14" t="str"/>
      <x:c r="P517" s="14" t="str">
        <x:v>Danh mục taxonomy; hướng dẫn mã hóa; 100% báo cáo mới có mã phân loại; mapping với hệ thống hiện hữu</x:v>
      </x:c>
      <x:c r="Q517" s="14" t="str">
        <x:v>Danh mục taxonomy; hướng dẫn mã hóa; 100% báo cáo mới có mã phân loại; mapping với hệ thống hiện hữu</x:v>
      </x:c>
      <x:c r="R517" s="14" t="str"/>
      <x:c r="S517" s="14" t="str">
        <x:v>Ban An toàn - Chất lượng</x:v>
      </x:c>
      <x:c r="T517" s="14" t="str">
        <x:v>Ban Kế hoạch doanh nghiệp - Chuyển đổi số; Ban Không lưu; Ban Kỹ thuật - CNS/IT/Môi trường; Các Công ty Quản lý bay khu vực Bắc/Trung/Nam; Ban An toàn - Chất lượng</x:v>
      </x:c>
      <x:c r="U517" s="14" t="str"/>
      <x:c r="V517" s="14" t="str">
        <x:v>31/12/2026</x:v>
      </x:c>
      <x:c r="W517" s="14" t="str">
        <x:v>P1</x:v>
      </x:c>
      <x:c r="X517" s="14" t="str"/>
      <x:c r="Y517" s="14" t="str">
        <x:v>Chưa bắt đầu</x:v>
      </x:c>
      <x:c r="Z517" s="14" t="str"/>
      <x:c r="AA517" s="14" t="str"/>
      <x:c r="AB517" s="14" t="str">
        <x:v>sms; an toan</x:v>
      </x:c>
    </x:row>
    <x:row r="518">
      <x:c r="A518" s="14" t="str">
        <x:v>VATM-0517</x:v>
      </x:c>
      <x:c r="B518" s="14" t="str">
        <x:v>T-13</x:v>
      </x:c>
      <x:c r="C518" s="14" t="str">
        <x:v>Dự thảo Nghị định về Nhà chức trách HKVN &amp; quản lý an toàn HK (01/07/2026)</x:v>
      </x:c>
      <x:c r="D518" s="14" t="str">
        <x:v>VATM_Ra_soat_du_thao_ND_Nha_chuc_trach_QLAT_01072026.xlsx</x:v>
      </x:c>
      <x:c r="E518" s="14" t="str">
        <x:v>Nhiem_vu_VATM</x:v>
      </x:c>
      <x:c r="F518" s="56" t="n">
        <x:v>14</x:v>
      </x:c>
      <x:c r="G518" s="14" t="str">
        <x:v>Điều 30-31</x:v>
      </x:c>
      <x:c r="H518" s="14" t="str">
        <x:v>An toàn hàng không / SMS</x:v>
      </x:c>
      <x:c r="I518" s="14" t="str">
        <x:v>Khung SMS và quản trị an toàn</x:v>
      </x:c>
      <x:c r="J518" s="14" t="str">
        <x:v>SMS</x:v>
      </x:c>
      <x:c r="K518" s="14" t="str">
        <x:v>Trực tiếp</x:v>
      </x:c>
      <x:c r="L518" s="14" t="str">
        <x:v>Báo cáo/điều tra/khắc phục</x:v>
      </x:c>
      <x:c r="M518" s="14" t="str"/>
      <x:c r="N518" s="14" t="str">
        <x:v>Tích hợp hệ thống báo cáo an toàn VATM với hệ thống/Trung tâm dữ liệu an toàn hàng không khi NCTHK yêu cầu.</x:v>
      </x:c>
      <x:c r="O518" s="14" t="str"/>
      <x:c r="P518" s="14" t="str">
        <x:v>Kết nối dữ liệu; biên bản thử nghiệm/ nghiệm thu; Không mất dữ liệu; mã hóa/ẩn danh theo yêu cầu; backup và DR test định kỳ</x:v>
      </x:c>
      <x:c r="Q518" s="14" t="str">
        <x:v>Kết nối dữ liệu; biên bản thử nghiệm/ nghiệm thu; Không mất dữ liệu; mã hóa/ẩn danh theo yêu cầu; backup và DR test định kỳ</x:v>
      </x:c>
      <x:c r="R518" s="14" t="str"/>
      <x:c r="S518" s="14" t="str">
        <x:v>Ban An toàn - Chất lượng; Ban Kế hoạch doanh nghiệp - Chuyển đổi số; Ban Kỹ thuật - CNS/IT/Môi trường</x:v>
      </x:c>
      <x:c r="T518" s="14" t="str">
        <x:v>Các Công ty Quản lý bay khu vực Bắc/Trung/Nam; Ban An toàn - Chất lượng</x:v>
      </x:c>
      <x:c r="U518" s="14" t="str"/>
      <x:c r="V518" s="14" t="str">
        <x:v>30/06/2027</x:v>
      </x:c>
      <x:c r="W518" s="14" t="str">
        <x:v>P1</x:v>
      </x:c>
      <x:c r="X518" s="14" t="str"/>
      <x:c r="Y518" s="14" t="str">
        <x:v>Chưa bắt đầu</x:v>
      </x:c>
      <x:c r="Z518" s="14" t="str">
        <x:v>Phụ thuộc chuẩn NCTHK</x:v>
      </x:c>
      <x:c r="AA518" s="14" t="str"/>
      <x:c r="AB518" s="14" t="str">
        <x:v>sms; an toan; atm; du lieu; cns</x:v>
      </x:c>
    </x:row>
    <x:row r="519">
      <x:c r="A519" s="14" t="str">
        <x:v>VATM-0518</x:v>
      </x:c>
      <x:c r="B519" s="14" t="str">
        <x:v>T-14</x:v>
      </x:c>
      <x:c r="C519" s="14" t="str">
        <x:v>Dự thảo Nghị định về Nhà chức trách HKVN &amp; quản lý an toàn HK (01/07/2026)</x:v>
      </x:c>
      <x:c r="D519" s="14" t="str">
        <x:v>VATM_Ra_soat_du_thao_ND_Nha_chuc_trach_QLAT_01072026.xlsx</x:v>
      </x:c>
      <x:c r="E519" s="14" t="str">
        <x:v>Nhiem_vu_VATM</x:v>
      </x:c>
      <x:c r="F519" s="56" t="n">
        <x:v>15</x:v>
      </x:c>
      <x:c r="G519" s="14" t="str">
        <x:v>Điều 32</x:v>
      </x:c>
      <x:c r="H519" s="14" t="str">
        <x:v>An toàn hàng không / SMS</x:v>
      </x:c>
      <x:c r="I519" s="14" t="str">
        <x:v>Khung SMS và quản trị an toàn</x:v>
      </x:c>
      <x:c r="J519" s="14" t="str">
        <x:v>SMS</x:v>
      </x:c>
      <x:c r="K519" s="14" t="str">
        <x:v>Trực tiếp</x:v>
      </x:c>
      <x:c r="L519" s="14" t="str">
        <x:v>Báo cáo/điều tra/khắc phục</x:v>
      </x:c>
      <x:c r="M519" s="14" t="str"/>
      <x:c r="N519" s="14" t="str">
        <x:v>Sửa quy trình xử lý không tuân thủ, phân loại mức 1/2, RCA/CAP và báo cáo kết quả khắc phục.</x:v>
      </x:c>
      <x:c r="O519" s="14" t="str"/>
      <x:c r="P519" s="14" t="str">
        <x:v>CAP/RCA procedure; tracker không tuân thủ; 100% NC có owner/deadline; P1 CAP được lãnh đạo phê duyệt; closure on-time ≥95%</x:v>
      </x:c>
      <x:c r="Q519" s="14" t="str">
        <x:v>CAP/RCA procedure; tracker không tuân thủ; 100% NC có owner/deadline; P1 CAP được lãnh đạo phê duyệt; closure on-time ≥95%</x:v>
      </x:c>
      <x:c r="R519" s="14" t="str"/>
      <x:c r="S519" s="14" t="str">
        <x:v>Ban An toàn - Chất lượng</x:v>
      </x:c>
      <x:c r="T519" s="14" t="str">
        <x:v>Các Công ty Quản lý bay khu vực Bắc/Trung/Nam; Văn phòng - Pháp chế; Ban An toàn - Chất lượng</x:v>
      </x:c>
      <x:c r="U519" s="14" t="str"/>
      <x:c r="V519" s="14" t="str">
        <x:v>30/09/2026</x:v>
      </x:c>
      <x:c r="W519" s="14" t="str">
        <x:v>P1</x:v>
      </x:c>
      <x:c r="X519" s="14" t="str"/>
      <x:c r="Y519" s="14" t="str">
        <x:v>Chưa bắt đầu</x:v>
      </x:c>
      <x:c r="Z519" s="14" t="str"/>
      <x:c r="AA519" s="14" t="str"/>
      <x:c r="AB519" s="14" t="str">
        <x:v>sms; an toan</x:v>
      </x:c>
    </x:row>
    <x:row r="520">
      <x:c r="A520" s="14" t="str">
        <x:v>VATM-0519</x:v>
      </x:c>
      <x:c r="B520" s="14" t="str">
        <x:v>T-15</x:v>
      </x:c>
      <x:c r="C520" s="14" t="str">
        <x:v>Dự thảo Nghị định về Nhà chức trách HKVN &amp; quản lý an toàn HK (01/07/2026)</x:v>
      </x:c>
      <x:c r="D520" s="14" t="str">
        <x:v>VATM_Ra_soat_du_thao_ND_Nha_chuc_trach_QLAT_01072026.xlsx</x:v>
      </x:c>
      <x:c r="E520" s="14" t="str">
        <x:v>Nhiem_vu_VATM</x:v>
      </x:c>
      <x:c r="F520" s="56" t="n">
        <x:v>16</x:v>
      </x:c>
      <x:c r="G520" s="14" t="str">
        <x:v>Điều 33</x:v>
      </x:c>
      <x:c r="H520" s="14" t="str">
        <x:v>An toàn hàng không / SMS</x:v>
      </x:c>
      <x:c r="I520" s="14" t="str">
        <x:v>Khung SMS và quản trị an toàn</x:v>
      </x:c>
      <x:c r="J520" s="14" t="str">
        <x:v>SMS</x:v>
      </x:c>
      <x:c r="K520" s="14" t="str">
        <x:v>Trực tiếp</x:v>
      </x:c>
      <x:c r="L520" s="14" t="str">
        <x:v>SMS/QLAT</x:v>
      </x:c>
      <x:c r="M520" s="14" t="str"/>
      <x:c r="N520" s="14" t="str">
        <x:v>Thiết lập bộ hồ sơ miễn trừ cho tình huống công nghệ/phương thức/khẩn nguy đặc thù của ANS.</x:v>
      </x:c>
      <x:c r="O520" s="14" t="str"/>
      <x:c r="P520" s="14" t="str">
        <x:v>Mẫu risk assessment; mẫu nghiên cứu hàng không; tracker miễn trừ; Mọi miễn trừ có thời hạn, giới hạn, mitigation và tiêu chí chấm dứt</x:v>
      </x:c>
      <x:c r="Q520" s="14" t="str">
        <x:v>Mẫu risk assessment; mẫu nghiên cứu hàng không; tracker miễn trừ; Mọi miễn trừ có thời hạn, giới hạn, mitigation và tiêu chí chấm dứt</x:v>
      </x:c>
      <x:c r="R520" s="14" t="str"/>
      <x:c r="S520" s="14" t="str">
        <x:v>Ban An toàn - Chất lượng</x:v>
      </x:c>
      <x:c r="T520" s="14" t="str">
        <x:v>Các Công ty Quản lý bay khu vực Bắc/Trung/Nam; Văn phòng - Pháp chế; Ban Không lưu; Ban Kỹ thuật - CNS/IT/Môi trường; Ban An toàn - Chất lượng</x:v>
      </x:c>
      <x:c r="U520" s="14" t="str"/>
      <x:c r="V520" s="14" t="str">
        <x:v>30/09/2026</x:v>
      </x:c>
      <x:c r="W520" s="14" t="str">
        <x:v>P1</x:v>
      </x:c>
      <x:c r="X520" s="14" t="str"/>
      <x:c r="Y520" s="14" t="str">
        <x:v>Chưa bắt đầu</x:v>
      </x:c>
      <x:c r="Z520" s="14" t="str"/>
      <x:c r="AA520" s="14" t="str"/>
      <x:c r="AB520" s="14" t="str">
        <x:v>sms; an toan; ans</x:v>
      </x:c>
    </x:row>
    <x:row r="521">
      <x:c r="A521" s="14" t="str">
        <x:v>VATM-0520</x:v>
      </x:c>
      <x:c r="B521" s="14" t="str">
        <x:v>T-16</x:v>
      </x:c>
      <x:c r="C521" s="14" t="str">
        <x:v>Dự thảo Nghị định về Nhà chức trách HKVN &amp; quản lý an toàn HK (01/07/2026)</x:v>
      </x:c>
      <x:c r="D521" s="14" t="str">
        <x:v>VATM_Ra_soat_du_thao_ND_Nha_chuc_trach_QLAT_01072026.xlsx</x:v>
      </x:c>
      <x:c r="E521" s="14" t="str">
        <x:v>Nhiem_vu_VATM</x:v>
      </x:c>
      <x:c r="F521" s="56" t="n">
        <x:v>17</x:v>
      </x:c>
      <x:c r="G521" s="14" t="str">
        <x:v>Điều 34</x:v>
      </x:c>
      <x:c r="H521" s="14" t="str">
        <x:v>An toàn hàng không / SMS</x:v>
      </x:c>
      <x:c r="I521" s="14" t="str">
        <x:v>Khung SMS và quản trị an toàn</x:v>
      </x:c>
      <x:c r="J521" s="14" t="str">
        <x:v>SMS</x:v>
      </x:c>
      <x:c r="K521" s="14" t="str">
        <x:v>Trực tiếp</x:v>
      </x:c>
      <x:c r="L521" s="14" t="str">
        <x:v>SMS/QLAT</x:v>
      </x:c>
      <x:c r="M521" s="14" t="str"/>
      <x:c r="N521" s="14" t="str">
        <x:v>Ban hành chương trình văn hóa an toàn VATM giai đoạn 2026-2028.</x:v>
      </x:c>
      <x:c r="O521" s="14" t="str"/>
      <x:c r="P521" s="14" t="str">
        <x:v>Bộ quy tắc ứng xử; kế hoạch truyền thông; safety promotion calendar; Đào tạo ≥95% lao động thuộc dây chuyền ANS/năm; khảo sát văn hóa an toàn hằng năm</x:v>
      </x:c>
      <x:c r="Q521" s="14" t="str">
        <x:v>Bộ quy tắc ứng xử; kế hoạch truyền thông; safety promotion calendar; Đào tạo ≥95% lao động thuộc dây chuyền ANS/năm; khảo sát văn hóa an toàn hằng năm</x:v>
      </x:c>
      <x:c r="R521" s="14" t="str"/>
      <x:c r="S521" s="14" t="str">
        <x:v>Ban An toàn - Chất lượng</x:v>
      </x:c>
      <x:c r="T521" s="14" t="str">
        <x:v>Các Công ty Quản lý bay khu vực Bắc/Trung/Nam; Ban An toàn - Chất lượng</x:v>
      </x:c>
      <x:c r="U521" s="14" t="str"/>
      <x:c r="V521" s="14" t="str">
        <x:v>31/12/2026</x:v>
      </x:c>
      <x:c r="W521" s="14" t="str">
        <x:v>P1</x:v>
      </x:c>
      <x:c r="X521" s="14" t="str"/>
      <x:c r="Y521" s="14" t="str">
        <x:v>Chưa bắt đầu</x:v>
      </x:c>
      <x:c r="Z521" s="14" t="str"/>
      <x:c r="AA521" s="14" t="str"/>
      <x:c r="AB521" s="14" t="str">
        <x:v>sms; an toan; atm</x:v>
      </x:c>
    </x:row>
    <x:row r="522">
      <x:c r="A522" s="14" t="str">
        <x:v>VATM-0521</x:v>
      </x:c>
      <x:c r="B522" s="14" t="str">
        <x:v>T-17</x:v>
      </x:c>
      <x:c r="C522" s="14" t="str">
        <x:v>Dự thảo Nghị định về Nhà chức trách HKVN &amp; quản lý an toàn HK (01/07/2026)</x:v>
      </x:c>
      <x:c r="D522" s="14" t="str">
        <x:v>VATM_Ra_soat_du_thao_ND_Nha_chuc_trach_QLAT_01072026.xlsx</x:v>
      </x:c>
      <x:c r="E522" s="14" t="str">
        <x:v>Nhiem_vu_VATM</x:v>
      </x:c>
      <x:c r="F522" s="56" t="n">
        <x:v>18</x:v>
      </x:c>
      <x:c r="G522" s="14" t="str">
        <x:v>Điều 34-35</x:v>
      </x:c>
      <x:c r="H522" s="14" t="str">
        <x:v>An toàn hàng không / SMS</x:v>
      </x:c>
      <x:c r="I522" s="14" t="str">
        <x:v>Khung SMS và quản trị an toàn</x:v>
      </x:c>
      <x:c r="J522" s="14" t="str">
        <x:v>SMS</x:v>
      </x:c>
      <x:c r="K522" s="14" t="str">
        <x:v>Trực tiếp</x:v>
      </x:c>
      <x:c r="L522" s="14" t="str">
        <x:v>Báo cáo/điều tra/khắc phục</x:v>
      </x:c>
      <x:c r="M522" s="14" t="str"/>
      <x:c r="N522" s="14" t="str">
        <x:v>Tăng cường báo cáo tự nguyện và bảo vệ người báo cáo phù hợp quy định dữ liệu an toàn.</x:v>
      </x:c>
      <x:c r="O522" s="14" t="str"/>
      <x:c r="P522" s="14" t="str">
        <x:v>Chính sách non-punitive/just culture; kênh báo cáo tự nguyện; Tối thiểu 01 chiến dịch/năm; không lộ danh tính trái thẩm quyền</x:v>
      </x:c>
      <x:c r="Q522" s="14" t="str">
        <x:v>Chính sách non-punitive/just culture; kênh báo cáo tự nguyện; Tối thiểu 01 chiến dịch/năm; không lộ danh tính trái thẩm quyền</x:v>
      </x:c>
      <x:c r="R522" s="14" t="str"/>
      <x:c r="S522" s="14" t="str">
        <x:v>Ban An toàn - Chất lượng</x:v>
      </x:c>
      <x:c r="T522" s="14" t="str">
        <x:v>Các Công ty Quản lý bay khu vực Bắc/Trung/Nam; Văn phòng - Pháp chế; Ban Kế hoạch doanh nghiệp - Chuyển đổi số; Ban Kỹ thuật - CNS/IT/Môi trường; Ban An toàn - Chất lượng</x:v>
      </x:c>
      <x:c r="U522" s="14" t="str"/>
      <x:c r="V522" s="14" t="str">
        <x:v>31/12/2026</x:v>
      </x:c>
      <x:c r="W522" s="14" t="str">
        <x:v>P1</x:v>
      </x:c>
      <x:c r="X522" s="14" t="str"/>
      <x:c r="Y522" s="14" t="str">
        <x:v>Chưa bắt đầu</x:v>
      </x:c>
      <x:c r="Z522" s="14" t="str"/>
      <x:c r="AA522" s="14" t="str"/>
      <x:c r="AB522" s="14" t="str">
        <x:v>sms; an toan; du lieu</x:v>
      </x:c>
    </x:row>
    <x:row r="523">
      <x:c r="A523" s="14" t="str">
        <x:v>VATM-0522</x:v>
      </x:c>
      <x:c r="B523" s="14" t="str">
        <x:v>T-18</x:v>
      </x:c>
      <x:c r="C523" s="14" t="str">
        <x:v>Dự thảo Nghị định về Nhà chức trách HKVN &amp; quản lý an toàn HK (01/07/2026)</x:v>
      </x:c>
      <x:c r="D523" s="14" t="str">
        <x:v>VATM_Ra_soat_du_thao_ND_Nha_chuc_trach_QLAT_01072026.xlsx</x:v>
      </x:c>
      <x:c r="E523" s="14" t="str">
        <x:v>Nhiem_vu_VATM</x:v>
      </x:c>
      <x:c r="F523" s="56" t="n">
        <x:v>19</x:v>
      </x:c>
      <x:c r="G523" s="14" t="str">
        <x:v>Điều 35</x:v>
      </x:c>
      <x:c r="H523" s="14" t="str">
        <x:v>An toàn hàng không / SMS</x:v>
      </x:c>
      <x:c r="I523" s="14" t="str">
        <x:v>Báo cáo MOR, sự cố và điều tra</x:v>
      </x:c>
      <x:c r="J523" s="14" t="str">
        <x:v>Báo cáo sự cố</x:v>
      </x:c>
      <x:c r="K523" s="14" t="str">
        <x:v>Trực tiếp</x:v>
      </x:c>
      <x:c r="L523" s="14" t="str">
        <x:v>Báo cáo/điều tra/khắc phục</x:v>
      </x:c>
      <x:c r="M523" s="14" t="str"/>
      <x:c r="N523" s="14" t="str">
        <x:v>Thiết lập/kiện toàn hệ thống báo cáo sự cố bắt buộc của doanh nghiệp cung cấp dịch vụ BĐHĐB.</x:v>
      </x:c>
      <x:c r="O523" s="14" t="str"/>
      <x:c r="P523" s="14" t="str">
        <x:v>E-reporting/SOP; danh mục sự cố bắt buộc; quy trình thẩm tra; 100% sự cố bắt buộc báo cáo NCTHK tối đa 72 giờ; báo cáo nội bộ ngay theo cấp độ</x:v>
      </x:c>
      <x:c r="Q523" s="14" t="str">
        <x:v>E-reporting/SOP; danh mục sự cố bắt buộc; quy trình thẩm tra; 100% sự cố bắt buộc báo cáo NCTHK tối đa 72 giờ; báo cáo nội bộ ngay theo cấp độ</x:v>
      </x:c>
      <x:c r="R523" s="14" t="str"/>
      <x:c r="S523" s="14" t="str">
        <x:v>Ban An toàn - Chất lượng</x:v>
      </x:c>
      <x:c r="T523" s="14" t="str">
        <x:v>Ban Không lưu; Ban Kỹ thuật - CNS/IT/Môi trường; Trung tâm Khí tượng hàng không; Trung tâm Thông báo tin tức hàng không; Trung tâm Tìm kiếm cứu nạn hàng không; Các Công ty Quản lý bay khu vực Bắc/Trung/Nam; Ban An toàn - Chất lượng</x:v>
      </x:c>
      <x:c r="U523" s="14" t="str"/>
      <x:c r="V523" s="14" t="str">
        <x:v>30/09/2026</x:v>
      </x:c>
      <x:c r="W523" s="14" t="str">
        <x:v>P1</x:v>
      </x:c>
      <x:c r="X523" s="14" t="str"/>
      <x:c r="Y523" s="14" t="str">
        <x:v>Chưa bắt đầu</x:v>
      </x:c>
      <x:c r="Z523" s="14" t="str"/>
      <x:c r="AA523" s="14" t="str"/>
      <x:c r="AB523" s="14" t="str">
        <x:v>sms; an toan; mor</x:v>
      </x:c>
    </x:row>
    <x:row r="524">
      <x:c r="A524" s="14" t="str">
        <x:v>VATM-0523</x:v>
      </x:c>
      <x:c r="B524" s="14" t="str">
        <x:v>T-19</x:v>
      </x:c>
      <x:c r="C524" s="14" t="str">
        <x:v>Dự thảo Nghị định về Nhà chức trách HKVN &amp; quản lý an toàn HK (01/07/2026)</x:v>
      </x:c>
      <x:c r="D524" s="14" t="str">
        <x:v>VATM_Ra_soat_du_thao_ND_Nha_chuc_trach_QLAT_01072026.xlsx</x:v>
      </x:c>
      <x:c r="E524" s="14" t="str">
        <x:v>Nhiem_vu_VATM</x:v>
      </x:c>
      <x:c r="F524" s="56" t="n">
        <x:v>20</x:v>
      </x:c>
      <x:c r="G524" s="14" t="str">
        <x:v>Điều 35,67-68</x:v>
      </x:c>
      <x:c r="H524" s="14" t="str">
        <x:v>An toàn hàng không / SMS</x:v>
      </x:c>
      <x:c r="I524" s="14" t="str">
        <x:v>Báo cáo MOR, sự cố và điều tra</x:v>
      </x:c>
      <x:c r="J524" s="14" t="str">
        <x:v>Báo cáo sự cố</x:v>
      </x:c>
      <x:c r="K524" s="14" t="str">
        <x:v>Trực tiếp</x:v>
      </x:c>
      <x:c r="L524" s="14" t="str">
        <x:v>Báo cáo/điều tra/khắc phục</x:v>
      </x:c>
      <x:c r="M524" s="14" t="str"/>
      <x:c r="N524" s="14" t="str">
        <x:v>Ban hành quy trình báo cáo ngay khi có thông tin sự cố nghiêm trọng/tai nạn và báo cáo ban đầu tối đa 24 giờ.</x:v>
      </x:c>
      <x:c r="O524" s="14" t="str"/>
      <x:c r="P524" s="14" t="str">
        <x:v>SOP ACCID/SINCID; mẫu báo cáo 24h; hotline/đầu mối 24/7; 100% tình huống có log thời gian phát hiện/thông báo; kiểm tra diễn tập 2 lần/năm</x:v>
      </x:c>
      <x:c r="Q524" s="14" t="str">
        <x:v>SOP ACCID/SINCID; mẫu báo cáo 24h; hotline/đầu mối 24/7; 100% tình huống có log thời gian phát hiện/thông báo; kiểm tra diễn tập 2 lần/năm</x:v>
      </x:c>
      <x:c r="R524" s="14" t="str"/>
      <x:c r="S524" s="14" t="str">
        <x:v>Ban An toàn - Chất lượng</x:v>
      </x:c>
      <x:c r="T524" s="14" t="str">
        <x:v>Các Công ty Quản lý bay khu vực Bắc/Trung/Nam; Ban Không lưu; Trung tâm Tìm kiếm cứu nạn hàng không; Ban An toàn - Chất lượng</x:v>
      </x:c>
      <x:c r="U524" s="14" t="str"/>
      <x:c r="V524" s="14" t="str">
        <x:v>30/09/2026</x:v>
      </x:c>
      <x:c r="W524" s="14" t="str">
        <x:v>P1</x:v>
      </x:c>
      <x:c r="X524" s="14" t="str"/>
      <x:c r="Y524" s="14" t="str">
        <x:v>Chưa bắt đầu</x:v>
      </x:c>
      <x:c r="Z524" s="14" t="str"/>
      <x:c r="AA524" s="14" t="str"/>
      <x:c r="AB524" s="14" t="str">
        <x:v>sms; an toan; mor</x:v>
      </x:c>
    </x:row>
    <x:row r="525">
      <x:c r="A525" s="14" t="str">
        <x:v>VATM-0524</x:v>
      </x:c>
      <x:c r="B525" s="14" t="str">
        <x:v>T-20</x:v>
      </x:c>
      <x:c r="C525" s="14" t="str">
        <x:v>Dự thảo Nghị định về Nhà chức trách HKVN &amp; quản lý an toàn HK (01/07/2026)</x:v>
      </x:c>
      <x:c r="D525" s="14" t="str">
        <x:v>VATM_Ra_soat_du_thao_ND_Nha_chuc_trach_QLAT_01072026.xlsx</x:v>
      </x:c>
      <x:c r="E525" s="14" t="str">
        <x:v>Nhiem_vu_VATM</x:v>
      </x:c>
      <x:c r="F525" s="56" t="n">
        <x:v>21</x:v>
      </x:c>
      <x:c r="G525" s="14" t="str">
        <x:v>Điều 35</x:v>
      </x:c>
      <x:c r="H525" s="14" t="str">
        <x:v>An toàn hàng không / SMS</x:v>
      </x:c>
      <x:c r="I525" s="14" t="str">
        <x:v>Báo cáo MOR, sự cố và điều tra</x:v>
      </x:c>
      <x:c r="J525" s="14" t="str">
        <x:v>Báo cáo sự cố</x:v>
      </x:c>
      <x:c r="K525" s="14" t="str">
        <x:v>Trực tiếp</x:v>
      </x:c>
      <x:c r="L525" s="14" t="str">
        <x:v>Báo cáo/điều tra/khắc phục</x:v>
      </x:c>
      <x:c r="M525" s="14" t="str"/>
      <x:c r="N525" s="14" t="str">
        <x:v>Đào tạo nhận diện sự cố bắt buộc/nghiêm trọng cho kiểm soát viên, nhân viên CNS/MET/AIS/SAR, giám sát ca.</x:v>
      </x:c>
      <x:c r="O525" s="14" t="str"/>
      <x:c r="P525" s="14" t="str">
        <x:v>Tài liệu đào tạo; hồ sơ tham dự; bài kiểm tra; ≥95% nhân viên liên quan hoàn thành trước 31/12/2026; kiểm tra đạt ≥80%</x:v>
      </x:c>
      <x:c r="Q525" s="14" t="str">
        <x:v>Tài liệu đào tạo; hồ sơ tham dự; bài kiểm tra; ≥95% nhân viên liên quan hoàn thành trước 31/12/2026; kiểm tra đạt ≥80%</x:v>
      </x:c>
      <x:c r="R525" s="14" t="str"/>
      <x:c r="S525" s="14" t="str">
        <x:v>Ban An toàn - Chất lượng</x:v>
      </x:c>
      <x:c r="T525" s="14" t="str">
        <x:v>Các Công ty Quản lý bay khu vực Bắc/Trung/Nam; Ban An toàn - Chất lượng</x:v>
      </x:c>
      <x:c r="U525" s="14" t="str"/>
      <x:c r="V525" s="14" t="str">
        <x:v>31/12/2026</x:v>
      </x:c>
      <x:c r="W525" s="14" t="str">
        <x:v>P1</x:v>
      </x:c>
      <x:c r="X525" s="14" t="str"/>
      <x:c r="Y525" s="14" t="str">
        <x:v>Chưa bắt đầu</x:v>
      </x:c>
      <x:c r="Z525" s="14" t="str"/>
      <x:c r="AA525" s="14" t="str"/>
      <x:c r="AB525" s="14" t="str">
        <x:v>sms; an toan; mor; cns; ais; met; sar</x:v>
      </x:c>
    </x:row>
    <x:row r="526">
      <x:c r="A526" s="14" t="str">
        <x:v>VATM-0525</x:v>
      </x:c>
      <x:c r="B526" s="14" t="str">
        <x:v>T-21</x:v>
      </x:c>
      <x:c r="C526" s="14" t="str">
        <x:v>Dự thảo Nghị định về Nhà chức trách HKVN &amp; quản lý an toàn HK (01/07/2026)</x:v>
      </x:c>
      <x:c r="D526" s="14" t="str">
        <x:v>VATM_Ra_soat_du_thao_ND_Nha_chuc_trach_QLAT_01072026.xlsx</x:v>
      </x:c>
      <x:c r="E526" s="14" t="str">
        <x:v>Nhiem_vu_VATM</x:v>
      </x:c>
      <x:c r="F526" s="56" t="n">
        <x:v>22</x:v>
      </x:c>
      <x:c r="G526" s="14" t="str">
        <x:v>Điều 42</x:v>
      </x:c>
      <x:c r="H526" s="14" t="str">
        <x:v>Huấn luyện đào tạo &amp; nhân viên HK</x:v>
      </x:c>
      <x:c r="I526" s="14" t="str">
        <x:v>Giấy phép, năng định, chứng chỉ</x:v>
      </x:c>
      <x:c r="J526" s="14" t="str">
        <x:v>Nhân viên ANS</x:v>
      </x:c>
      <x:c r="K526" s="14" t="str">
        <x:v>Trực tiếp</x:v>
      </x:c>
      <x:c r="L526" s="14" t="str">
        <x:v>Huấn luyện/nhân sự</x:v>
      </x:c>
      <x:c r="M526" s="14" t="str"/>
      <x:c r="N526" s="14" t="str">
        <x:v>Kiểm kê và chuẩn hóa CSDL giấy phép/năng định/chứng chỉ của ATCO, nhân viên khai thác thiết bị thông tin liên lạc hàng không và giáo viên.</x:v>
      </x:c>
      <x:c r="O526" s="14" t="str"/>
      <x:c r="P526" s="14" t="str">
        <x:v>License register; cảnh báo hết hạn; hồ sơ scan; 100% nhân viên trực tiếp có hồ sơ còn hiệu lực trước phân công</x:v>
      </x:c>
      <x:c r="Q526" s="14" t="str">
        <x:v>License register; cảnh báo hết hạn; hồ sơ scan; 100% nhân viên trực tiếp có hồ sơ còn hiệu lực trước phân công</x:v>
      </x:c>
      <x:c r="R526" s="14" t="str"/>
      <x:c r="S526" s="14" t="str">
        <x:v>Trung tâm Huấn luyện đào tạo; Ban Tổ chức cán bộ</x:v>
      </x:c>
      <x:c r="T526" s="14" t="str">
        <x:v>Ban Không lưu; Ban Kỹ thuật - CNS/IT/Môi trường</x:v>
      </x:c>
      <x:c r="U526" s="14" t="str"/>
      <x:c r="V526" s="14" t="str">
        <x:v>30/09/2026</x:v>
      </x:c>
      <x:c r="W526" s="14" t="str">
        <x:v>P1</x:v>
      </x:c>
      <x:c r="X526" s="14" t="str"/>
      <x:c r="Y526" s="14" t="str">
        <x:v>Chưa bắt đầu</x:v>
      </x:c>
      <x:c r="Z526" s="14" t="str"/>
      <x:c r="AA526" s="14" t="str"/>
      <x:c r="AB526" s="14" t="str">
        <x:v>huan luyen; giay phep</x:v>
      </x:c>
    </x:row>
    <x:row r="527">
      <x:c r="A527" s="14" t="str">
        <x:v>VATM-0526</x:v>
      </x:c>
      <x:c r="B527" s="14" t="str">
        <x:v>T-22</x:v>
      </x:c>
      <x:c r="C527" s="14" t="str">
        <x:v>Dự thảo Nghị định về Nhà chức trách HKVN &amp; quản lý an toàn HK (01/07/2026)</x:v>
      </x:c>
      <x:c r="D527" s="14" t="str">
        <x:v>VATM_Ra_soat_du_thao_ND_Nha_chuc_trach_QLAT_01072026.xlsx</x:v>
      </x:c>
      <x:c r="E527" s="14" t="str">
        <x:v>Nhiem_vu_VATM</x:v>
      </x:c>
      <x:c r="F527" s="56" t="n">
        <x:v>23</x:v>
      </x:c>
      <x:c r="G527" s="14" t="str">
        <x:v>Điều 42</x:v>
      </x:c>
      <x:c r="H527" s="14" t="str">
        <x:v>Huấn luyện đào tạo &amp; nhân viên HK</x:v>
      </x:c>
      <x:c r="I527" s="14" t="str">
        <x:v>Giấy phép, năng định, chứng chỉ</x:v>
      </x:c>
      <x:c r="J527" s="14" t="str">
        <x:v>Nhân viên ANS</x:v>
      </x:c>
      <x:c r="K527" s="14" t="str">
        <x:v>Trực tiếp</x:v>
      </x:c>
      <x:c r="L527" s="14" t="str">
        <x:v>Huấn luyện/nhân sự</x:v>
      </x:c>
      <x:c r="M527" s="14" t="str"/>
      <x:c r="N527" s="14" t="str">
        <x:v>Rà soát nhóm nhân viên ANS không thuộc cấp giấy phép nhưng phải có chứng chỉ chuyên môn theo hướng dẫn Bộ Xây dựng.</x:v>
      </x:c>
      <x:c r="O527" s="14" t="str"/>
      <x:c r="P527" s="14" t="str">
        <x:v>Danh mục chức danh/chứng chỉ; kế hoạch đào tạo bổ sung; Không có nhân viên làm nhiệm vụ khi thiếu chứng chỉ bắt buộc</x:v>
      </x:c>
      <x:c r="Q527" s="14" t="str">
        <x:v>Danh mục chức danh/chứng chỉ; kế hoạch đào tạo bổ sung; Không có nhân viên làm nhiệm vụ khi thiếu chứng chỉ bắt buộc</x:v>
      </x:c>
      <x:c r="R527" s="14" t="str"/>
      <x:c r="S527" s="14" t="str">
        <x:v>Trung tâm Huấn luyện đào tạo; Ban Tổ chức cán bộ</x:v>
      </x:c>
      <x:c r="T527" s="14" t="str">
        <x:v>Trung tâm Huấn luyện đào tạo; Ban Tổ chức cán bộ</x:v>
      </x:c>
      <x:c r="U527" s="14" t="str"/>
      <x:c r="V527" s="14" t="str">
        <x:v>31/12/2026</x:v>
      </x:c>
      <x:c r="W527" s="14" t="str">
        <x:v>P1</x:v>
      </x:c>
      <x:c r="X527" s="14" t="str"/>
      <x:c r="Y527" s="14" t="str">
        <x:v>Chưa bắt đầu</x:v>
      </x:c>
      <x:c r="Z527" s="14" t="str">
        <x:v>Phụ thuộc thông tư chi tiết</x:v>
      </x:c>
      <x:c r="AA527" s="14" t="str"/>
      <x:c r="AB527" s="14" t="str">
        <x:v>huan luyen; giay phep; ans</x:v>
      </x:c>
    </x:row>
    <x:row r="528">
      <x:c r="A528" s="14" t="str">
        <x:v>VATM-0527</x:v>
      </x:c>
      <x:c r="B528" s="14" t="str">
        <x:v>T-23</x:v>
      </x:c>
      <x:c r="C528" s="14" t="str">
        <x:v>Dự thảo Nghị định về Nhà chức trách HKVN &amp; quản lý an toàn HK (01/07/2026)</x:v>
      </x:c>
      <x:c r="D528" s="14" t="str">
        <x:v>VATM_Ra_soat_du_thao_ND_Nha_chuc_trach_QLAT_01072026.xlsx</x:v>
      </x:c>
      <x:c r="E528" s="14" t="str">
        <x:v>Nhiem_vu_VATM</x:v>
      </x:c>
      <x:c r="F528" s="56" t="n">
        <x:v>24</x:v>
      </x:c>
      <x:c r="G528" s="14" t="str">
        <x:v>Điều 43</x:v>
      </x:c>
      <x:c r="H528" s="14" t="str">
        <x:v>Huấn luyện đào tạo &amp; nhân viên HK</x:v>
      </x:c>
      <x:c r="I528" s="14" t="str">
        <x:v>Giấy phép, năng định, chứng chỉ</x:v>
      </x:c>
      <x:c r="J528" s="14" t="str">
        <x:v>Nhân viên ANS</x:v>
      </x:c>
      <x:c r="K528" s="14" t="str">
        <x:v>Trực tiếp</x:v>
      </x:c>
      <x:c r="L528" s="14" t="str">
        <x:v>Huấn luyện/nhân sự</x:v>
      </x:c>
      <x:c r="M528" s="14" t="str"/>
      <x:c r="N528" s="14" t="str">
        <x:v>Lập kế hoạch duy trì/đánh giá tiếng Anh ICAO mức 4 trở lên cho ATCO.</x:v>
      </x:c>
      <x:c r="O528" s="14" t="str"/>
      <x:c r="P528" s="14" t="str">
        <x:v>English proficiency plan; lịch kiểm tra; hồ sơ kết quả; 100% ATCO có kết quả còn hiệu lực; cảnh báo trước hết hạn ≥90 ngày</x:v>
      </x:c>
      <x:c r="Q528" s="14" t="str">
        <x:v>English proficiency plan; lịch kiểm tra; hồ sơ kết quả; 100% ATCO có kết quả còn hiệu lực; cảnh báo trước hết hạn ≥90 ngày</x:v>
      </x:c>
      <x:c r="R528" s="14" t="str"/>
      <x:c r="S528" s="14" t="str">
        <x:v>Trung tâm Huấn luyện đào tạo; Ban Tổ chức cán bộ</x:v>
      </x:c>
      <x:c r="T528" s="14" t="str">
        <x:v>Ban Không lưu</x:v>
      </x:c>
      <x:c r="U528" s="14" t="str"/>
      <x:c r="V528" s="14" t="str">
        <x:v>31/12/2026</x:v>
      </x:c>
      <x:c r="W528" s="14" t="str">
        <x:v>P1</x:v>
      </x:c>
      <x:c r="X528" s="14" t="str"/>
      <x:c r="Y528" s="14" t="str">
        <x:v>Chưa bắt đầu</x:v>
      </x:c>
      <x:c r="Z528" s="14" t="str"/>
      <x:c r="AA528" s="14" t="str"/>
      <x:c r="AB528" s="14" t="str">
        <x:v>huan luyen; giay phep</x:v>
      </x:c>
    </x:row>
    <x:row r="529">
      <x:c r="A529" s="14" t="str">
        <x:v>VATM-0528</x:v>
      </x:c>
      <x:c r="B529" s="14" t="str">
        <x:v>T-24</x:v>
      </x:c>
      <x:c r="C529" s="14" t="str">
        <x:v>Dự thảo Nghị định về Nhà chức trách HKVN &amp; quản lý an toàn HK (01/07/2026)</x:v>
      </x:c>
      <x:c r="D529" s="14" t="str">
        <x:v>VATM_Ra_soat_du_thao_ND_Nha_chuc_trach_QLAT_01072026.xlsx</x:v>
      </x:c>
      <x:c r="E529" s="14" t="str">
        <x:v>Nhiem_vu_VATM</x:v>
      </x:c>
      <x:c r="F529" s="56" t="n">
        <x:v>25</x:v>
      </x:c>
      <x:c r="G529" s="14" t="str">
        <x:v>Điều 44-46</x:v>
      </x:c>
      <x:c r="H529" s="14" t="str">
        <x:v>Huấn luyện đào tạo &amp; nhân viên HK</x:v>
      </x:c>
      <x:c r="I529" s="14" t="str">
        <x:v>Giấy phép, năng định, chứng chỉ</x:v>
      </x:c>
      <x:c r="J529" s="14" t="str">
        <x:v>Nhân viên ANS</x:v>
      </x:c>
      <x:c r="K529" s="14" t="str">
        <x:v>Trực tiếp</x:v>
      </x:c>
      <x:c r="L529" s="14" t="str">
        <x:v>Huấn luyện/nhân sự</x:v>
      </x:c>
      <x:c r="M529" s="14" t="str"/>
      <x:c r="N529" s="14" t="str">
        <x:v>Chuẩn bị chuyển đổi cấp giấy chứng nhận sức khỏe ATCO theo cơ chế mới từ 01/07/2027.</x:v>
      </x:c>
      <x:c r="O529" s="14" t="str"/>
      <x:c r="P529" s="14" t="str">
        <x:v>Kế hoạch khám; danh sách cơ sở y tế; hướng dẫn hồ sơ Mẫu 02-04; 100% ATCO có giấy chứng nhận sức khỏe hợp lệ theo quy định mới trước 01/07/2027</x:v>
      </x:c>
      <x:c r="Q529" s="14" t="str">
        <x:v>Kế hoạch khám; danh sách cơ sở y tế; hướng dẫn hồ sơ Mẫu 02-04; 100% ATCO có giấy chứng nhận sức khỏe hợp lệ theo quy định mới trước 01/07/2027</x:v>
      </x:c>
      <x:c r="R529" s="14" t="str"/>
      <x:c r="S529" s="14" t="str">
        <x:v>Trung tâm Huấn luyện đào tạo; Ban Tổ chức cán bộ</x:v>
      </x:c>
      <x:c r="T529" s="14" t="str">
        <x:v>Văn phòng - Pháp chế; Ban Không lưu</x:v>
      </x:c>
      <x:c r="U529" s="14" t="str"/>
      <x:c r="V529" s="14" t="str">
        <x:v>30/06/2027</x:v>
      </x:c>
      <x:c r="W529" s="14" t="str">
        <x:v>P1</x:v>
      </x:c>
      <x:c r="X529" s="14" t="str"/>
      <x:c r="Y529" s="14" t="str">
        <x:v>Chưa bắt đầu</x:v>
      </x:c>
      <x:c r="Z529" s="14" t="str"/>
      <x:c r="AA529" s="14" t="str"/>
      <x:c r="AB529" s="14" t="str">
        <x:v>huan luyen; giay phep</x:v>
      </x:c>
    </x:row>
    <x:row r="530">
      <x:c r="A530" s="14" t="str">
        <x:v>VATM-0529</x:v>
      </x:c>
      <x:c r="B530" s="14" t="str">
        <x:v>T-25</x:v>
      </x:c>
      <x:c r="C530" s="14" t="str">
        <x:v>Dự thảo Nghị định về Nhà chức trách HKVN &amp; quản lý an toàn HK (01/07/2026)</x:v>
      </x:c>
      <x:c r="D530" s="14" t="str">
        <x:v>VATM_Ra_soat_du_thao_ND_Nha_chuc_trach_QLAT_01072026.xlsx</x:v>
      </x:c>
      <x:c r="E530" s="14" t="str">
        <x:v>Nhiem_vu_VATM</x:v>
      </x:c>
      <x:c r="F530" s="56" t="n">
        <x:v>26</x:v>
      </x:c>
      <x:c r="G530" s="14" t="str">
        <x:v>Điều 47</x:v>
      </x:c>
      <x:c r="H530" s="14" t="str">
        <x:v>Huấn luyện đào tạo &amp; nhân viên HK</x:v>
      </x:c>
      <x:c r="I530" s="14" t="str">
        <x:v>Giấy phép, năng định, chứng chỉ</x:v>
      </x:c>
      <x:c r="J530" s="14" t="str">
        <x:v>Nhân viên ANS</x:v>
      </x:c>
      <x:c r="K530" s="14" t="str">
        <x:v>Trực tiếp</x:v>
      </x:c>
      <x:c r="L530" s="14" t="str">
        <x:v>Huấn luyện/nhân sự</x:v>
      </x:c>
      <x:c r="M530" s="14" t="str"/>
      <x:c r="N530" s="14" t="str">
        <x:v>Rà soát thời giờ làm việc/nghỉ ngơi và quy định làm thêm trong khẩn nguy đối với nhân viên làm công việc đặc biệt.</x:v>
      </x:c>
      <x:c r="O530" s="14" t="str"/>
      <x:c r="P530" s="14" t="str">
        <x:v>Quy chế ca kíp/nghỉ bù; fatigue risk register; 100% ca trực kiểm soát thời gian nghỉ; làm thêm vượt giới hạn phải có nghỉ bù tương ứng</x:v>
      </x:c>
      <x:c r="Q530" s="14" t="str">
        <x:v>Quy chế ca kíp/nghỉ bù; fatigue risk register; 100% ca trực kiểm soát thời gian nghỉ; làm thêm vượt giới hạn phải có nghỉ bù tương ứng</x:v>
      </x:c>
      <x:c r="R530" s="14" t="str"/>
      <x:c r="S530" s="14" t="str">
        <x:v>Trung tâm Huấn luyện đào tạo; Ban Tổ chức cán bộ</x:v>
      </x:c>
      <x:c r="T530" s="14" t="str">
        <x:v>Ban Không lưu; Ban Kỹ thuật - CNS/IT/Môi trường; Trung tâm Khí tượng hàng không; Trung tâm Thông báo tin tức hàng không; Trung tâm Tìm kiếm cứu nạn hàng không</x:v>
      </x:c>
      <x:c r="U530" s="14" t="str"/>
      <x:c r="V530" s="14" t="str">
        <x:v>31/12/2026</x:v>
      </x:c>
      <x:c r="W530" s="14" t="str">
        <x:v>P1</x:v>
      </x:c>
      <x:c r="X530" s="14" t="str"/>
      <x:c r="Y530" s="14" t="str">
        <x:v>Chưa bắt đầu</x:v>
      </x:c>
      <x:c r="Z530" s="14" t="str"/>
      <x:c r="AA530" s="14" t="str"/>
      <x:c r="AB530" s="14" t="str">
        <x:v>huan luyen; giay phep</x:v>
      </x:c>
    </x:row>
    <x:row r="531">
      <x:c r="A531" s="14" t="str">
        <x:v>VATM-0530</x:v>
      </x:c>
      <x:c r="B531" s="14" t="str">
        <x:v>T-26</x:v>
      </x:c>
      <x:c r="C531" s="14" t="str">
        <x:v>Dự thảo Nghị định về Nhà chức trách HKVN &amp; quản lý an toàn HK (01/07/2026)</x:v>
      </x:c>
      <x:c r="D531" s="14" t="str">
        <x:v>VATM_Ra_soat_du_thao_ND_Nha_chuc_trach_QLAT_01072026.xlsx</x:v>
      </x:c>
      <x:c r="E531" s="14" t="str">
        <x:v>Nhiem_vu_VATM</x:v>
      </x:c>
      <x:c r="F531" s="56" t="n">
        <x:v>27</x:v>
      </x:c>
      <x:c r="G531" s="14" t="str">
        <x:v>Điều 47</x:v>
      </x:c>
      <x:c r="H531" s="14" t="str">
        <x:v>Huấn luyện đào tạo &amp; nhân viên HK</x:v>
      </x:c>
      <x:c r="I531" s="14" t="str">
        <x:v>Giấy phép, năng định, chứng chỉ</x:v>
      </x:c>
      <x:c r="J531" s="14" t="str">
        <x:v>Nhân viên ANS</x:v>
      </x:c>
      <x:c r="K531" s="14" t="str">
        <x:v>Trực tiếp</x:v>
      </x:c>
      <x:c r="L531" s="14" t="str">
        <x:v>Báo cáo/điều tra/khắc phục</x:v>
      </x:c>
      <x:c r="M531" s="14" t="str"/>
      <x:c r="N531" s="14" t="str">
        <x:v>Thiết lập/hoàn thiện hệ thống quản lý mệt mỏi cho kiểm soát viên không lưu, liên thông với NĐ hoạt động bay.</x:v>
      </x:c>
      <x:c r="O531" s="14" t="str"/>
      <x:c r="P531" s="14" t="str">
        <x:v>FRMS/Fatigue Management Procedure; chỉ số fatigue; Không phân công khi không đáp ứng nghỉ ngơi; báo cáo fatigue trend hằng quý</x:v>
      </x:c>
      <x:c r="Q531" s="14" t="str">
        <x:v>FRMS/Fatigue Management Procedure; chỉ số fatigue; Không phân công khi không đáp ứng nghỉ ngơi; báo cáo fatigue trend hằng quý</x:v>
      </x:c>
      <x:c r="R531" s="14" t="str"/>
      <x:c r="S531" s="14" t="str">
        <x:v>Trung tâm Huấn luyện đào tạo; Ban Tổ chức cán bộ; Ban Không lưu</x:v>
      </x:c>
      <x:c r="T531" s="14" t="str">
        <x:v>Ban Kế hoạch doanh nghiệp - Chuyển đổi số; Ban Kỹ thuật - CNS/IT/Môi trường; Ban An toàn - Chất lượng</x:v>
      </x:c>
      <x:c r="U531" s="14" t="str"/>
      <x:c r="V531" s="14" t="str">
        <x:v>30/06/2027</x:v>
      </x:c>
      <x:c r="W531" s="14" t="str">
        <x:v>P1</x:v>
      </x:c>
      <x:c r="X531" s="14" t="str"/>
      <x:c r="Y531" s="14" t="str">
        <x:v>Chưa bắt đầu</x:v>
      </x:c>
      <x:c r="Z531" s="14" t="str">
        <x:v>Liên thông NĐ HĐB Điều 100</x:v>
      </x:c>
      <x:c r="AA531" s="14" t="str"/>
      <x:c r="AB531" s="14" t="str">
        <x:v>huan luyen; giay phep; met</x:v>
      </x:c>
    </x:row>
    <x:row r="532">
      <x:c r="A532" s="14" t="str">
        <x:v>VATM-0531</x:v>
      </x:c>
      <x:c r="B532" s="14" t="str">
        <x:v>T-27</x:v>
      </x:c>
      <x:c r="C532" s="14" t="str">
        <x:v>Dự thảo Nghị định về Nhà chức trách HKVN &amp; quản lý an toàn HK (01/07/2026)</x:v>
      </x:c>
      <x:c r="D532" s="14" t="str">
        <x:v>VATM_Ra_soat_du_thao_ND_Nha_chuc_trach_QLAT_01072026.xlsx</x:v>
      </x:c>
      <x:c r="E532" s="14" t="str">
        <x:v>Nhiem_vu_VATM</x:v>
      </x:c>
      <x:c r="F532" s="56" t="n">
        <x:v>28</x:v>
      </x:c>
      <x:c r="G532" s="14" t="str">
        <x:v>Điều 48</x:v>
      </x:c>
      <x:c r="H532" s="14" t="str">
        <x:v>Huấn luyện đào tạo &amp; nhân viên HK</x:v>
      </x:c>
      <x:c r="I532" s="14" t="str">
        <x:v>Giấy phép, năng định, chứng chỉ</x:v>
      </x:c>
      <x:c r="J532" s="14" t="str">
        <x:v>Nhân viên ANS</x:v>
      </x:c>
      <x:c r="K532" s="14" t="str">
        <x:v>Trực tiếp</x:v>
      </x:c>
      <x:c r="L532" s="14" t="str">
        <x:v>Huấn luyện/nhân sự</x:v>
      </x:c>
      <x:c r="M532" s="14" t="str"/>
      <x:c r="N532" s="14" t="str">
        <x:v>Sửa nội quy lao động/kỷ luật đối với NVHK đặc biệt, bao gồm tạm đình chỉ ngay bằng lời nói và quyết định văn bản trong 48 giờ.</x:v>
      </x:c>
      <x:c r="O532" s="14" t="str"/>
      <x:c r="P532" s="14" t="str">
        <x:v>Nội quy sửa đổi; mẫu quyết định tạm đình chỉ; quy trình điều tra kỷ luật; Đúng pháp luật lao động; tách xử lý kỷ luật và biện pháp khẩn cấp an toàn</x:v>
      </x:c>
      <x:c r="Q532" s="14" t="str">
        <x:v>Nội quy sửa đổi; mẫu quyết định tạm đình chỉ; quy trình điều tra kỷ luật; Đúng pháp luật lao động; tách xử lý kỷ luật và biện pháp khẩn cấp an toàn</x:v>
      </x:c>
      <x:c r="R532" s="14" t="str"/>
      <x:c r="S532" s="14" t="str">
        <x:v>Trung tâm Huấn luyện đào tạo; Ban Tổ chức cán bộ; Văn phòng - Pháp chế</x:v>
      </x:c>
      <x:c r="T532" s="14" t="str">
        <x:v>Ban An toàn - Chất lượng</x:v>
      </x:c>
      <x:c r="U532" s="14" t="str"/>
      <x:c r="V532" s="14" t="str">
        <x:v>31/12/2026</x:v>
      </x:c>
      <x:c r="W532" s="14" t="str">
        <x:v>P1</x:v>
      </x:c>
      <x:c r="X532" s="14" t="str"/>
      <x:c r="Y532" s="14" t="str">
        <x:v>Chưa bắt đầu</x:v>
      </x:c>
      <x:c r="Z532" s="14" t="str"/>
      <x:c r="AA532" s="14" t="str"/>
      <x:c r="AB532" s="14" t="str">
        <x:v>huan luyen; giay phep; phap che</x:v>
      </x:c>
    </x:row>
    <x:row r="533">
      <x:c r="A533" s="14" t="str">
        <x:v>VATM-0532</x:v>
      </x:c>
      <x:c r="B533" s="14" t="str">
        <x:v>T-28</x:v>
      </x:c>
      <x:c r="C533" s="14" t="str">
        <x:v>Dự thảo Nghị định về Nhà chức trách HKVN &amp; quản lý an toàn HK (01/07/2026)</x:v>
      </x:c>
      <x:c r="D533" s="14" t="str">
        <x:v>VATM_Ra_soat_du_thao_ND_Nha_chuc_trach_QLAT_01072026.xlsx</x:v>
      </x:c>
      <x:c r="E533" s="14" t="str">
        <x:v>Nhiem_vu_VATM</x:v>
      </x:c>
      <x:c r="F533" s="56" t="n">
        <x:v>29</x:v>
      </x:c>
      <x:c r="G533" s="14" t="str">
        <x:v>Điều 48, Phụ lục VII</x:v>
      </x:c>
      <x:c r="H533" s="14" t="str">
        <x:v>Huấn luyện đào tạo &amp; nhân viên HK</x:v>
      </x:c>
      <x:c r="I533" s="14" t="str">
        <x:v>Giấy phép, năng định, chứng chỉ</x:v>
      </x:c>
      <x:c r="J533" s="14" t="str">
        <x:v>Nhân viên ANS</x:v>
      </x:c>
      <x:c r="K533" s="14" t="str">
        <x:v>Trực tiếp</x:v>
      </x:c>
      <x:c r="L533" s="14" t="str">
        <x:v>Báo cáo/điều tra/khắc phục</x:v>
      </x:c>
      <x:c r="M533" s="14" t="str"/>
      <x:c r="N533" s="14" t="str">
        <x:v>Thiết lập báo cáo định kỳ chế độ lao động/kỷ luật NVHK 6 tháng và năm; cập nhật chỉ tiêu trên CSDL NCTHK.</x:v>
      </x:c>
      <x:c r="O533" s="14" t="str"/>
      <x:c r="P533" s="14" t="str">
        <x:v>Mẫu báo cáo; dữ liệu điện tử; lịch nhắc hạn; Báo cáo trước 05/7 và 10/1; dữ liệu đầy đủ 100% từ hệ thống HR/ca kíp</x:v>
      </x:c>
      <x:c r="Q533" s="14" t="str">
        <x:v>Mẫu báo cáo; dữ liệu điện tử; lịch nhắc hạn; Báo cáo trước 05/7 và 10/1; dữ liệu đầy đủ 100% từ hệ thống HR/ca kíp</x:v>
      </x:c>
      <x:c r="R533" s="14" t="str"/>
      <x:c r="S533" s="14" t="str">
        <x:v>Trung tâm Huấn luyện đào tạo; Ban Tổ chức cán bộ</x:v>
      </x:c>
      <x:c r="T533" s="14" t="str">
        <x:v>Ban Kế hoạch doanh nghiệp - Chuyển đổi số; Ban Kỹ thuật - CNS/IT/Môi trường</x:v>
      </x:c>
      <x:c r="U533" s="14" t="str"/>
      <x:c r="V533" s="14" t="str">
        <x:v>Từ 2027</x:v>
      </x:c>
      <x:c r="W533" s="14" t="str">
        <x:v>P1</x:v>
      </x:c>
      <x:c r="X533" s="14" t="str"/>
      <x:c r="Y533" s="14" t="str">
        <x:v>Chưa bắt đầu</x:v>
      </x:c>
      <x:c r="Z533" s="14" t="str"/>
      <x:c r="AA533" s="14" t="str"/>
      <x:c r="AB533" s="14" t="str">
        <x:v>huan luyen; giay phep</x:v>
      </x:c>
    </x:row>
    <x:row r="534">
      <x:c r="A534" s="14" t="str">
        <x:v>VATM-0533</x:v>
      </x:c>
      <x:c r="B534" s="14" t="str">
        <x:v>T-29</x:v>
      </x:c>
      <x:c r="C534" s="14" t="str">
        <x:v>Dự thảo Nghị định về Nhà chức trách HKVN &amp; quản lý an toàn HK (01/07/2026)</x:v>
      </x:c>
      <x:c r="D534" s="14" t="str">
        <x:v>VATM_Ra_soat_du_thao_ND_Nha_chuc_trach_QLAT_01072026.xlsx</x:v>
      </x:c>
      <x:c r="E534" s="14" t="str">
        <x:v>Nhiem_vu_VATM</x:v>
      </x:c>
      <x:c r="F534" s="56" t="n">
        <x:v>30</x:v>
      </x:c>
      <x:c r="G534" s="14" t="str">
        <x:v>Điều 49, Phụ lục I-II</x:v>
      </x:c>
      <x:c r="H534" s="14" t="str">
        <x:v>Huấn luyện đào tạo &amp; nhân viên HK</x:v>
      </x:c>
      <x:c r="I534" s="14" t="str">
        <x:v>Chương trình/cơ sở huấn luyện</x:v>
      </x:c>
      <x:c r="J534" s="14" t="str">
        <x:v>Đào tạo/ATO</x:v>
      </x:c>
      <x:c r="K534" s="14" t="str">
        <x:v>Trực tiếp</x:v>
      </x:c>
      <x:c r="L534" s="14" t="str">
        <x:v>Báo cáo/điều tra/khắc phục</x:v>
      </x:c>
      <x:c r="M534" s="14" t="str"/>
      <x:c r="N534" s="14" t="str">
        <x:v>Rà soát tư cách cơ sở đào tạo/huấn luyện NVHK của VATM và phạm vi đào tạo ANS.</x:v>
      </x:c>
      <x:c r="O534" s="14" t="str"/>
      <x:c r="P534" s="14" t="str">
        <x:v>Báo cáo pháp lý GCN; phạm vi đào tạo hiện hữu/đề xuất; 100% chương trình đang đào tạo có cơ sở pháp lý và phạm vi phê chuẩn</x:v>
      </x:c>
      <x:c r="Q534" s="14" t="str">
        <x:v>Báo cáo pháp lý GCN; phạm vi đào tạo hiện hữu/đề xuất; 100% chương trình đang đào tạo có cơ sở pháp lý và phạm vi phê chuẩn</x:v>
      </x:c>
      <x:c r="R534" s="14" t="str"/>
      <x:c r="S534" s="14" t="str">
        <x:v>Trung tâm Huấn luyện đào tạo; Ban Tổ chức cán bộ; Ban Không lưu</x:v>
      </x:c>
      <x:c r="T534" s="14" t="str">
        <x:v>Văn phòng - Pháp chế; Ban An toàn - Chất lượng</x:v>
      </x:c>
      <x:c r="U534" s="14" t="str"/>
      <x:c r="V534" s="14" t="str">
        <x:v>30/09/2026</x:v>
      </x:c>
      <x:c r="W534" s="14" t="str">
        <x:v>P1</x:v>
      </x:c>
      <x:c r="X534" s="14" t="str"/>
      <x:c r="Y534" s="14" t="str">
        <x:v>Chưa bắt đầu</x:v>
      </x:c>
      <x:c r="Z534" s="14" t="str"/>
      <x:c r="AA534" s="14" t="str"/>
      <x:c r="AB534" s="14" t="str">
        <x:v>huan luyen; ans; atm</x:v>
      </x:c>
    </x:row>
    <x:row r="535">
      <x:c r="A535" s="14" t="str">
        <x:v>VATM-0534</x:v>
      </x:c>
      <x:c r="B535" s="14" t="str">
        <x:v>T-30</x:v>
      </x:c>
      <x:c r="C535" s="14" t="str">
        <x:v>Dự thảo Nghị định về Nhà chức trách HKVN &amp; quản lý an toàn HK (01/07/2026)</x:v>
      </x:c>
      <x:c r="D535" s="14" t="str">
        <x:v>VATM_Ra_soat_du_thao_ND_Nha_chuc_trach_QLAT_01072026.xlsx</x:v>
      </x:c>
      <x:c r="E535" s="14" t="str">
        <x:v>Nhiem_vu_VATM</x:v>
      </x:c>
      <x:c r="F535" s="56" t="n">
        <x:v>31</x:v>
      </x:c>
      <x:c r="G535" s="14" t="str">
        <x:v>Điều 49</x:v>
      </x:c>
      <x:c r="H535" s="14" t="str">
        <x:v>Huấn luyện đào tạo &amp; nhân viên HK</x:v>
      </x:c>
      <x:c r="I535" s="14" t="str">
        <x:v>Chương trình/cơ sở huấn luyện</x:v>
      </x:c>
      <x:c r="J535" s="14" t="str">
        <x:v>Đào tạo/ATO</x:v>
      </x:c>
      <x:c r="K535" s="14" t="str">
        <x:v>Trực tiếp</x:v>
      </x:c>
      <x:c r="L535" s="14" t="str">
        <x:v>Huấn luyện/nhân sự</x:v>
      </x:c>
      <x:c r="M535" s="14" t="str"/>
      <x:c r="N535" s="14" t="str">
        <x:v>Sửa ATO Manual/tài liệu đào tạo BĐHĐB để trình NCTHK phê chuẩn trước khi tổ chức đào tạo.</x:v>
      </x:c>
      <x:c r="O535" s="14" t="str"/>
      <x:c r="P535" s="14" t="str">
        <x:v>ATO Manual, syllabus, giáo trình, quy trình kiểm tra/đánh giá; Tài liệu có version control; phù hợp chương trình Bộ Xây dựng và phạm vi phê chuẩn</x:v>
      </x:c>
      <x:c r="Q535" s="14" t="str">
        <x:v>ATO Manual, syllabus, giáo trình, quy trình kiểm tra/đánh giá; Tài liệu có version control; phù hợp chương trình Bộ Xây dựng và phạm vi phê chuẩn</x:v>
      </x:c>
      <x:c r="R535" s="14" t="str"/>
      <x:c r="S535" s="14" t="str">
        <x:v>Trung tâm Huấn luyện đào tạo; Ban Tổ chức cán bộ</x:v>
      </x:c>
      <x:c r="T535" s="14" t="str">
        <x:v>Ban Không lưu; Ban Kỹ thuật - CNS/IT/Môi trường; Ban An toàn - Chất lượng; Trung tâm Khí tượng hàng không; Trung tâm Thông báo tin tức hàng không; Trung tâm Tìm kiếm cứu nạn hàng không</x:v>
      </x:c>
      <x:c r="U535" s="14" t="str"/>
      <x:c r="V535" s="14" t="str">
        <x:v>31/03/2027</x:v>
      </x:c>
      <x:c r="W535" s="14" t="str">
        <x:v>P1</x:v>
      </x:c>
      <x:c r="X535" s="14" t="str"/>
      <x:c r="Y535" s="14" t="str">
        <x:v>Chưa bắt đầu</x:v>
      </x:c>
      <x:c r="Z535" s="14" t="str"/>
      <x:c r="AA535" s="14" t="str"/>
      <x:c r="AB535" s="14" t="str">
        <x:v>huan luyen; phe chuan</x:v>
      </x:c>
    </x:row>
    <x:row r="536">
      <x:c r="A536" s="14" t="str">
        <x:v>VATM-0535</x:v>
      </x:c>
      <x:c r="B536" s="14" t="str">
        <x:v>T-31</x:v>
      </x:c>
      <x:c r="C536" s="14" t="str">
        <x:v>Dự thảo Nghị định về Nhà chức trách HKVN &amp; quản lý an toàn HK (01/07/2026)</x:v>
      </x:c>
      <x:c r="D536" s="14" t="str">
        <x:v>VATM_Ra_soat_du_thao_ND_Nha_chuc_trach_QLAT_01072026.xlsx</x:v>
      </x:c>
      <x:c r="E536" s="14" t="str">
        <x:v>Nhiem_vu_VATM</x:v>
      </x:c>
      <x:c r="F536" s="56" t="n">
        <x:v>32</x:v>
      </x:c>
      <x:c r="G536" s="14" t="str">
        <x:v>Điều 49, Phụ lục I</x:v>
      </x:c>
      <x:c r="H536" s="14" t="str">
        <x:v>Huấn luyện đào tạo &amp; nhân viên HK</x:v>
      </x:c>
      <x:c r="I536" s="14" t="str">
        <x:v>Chương trình/cơ sở huấn luyện</x:v>
      </x:c>
      <x:c r="J536" s="14" t="str">
        <x:v>Đào tạo/ATO</x:v>
      </x:c>
      <x:c r="K536" s="14" t="str">
        <x:v>Trực tiếp</x:v>
      </x:c>
      <x:c r="L536" s="14" t="str">
        <x:v>Huấn luyện/nhân sự</x:v>
      </x:c>
      <x:c r="M536" s="14" t="str"/>
      <x:c r="N536" s="14" t="str">
        <x:v>Bổ sung hệ thống bảo đảm chất lượng, SMS đào tạo, kiểm soát hồ sơ huấn luyện và năng lực học viên tối đa.</x:v>
      </x:c>
      <x:c r="O536" s="14" t="str"/>
      <x:c r="P536" s="14" t="str">
        <x:v>QMS đào tạo; SMS đào tạo; quy định class capacity; Tính toán số lượng học viên tối đa theo phòng/thiết bị/giáo viên; hồ sơ truy xuất 100%</x:v>
      </x:c>
      <x:c r="Q536" s="14" t="str">
        <x:v>QMS đào tạo; SMS đào tạo; quy định class capacity; Tính toán số lượng học viên tối đa theo phòng/thiết bị/giáo viên; hồ sơ truy xuất 100%</x:v>
      </x:c>
      <x:c r="R536" s="14" t="str"/>
      <x:c r="S536" s="14" t="str">
        <x:v>Trung tâm Huấn luyện đào tạo; Ban Tổ chức cán bộ</x:v>
      </x:c>
      <x:c r="T536" s="14" t="str">
        <x:v>Ban Kế hoạch doanh nghiệp - Chuyển đổi số; Ban Kỹ thuật - CNS/IT/Môi trường; Ban An toàn - Chất lượng</x:v>
      </x:c>
      <x:c r="U536" s="14" t="str"/>
      <x:c r="V536" s="14" t="str">
        <x:v>31/03/2027</x:v>
      </x:c>
      <x:c r="W536" s="14" t="str">
        <x:v>P1</x:v>
      </x:c>
      <x:c r="X536" s="14" t="str"/>
      <x:c r="Y536" s="14" t="str">
        <x:v>Chưa bắt đầu</x:v>
      </x:c>
      <x:c r="Z536" s="14" t="str"/>
      <x:c r="AA536" s="14" t="str"/>
      <x:c r="AB536" s="14" t="str">
        <x:v>huan luyen; sms</x:v>
      </x:c>
    </x:row>
    <x:row r="537">
      <x:c r="A537" s="14" t="str">
        <x:v>VATM-0536</x:v>
      </x:c>
      <x:c r="B537" s="14" t="str">
        <x:v>T-32</x:v>
      </x:c>
      <x:c r="C537" s="14" t="str">
        <x:v>Dự thảo Nghị định về Nhà chức trách HKVN &amp; quản lý an toàn HK (01/07/2026)</x:v>
      </x:c>
      <x:c r="D537" s="14" t="str">
        <x:v>VATM_Ra_soat_du_thao_ND_Nha_chuc_trach_QLAT_01072026.xlsx</x:v>
      </x:c>
      <x:c r="E537" s="14" t="str">
        <x:v>Nhiem_vu_VATM</x:v>
      </x:c>
      <x:c r="F537" s="56" t="n">
        <x:v>33</x:v>
      </x:c>
      <x:c r="G537" s="14" t="str">
        <x:v>Phụ lục II</x:v>
      </x:c>
      <x:c r="H537" s="14" t="str">
        <x:v>Huấn luyện đào tạo &amp; nhân viên HK</x:v>
      </x:c>
      <x:c r="I537" s="14" t="str">
        <x:v>Chương trình/cơ sở huấn luyện</x:v>
      </x:c>
      <x:c r="J537" s="14" t="str">
        <x:v>Đào tạo/ATO</x:v>
      </x:c>
      <x:c r="K537" s="14" t="str">
        <x:v>Trực tiếp</x:v>
      </x:c>
      <x:c r="L537" s="14" t="str">
        <x:v>Huấn luyện/nhân sự</x:v>
      </x:c>
      <x:c r="M537" s="14" t="str"/>
      <x:c r="N537" s="14" t="str">
        <x:v>Kiểm kê/nâng cấp thiết bị mô phỏng ATCO và thiết bị huấn luyện CNS/MET/AIS/SAR.</x:v>
      </x:c>
      <x:c r="O537" s="14" t="str"/>
      <x:c r="P537" s="14" t="str">
        <x:v>Equipment GAP report; kế hoạch đầu tư; nhật ký kỹ thuật simulator; Có tối thiểu 01 simulator phù hợp chương trình ATCO; nhật ký kiểm tra trước/sau dùng</x:v>
      </x:c>
      <x:c r="Q537" s="14" t="str">
        <x:v>Equipment GAP report; kế hoạch đầu tư; nhật ký kỹ thuật simulator; Có tối thiểu 01 simulator phù hợp chương trình ATCO; nhật ký kiểm tra trước/sau dùng</x:v>
      </x:c>
      <x:c r="R537" s="14" t="str"/>
      <x:c r="S537" s="14" t="str">
        <x:v>Trung tâm Huấn luyện đào tạo; Ban Tổ chức cán bộ</x:v>
      </x:c>
      <x:c r="T537" s="14" t="str">
        <x:v>Ban Kế hoạch - Đầu tư; Ban Kỹ thuật - CNS/IT/Môi trường; Trung tâm Khí tượng hàng không; Trung tâm Thông báo tin tức hàng không; Trung tâm Tìm kiếm cứu nạn hàng không</x:v>
      </x:c>
      <x:c r="U537" s="14" t="str"/>
      <x:c r="V537" s="14" t="str">
        <x:v>30/06/2028</x:v>
      </x:c>
      <x:c r="W537" s="14" t="str">
        <x:v>P1</x:v>
      </x:c>
      <x:c r="X537" s="14" t="str"/>
      <x:c r="Y537" s="14" t="str">
        <x:v>Chưa bắt đầu</x:v>
      </x:c>
      <x:c r="Z537" s="14" t="str">
        <x:v>Theo chuyển tiếp 24 tháng</x:v>
      </x:c>
      <x:c r="AA537" s="14" t="str"/>
      <x:c r="AB537" s="14" t="str">
        <x:v>huan luyen; cns; ais; met; sar</x:v>
      </x:c>
    </x:row>
    <x:row r="538">
      <x:c r="A538" s="14" t="str">
        <x:v>VATM-0537</x:v>
      </x:c>
      <x:c r="B538" s="14" t="str">
        <x:v>T-33</x:v>
      </x:c>
      <x:c r="C538" s="14" t="str">
        <x:v>Dự thảo Nghị định về Nhà chức trách HKVN &amp; quản lý an toàn HK (01/07/2026)</x:v>
      </x:c>
      <x:c r="D538" s="14" t="str">
        <x:v>VATM_Ra_soat_du_thao_ND_Nha_chuc_trach_QLAT_01072026.xlsx</x:v>
      </x:c>
      <x:c r="E538" s="14" t="str">
        <x:v>Nhiem_vu_VATM</x:v>
      </x:c>
      <x:c r="F538" s="56" t="n">
        <x:v>34</x:v>
      </x:c>
      <x:c r="G538" s="14" t="str">
        <x:v>Phụ lục II</x:v>
      </x:c>
      <x:c r="H538" s="14" t="str">
        <x:v>Huấn luyện đào tạo &amp; nhân viên HK</x:v>
      </x:c>
      <x:c r="I538" s="14" t="str">
        <x:v>Chương trình/cơ sở huấn luyện</x:v>
      </x:c>
      <x:c r="J538" s="14" t="str">
        <x:v>Đào tạo/ATO</x:v>
      </x:c>
      <x:c r="K538" s="14" t="str">
        <x:v>Trực tiếp</x:v>
      </x:c>
      <x:c r="L538" s="14" t="str">
        <x:v>Huấn luyện/nhân sự</x:v>
      </x:c>
      <x:c r="M538" s="14" t="str"/>
      <x:c r="N538" s="14" t="str">
        <x:v>Xác lập quyền tiếp cận/sử dụng hệ thống thiết bị thực tế phục vụ đào tạo thực hành ANS.</x:v>
      </x:c>
      <x:c r="O538" s="14" t="str"/>
      <x:c r="P538" s="14" t="str">
        <x:v>Thỏa thuận nội bộ/MOU; quy định an toàn khi thực hành; Không ảnh hưởng khai thác; có phân quyền và giám sát</x:v>
      </x:c>
      <x:c r="Q538" s="14" t="str">
        <x:v>Thỏa thuận nội bộ/MOU; quy định an toàn khi thực hành; Không ảnh hưởng khai thác; có phân quyền và giám sát</x:v>
      </x:c>
      <x:c r="R538" s="14" t="str"/>
      <x:c r="S538" s="14" t="str">
        <x:v>Trung tâm Huấn luyện đào tạo; Ban Tổ chức cán bộ</x:v>
      </x:c>
      <x:c r="T538" s="14" t="str">
        <x:v>Văn phòng - Pháp chế; Các Công ty Quản lý bay khu vực Bắc/Trung/Nam</x:v>
      </x:c>
      <x:c r="U538" s="14" t="str"/>
      <x:c r="V538" s="14" t="str">
        <x:v>31/03/2027</x:v>
      </x:c>
      <x:c r="W538" s="14" t="str">
        <x:v>P2</x:v>
      </x:c>
      <x:c r="X538" s="14" t="str"/>
      <x:c r="Y538" s="14" t="str">
        <x:v>Chưa bắt đầu</x:v>
      </x:c>
      <x:c r="Z538" s="14" t="str"/>
      <x:c r="AA538" s="14" t="str"/>
      <x:c r="AB538" s="14" t="str">
        <x:v>huan luyen; ans</x:v>
      </x:c>
    </x:row>
    <x:row r="539">
      <x:c r="A539" s="14" t="str">
        <x:v>VATM-0538</x:v>
      </x:c>
      <x:c r="B539" s="14" t="str">
        <x:v>T-34</x:v>
      </x:c>
      <x:c r="C539" s="14" t="str">
        <x:v>Dự thảo Nghị định về Nhà chức trách HKVN &amp; quản lý an toàn HK (01/07/2026)</x:v>
      </x:c>
      <x:c r="D539" s="14" t="str">
        <x:v>VATM_Ra_soat_du_thao_ND_Nha_chuc_trach_QLAT_01072026.xlsx</x:v>
      </x:c>
      <x:c r="E539" s="14" t="str">
        <x:v>Nhiem_vu_VATM</x:v>
      </x:c>
      <x:c r="F539" s="56" t="n">
        <x:v>35</x:v>
      </x:c>
      <x:c r="G539" s="14" t="str">
        <x:v>Điều 50, Phụ lục III</x:v>
      </x:c>
      <x:c r="H539" s="14" t="str">
        <x:v>Huấn luyện đào tạo &amp; nhân viên HK</x:v>
      </x:c>
      <x:c r="I539" s="14" t="str">
        <x:v>Chương trình/cơ sở huấn luyện</x:v>
      </x:c>
      <x:c r="J539" s="14" t="str">
        <x:v>Đào tạo/ATO</x:v>
      </x:c>
      <x:c r="K539" s="14" t="str">
        <x:v>Trực tiếp</x:v>
      </x:c>
      <x:c r="L539" s="14" t="str">
        <x:v>Huấn luyện/nhân sự</x:v>
      </x:c>
      <x:c r="M539" s="14" t="str"/>
      <x:c r="N539" s="14" t="str">
        <x:v>Kiểm kê và đánh giá năng lực giáo viên ANS; bảo đảm mỗi môn chuyên ngành có ít nhất 01 giáo viên.</x:v>
      </x:c>
      <x:c r="O539" s="14" t="str"/>
      <x:c r="P539" s="14" t="str">
        <x:v>CSDL giáo viên; quyết định giao nhiệm vụ; kế hoạch bồi dưỡng; Mỗi môn có ≥01 giáo viên; giáo viên thỉnh giảng ≤50% số giáo viên chuyên ngành</x:v>
      </x:c>
      <x:c r="Q539" s="14" t="str">
        <x:v>CSDL giáo viên; quyết định giao nhiệm vụ; kế hoạch bồi dưỡng; Mỗi môn có ≥01 giáo viên; giáo viên thỉnh giảng ≤50% số giáo viên chuyên ngành</x:v>
      </x:c>
      <x:c r="R539" s="14" t="str"/>
      <x:c r="S539" s="14" t="str">
        <x:v>Trung tâm Huấn luyện đào tạo; Ban Tổ chức cán bộ</x:v>
      </x:c>
      <x:c r="T539" s="14" t="str">
        <x:v>Trung tâm Huấn luyện đào tạo; Ban Tổ chức cán bộ</x:v>
      </x:c>
      <x:c r="U539" s="14" t="str"/>
      <x:c r="V539" s="14" t="str">
        <x:v>30/06/2027</x:v>
      </x:c>
      <x:c r="W539" s="14" t="str">
        <x:v>P1</x:v>
      </x:c>
      <x:c r="X539" s="14" t="str"/>
      <x:c r="Y539" s="14" t="str">
        <x:v>Chưa bắt đầu</x:v>
      </x:c>
      <x:c r="Z539" s="14" t="str">
        <x:v>Theo chuyển tiếp 12 tháng</x:v>
      </x:c>
      <x:c r="AA539" s="14" t="str"/>
      <x:c r="AB539" s="14" t="str">
        <x:v>huan luyen; ans</x:v>
      </x:c>
    </x:row>
    <x:row r="540">
      <x:c r="A540" s="14" t="str">
        <x:v>VATM-0539</x:v>
      </x:c>
      <x:c r="B540" s="14" t="str">
        <x:v>T-35</x:v>
      </x:c>
      <x:c r="C540" s="14" t="str">
        <x:v>Dự thảo Nghị định về Nhà chức trách HKVN &amp; quản lý an toàn HK (01/07/2026)</x:v>
      </x:c>
      <x:c r="D540" s="14" t="str">
        <x:v>VATM_Ra_soat_du_thao_ND_Nha_chuc_trach_QLAT_01072026.xlsx</x:v>
      </x:c>
      <x:c r="E540" s="14" t="str">
        <x:v>Nhiem_vu_VATM</x:v>
      </x:c>
      <x:c r="F540" s="56" t="n">
        <x:v>36</x:v>
      </x:c>
      <x:c r="G540" s="14" t="str">
        <x:v>Phụ lục III</x:v>
      </x:c>
      <x:c r="H540" s="14" t="str">
        <x:v>Huấn luyện đào tạo &amp; nhân viên HK</x:v>
      </x:c>
      <x:c r="I540" s="14" t="str">
        <x:v>Chương trình/cơ sở huấn luyện</x:v>
      </x:c>
      <x:c r="J540" s="14" t="str">
        <x:v>Đào tạo/ATO</x:v>
      </x:c>
      <x:c r="K540" s="14" t="str">
        <x:v>Trực tiếp</x:v>
      </x:c>
      <x:c r="L540" s="14" t="str">
        <x:v>Huấn luyện/nhân sự</x:v>
      </x:c>
      <x:c r="M540" s="14" t="str"/>
      <x:c r="N540" s="14" t="str">
        <x:v>Thiết lập đào tạo định kỳ/đánh giá lại giáo viên thực hành không quá 24 tháng và re-entry training khi gián đoạn.</x:v>
      </x:c>
      <x:c r="O540" s="14" t="str"/>
      <x:c r="P540" s="14" t="str">
        <x:v>Kế hoạch recurrent/re-entry; hồ sơ đánh giá instructor; 100% giáo viên thực hành có đánh giá định kỳ ≤24 tháng</x:v>
      </x:c>
      <x:c r="Q540" s="14" t="str">
        <x:v>Kế hoạch recurrent/re-entry; hồ sơ đánh giá instructor; 100% giáo viên thực hành có đánh giá định kỳ ≤24 tháng</x:v>
      </x:c>
      <x:c r="R540" s="14" t="str"/>
      <x:c r="S540" s="14" t="str">
        <x:v>Trung tâm Huấn luyện đào tạo; Ban Tổ chức cán bộ</x:v>
      </x:c>
      <x:c r="T540" s="14" t="str">
        <x:v>Ban An toàn - Chất lượng</x:v>
      </x:c>
      <x:c r="U540" s="14" t="str"/>
      <x:c r="V540" s="14" t="str">
        <x:v>30/06/2027</x:v>
      </x:c>
      <x:c r="W540" s="14" t="str">
        <x:v>P1</x:v>
      </x:c>
      <x:c r="X540" s="14" t="str"/>
      <x:c r="Y540" s="14" t="str">
        <x:v>Chưa bắt đầu</x:v>
      </x:c>
      <x:c r="Z540" s="14" t="str"/>
      <x:c r="AA540" s="14" t="str"/>
      <x:c r="AB540" s="14" t="str">
        <x:v>huan luyen</x:v>
      </x:c>
    </x:row>
    <x:row r="541">
      <x:c r="A541" s="14" t="str">
        <x:v>VATM-0540</x:v>
      </x:c>
      <x:c r="B541" s="14" t="str">
        <x:v>T-36</x:v>
      </x:c>
      <x:c r="C541" s="14" t="str">
        <x:v>Dự thảo Nghị định về Nhà chức trách HKVN &amp; quản lý an toàn HK (01/07/2026)</x:v>
      </x:c>
      <x:c r="D541" s="14" t="str">
        <x:v>VATM_Ra_soat_du_thao_ND_Nha_chuc_trach_QLAT_01072026.xlsx</x:v>
      </x:c>
      <x:c r="E541" s="14" t="str">
        <x:v>Nhiem_vu_VATM</x:v>
      </x:c>
      <x:c r="F541" s="56" t="n">
        <x:v>37</x:v>
      </x:c>
      <x:c r="G541" s="14" t="str">
        <x:v>Điều 51-52</x:v>
      </x:c>
      <x:c r="H541" s="14" t="str">
        <x:v>Huấn luyện đào tạo &amp; nhân viên HK</x:v>
      </x:c>
      <x:c r="I541" s="14" t="str">
        <x:v>Chương trình/cơ sở huấn luyện</x:v>
      </x:c>
      <x:c r="J541" s="14" t="str">
        <x:v>Đào tạo/ATO</x:v>
      </x:c>
      <x:c r="K541" s="14" t="str">
        <x:v>Trực tiếp</x:v>
      </x:c>
      <x:c r="L541" s="14" t="str">
        <x:v>Báo cáo/điều tra/khắc phục</x:v>
      </x:c>
      <x:c r="M541" s="14" t="str"/>
      <x:c r="N541" s="14" t="str">
        <x:v>Chuẩn bị hồ sơ cấp/gia hạn GCN cơ sở đào tạo trước hạn tối thiểu 45 ngày.</x:v>
      </x:c>
      <x:c r="O541" s="14" t="str"/>
      <x:c r="P541" s="14" t="str">
        <x:v>Hồ sơ Mẫu 05, báo cáo hoạt động, cơ sở vật chất, giáo viên; Nộp đúng hạn; không để GCN hết hiệu lực; CAP sau thẩm định đúng hạn</x:v>
      </x:c>
      <x:c r="Q541" s="14" t="str">
        <x:v>Hồ sơ Mẫu 05, báo cáo hoạt động, cơ sở vật chất, giáo viên; Nộp đúng hạn; không để GCN hết hiệu lực; CAP sau thẩm định đúng hạn</x:v>
      </x:c>
      <x:c r="R541" s="14" t="str"/>
      <x:c r="S541" s="14" t="str">
        <x:v>Trung tâm Huấn luyện đào tạo; Ban Tổ chức cán bộ</x:v>
      </x:c>
      <x:c r="T541" s="14" t="str">
        <x:v>Văn phòng - Pháp chế; Ban Tài chính</x:v>
      </x:c>
      <x:c r="U541" s="14" t="str"/>
      <x:c r="V541" s="14" t="str">
        <x:v>Trước 45 ngày hết hạn</x:v>
      </x:c>
      <x:c r="W541" s="14" t="str">
        <x:v>P1</x:v>
      </x:c>
      <x:c r="X541" s="14" t="str"/>
      <x:c r="Y541" s="14" t="str">
        <x:v>Chưa bắt đầu</x:v>
      </x:c>
      <x:c r="Z541" s="14" t="str"/>
      <x:c r="AA541" s="14" t="str"/>
      <x:c r="AB541" s="14" t="str">
        <x:v>huan luyen</x:v>
      </x:c>
    </x:row>
    <x:row r="542">
      <x:c r="A542" s="14" t="str">
        <x:v>VATM-0541</x:v>
      </x:c>
      <x:c r="B542" s="14" t="str">
        <x:v>T-37</x:v>
      </x:c>
      <x:c r="C542" s="14" t="str">
        <x:v>Dự thảo Nghị định về Nhà chức trách HKVN &amp; quản lý an toàn HK (01/07/2026)</x:v>
      </x:c>
      <x:c r="D542" s="14" t="str">
        <x:v>VATM_Ra_soat_du_thao_ND_Nha_chuc_trach_QLAT_01072026.xlsx</x:v>
      </x:c>
      <x:c r="E542" s="14" t="str">
        <x:v>Nhiem_vu_VATM</x:v>
      </x:c>
      <x:c r="F542" s="56" t="n">
        <x:v>38</x:v>
      </x:c>
      <x:c r="G542" s="14" t="str">
        <x:v>Điều 53</x:v>
      </x:c>
      <x:c r="H542" s="14" t="str">
        <x:v>Huấn luyện đào tạo &amp; nhân viên HK</x:v>
      </x:c>
      <x:c r="I542" s="14" t="str">
        <x:v>Chương trình/cơ sở huấn luyện</x:v>
      </x:c>
      <x:c r="J542" s="14" t="str">
        <x:v>Đào tạo/ATO</x:v>
      </x:c>
      <x:c r="K542" s="14" t="str">
        <x:v>Trực tiếp</x:v>
      </x:c>
      <x:c r="L542" s="14" t="str">
        <x:v>Huấn luyện/nhân sự</x:v>
      </x:c>
      <x:c r="M542" s="14" t="str"/>
      <x:c r="N542" s="14" t="str">
        <x:v>Thiết lập cơ chế dừng đào tạo/quảng cáo trong phạm vi bị thu hồi/hạn chế và chuyển tiếp học viên.</x:v>
      </x:c>
      <x:c r="O542" s="14" t="str"/>
      <x:c r="P542" s="14" t="str">
        <x:v>SOP thu hồi/hạn chế; kế hoạch xử lý học viên; Không tuyển sinh/đào tạo ngoài phạm vi; thông báo học viên đúng hạn</x:v>
      </x:c>
      <x:c r="Q542" s="14" t="str">
        <x:v>SOP thu hồi/hạn chế; kế hoạch xử lý học viên; Không tuyển sinh/đào tạo ngoài phạm vi; thông báo học viên đúng hạn</x:v>
      </x:c>
      <x:c r="R542" s="14" t="str"/>
      <x:c r="S542" s="14" t="str">
        <x:v>Trung tâm Huấn luyện đào tạo; Ban Tổ chức cán bộ</x:v>
      </x:c>
      <x:c r="T542" s="14" t="str">
        <x:v>Văn phòng - Pháp chế</x:v>
      </x:c>
      <x:c r="U542" s="14" t="str"/>
      <x:c r="V542" s="14" t="str">
        <x:v>31/12/2026</x:v>
      </x:c>
      <x:c r="W542" s="14" t="str">
        <x:v>P2</x:v>
      </x:c>
      <x:c r="X542" s="14" t="str"/>
      <x:c r="Y542" s="14" t="str">
        <x:v>Chưa bắt đầu</x:v>
      </x:c>
      <x:c r="Z542" s="14" t="str"/>
      <x:c r="AA542" s="14" t="str"/>
      <x:c r="AB542" s="14" t="str">
        <x:v>huan luyen</x:v>
      </x:c>
    </x:row>
    <x:row r="543">
      <x:c r="A543" s="14" t="str">
        <x:v>VATM-0542</x:v>
      </x:c>
      <x:c r="B543" s="14" t="str">
        <x:v>T-38</x:v>
      </x:c>
      <x:c r="C543" s="14" t="str">
        <x:v>Dự thảo Nghị định về Nhà chức trách HKVN &amp; quản lý an toàn HK (01/07/2026)</x:v>
      </x:c>
      <x:c r="D543" s="14" t="str">
        <x:v>VATM_Ra_soat_du_thao_ND_Nha_chuc_trach_QLAT_01072026.xlsx</x:v>
      </x:c>
      <x:c r="E543" s="14" t="str">
        <x:v>Nhiem_vu_VATM</x:v>
      </x:c>
      <x:c r="F543" s="56" t="n">
        <x:v>39</x:v>
      </x:c>
      <x:c r="G543" s="14" t="str">
        <x:v>Điều 54</x:v>
      </x:c>
      <x:c r="H543" s="14" t="str">
        <x:v>Huấn luyện đào tạo &amp; nhân viên HK</x:v>
      </x:c>
      <x:c r="I543" s="14" t="str">
        <x:v>Chương trình/cơ sở huấn luyện</x:v>
      </x:c>
      <x:c r="J543" s="14" t="str">
        <x:v>Đào tạo/ATO</x:v>
      </x:c>
      <x:c r="K543" s="14" t="str">
        <x:v>Trực tiếp</x:v>
      </x:c>
      <x:c r="L543" s="14" t="str">
        <x:v>Huấn luyện/nhân sự</x:v>
      </x:c>
      <x:c r="M543" s="14" t="str"/>
      <x:c r="N543" s="14" t="str">
        <x:v>Nâng cấp LMS/e-learning: định danh người học, theo dõi quá trình, lưu trữ hồ sơ, bảo vệ dữ liệu cá nhân.</x:v>
      </x:c>
      <x:c r="O543" s="14" t="str"/>
      <x:c r="P543" s="14" t="str">
        <x:v>LMS compliant; quy chế e-learning; log học tập/kiểm tra; 100% học viên định danh; log đầy đủ; an ninh mạng và dữ liệu cá nhân được kiểm soát</x:v>
      </x:c>
      <x:c r="Q543" s="14" t="str">
        <x:v>LMS compliant; quy chế e-learning; log học tập/kiểm tra; 100% học viên định danh; log đầy đủ; an ninh mạng và dữ liệu cá nhân được kiểm soát</x:v>
      </x:c>
      <x:c r="R543" s="14" t="str"/>
      <x:c r="S543" s="14" t="str">
        <x:v>Trung tâm Huấn luyện đào tạo; Ban Tổ chức cán bộ; Ban Kế hoạch doanh nghiệp - Chuyển đổi số; Ban Kỹ thuật - CNS/IT/Môi trường</x:v>
      </x:c>
      <x:c r="T543" s="14" t="str">
        <x:v>Văn phòng - Pháp chế; Ban Kỹ thuật - CNS/IT/Môi trường; Ban An toàn - Chất lượng</x:v>
      </x:c>
      <x:c r="U543" s="14" t="str"/>
      <x:c r="V543" s="14" t="str">
        <x:v>30/06/2027</x:v>
      </x:c>
      <x:c r="W543" s="14" t="str">
        <x:v>P1</x:v>
      </x:c>
      <x:c r="X543" s="14" t="str"/>
      <x:c r="Y543" s="14" t="str">
        <x:v>Chưa bắt đầu</x:v>
      </x:c>
      <x:c r="Z543" s="14" t="str"/>
      <x:c r="AA543" s="14" t="str"/>
      <x:c r="AB543" s="14" t="str">
        <x:v>huan luyen; du lieu; cns</x:v>
      </x:c>
    </x:row>
    <x:row r="544">
      <x:c r="A544" s="14" t="str">
        <x:v>VATM-0543</x:v>
      </x:c>
      <x:c r="B544" s="14" t="str">
        <x:v>T-39</x:v>
      </x:c>
      <x:c r="C544" s="14" t="str">
        <x:v>Dự thảo Nghị định về Nhà chức trách HKVN &amp; quản lý an toàn HK (01/07/2026)</x:v>
      </x:c>
      <x:c r="D544" s="14" t="str">
        <x:v>VATM_Ra_soat_du_thao_ND_Nha_chuc_trach_QLAT_01072026.xlsx</x:v>
      </x:c>
      <x:c r="E544" s="14" t="str">
        <x:v>Nhiem_vu_VATM</x:v>
      </x:c>
      <x:c r="F544" s="56" t="n">
        <x:v>40</x:v>
      </x:c>
      <x:c r="G544" s="14" t="str">
        <x:v>Điều 36-41</x:v>
      </x:c>
      <x:c r="H544" s="14" t="str">
        <x:v>Tuân thủ, pháp chế &amp; quản trị</x:v>
      </x:c>
      <x:c r="I544" s="14" t="str">
        <x:v>Thanh tra, kiểm tra, audit tuân thủ</x:v>
      </x:c>
      <x:c r="J544" s="14" t="str">
        <x:v>Giám sát/Thanh tra</x:v>
      </x:c>
      <x:c r="K544" s="14" t="str">
        <x:v>Trực tiếp</x:v>
      </x:c>
      <x:c r="L544" s="14" t="str">
        <x:v>Dữ liệu/số hóa</x:v>
      </x:c>
      <x:c r="M544" s="14" t="str"/>
      <x:c r="N544" s="14" t="str">
        <x:v>Đào tạo người tiếp đoàn giám sát an toàn về quyền hạn GSV, hồ sơ cần cung cấp và nguyên tắc bảo mật dữ liệu.</x:v>
      </x:c>
      <x:c r="O544" s="14" t="str"/>
      <x:c r="P544" s="14" t="str">
        <x:v>SOP tiếp đoàn; danh mục hồ sơ sẵn sàng; phân quyền cung cấp dữ liệu; 100% đơn vị trực tiếp có đầu mối; phản hồi yêu cầu giám sát đúng hạn</x:v>
      </x:c>
      <x:c r="Q544" s="14" t="str">
        <x:v>SOP tiếp đoàn; danh mục hồ sơ sẵn sàng; phân quyền cung cấp dữ liệu; 100% đơn vị trực tiếp có đầu mối; phản hồi yêu cầu giám sát đúng hạn</x:v>
      </x:c>
      <x:c r="R544" s="14" t="str"/>
      <x:c r="S544" s="14" t="str">
        <x:v>Văn phòng - Pháp chế</x:v>
      </x:c>
      <x:c r="T544" s="14" t="str">
        <x:v>Ban An toàn - Chất lượng; Văn phòng - Pháp chế</x:v>
      </x:c>
      <x:c r="U544" s="14" t="str"/>
      <x:c r="V544" s="14" t="str">
        <x:v>30/09/2026</x:v>
      </x:c>
      <x:c r="W544" s="14" t="str">
        <x:v>P2</x:v>
      </x:c>
      <x:c r="X544" s="14" t="str"/>
      <x:c r="Y544" s="14" t="str">
        <x:v>Chưa bắt đầu</x:v>
      </x:c>
      <x:c r="Z544" s="14" t="str"/>
      <x:c r="AA544" s="14" t="str"/>
      <x:c r="AB544" s="14" t="str">
        <x:v>phap che; an toan; du lieu</x:v>
      </x:c>
    </x:row>
    <x:row r="545">
      <x:c r="A545" s="14" t="str">
        <x:v>VATM-0544</x:v>
      </x:c>
      <x:c r="B545" s="14" t="str">
        <x:v>T-40</x:v>
      </x:c>
      <x:c r="C545" s="14" t="str">
        <x:v>Dự thảo Nghị định về Nhà chức trách HKVN &amp; quản lý an toàn HK (01/07/2026)</x:v>
      </x:c>
      <x:c r="D545" s="14" t="str">
        <x:v>VATM_Ra_soat_du_thao_ND_Nha_chuc_trach_QLAT_01072026.xlsx</x:v>
      </x:c>
      <x:c r="E545" s="14" t="str">
        <x:v>Nhiem_vu_VATM</x:v>
      </x:c>
      <x:c r="F545" s="56" t="n">
        <x:v>41</x:v>
      </x:c>
      <x:c r="G545" s="14" t="str">
        <x:v>Điều 26-27</x:v>
      </x:c>
      <x:c r="H545" s="14" t="str">
        <x:v>Tuân thủ, pháp chế &amp; quản trị</x:v>
      </x:c>
      <x:c r="I545" s="14" t="str">
        <x:v>Thanh tra, kiểm tra, audit tuân thủ</x:v>
      </x:c>
      <x:c r="J545" s="14" t="str">
        <x:v>Giám sát/Thanh tra</x:v>
      </x:c>
      <x:c r="K545" s="14" t="str">
        <x:v>Trực tiếp</x:v>
      </x:c>
      <x:c r="L545" s="14" t="str">
        <x:v>SMS/QLAT</x:v>
      </x:c>
      <x:c r="M545" s="14" t="str"/>
      <x:c r="N545" s="14" t="str">
        <x:v>Cập nhật hồ sơ rủi ro an toàn của từng cơ sở/dịch vụ ANS để chuẩn bị giám sát dựa trên rủi ro.</x:v>
      </x:c>
      <x:c r="O545" s="14" t="str"/>
      <x:c r="P545" s="14" t="str">
        <x:v>Risk profile từng đơn vị; hồ sơ hazard/risk control; Rà soát hằng quý; có bằng chứng hiệu lực kiểm soát rủi ro</x:v>
      </x:c>
      <x:c r="Q545" s="14" t="str">
        <x:v>Risk profile từng đơn vị; hồ sơ hazard/risk control; Rà soát hằng quý; có bằng chứng hiệu lực kiểm soát rủi ro</x:v>
      </x:c>
      <x:c r="R545" s="14" t="str"/>
      <x:c r="S545" s="14" t="str">
        <x:v>Văn phòng - Pháp chế; Ban An toàn - Chất lượng</x:v>
      </x:c>
      <x:c r="T545" s="14" t="str">
        <x:v>Ban Không lưu; Ban Kỹ thuật - CNS/IT/Môi trường; Trung tâm Khí tượng hàng không; Trung tâm Thông báo tin tức hàng không; Trung tâm Tìm kiếm cứu nạn hàng không; Văn phòng - Pháp chế</x:v>
      </x:c>
      <x:c r="U545" s="14" t="str"/>
      <x:c r="V545" s="14" t="str">
        <x:v>31/12/2026</x:v>
      </x:c>
      <x:c r="W545" s="14" t="str">
        <x:v>P1</x:v>
      </x:c>
      <x:c r="X545" s="14" t="str"/>
      <x:c r="Y545" s="14" t="str">
        <x:v>Chưa bắt đầu</x:v>
      </x:c>
      <x:c r="Z545" s="14" t="str"/>
      <x:c r="AA545" s="14" t="str"/>
      <x:c r="AB545" s="14" t="str">
        <x:v>phap che; ans; an toan</x:v>
      </x:c>
    </x:row>
    <x:row r="546">
      <x:c r="A546" s="14" t="str">
        <x:v>VATM-0545</x:v>
      </x:c>
      <x:c r="B546" s="14" t="str">
        <x:v>T-41</x:v>
      </x:c>
      <x:c r="C546" s="14" t="str">
        <x:v>Dự thảo Nghị định về Nhà chức trách HKVN &amp; quản lý an toàn HK (01/07/2026)</x:v>
      </x:c>
      <x:c r="D546" s="14" t="str">
        <x:v>VATM_Ra_soat_du_thao_ND_Nha_chuc_trach_QLAT_01072026.xlsx</x:v>
      </x:c>
      <x:c r="E546" s="14" t="str">
        <x:v>Nhiem_vu_VATM</x:v>
      </x:c>
      <x:c r="F546" s="56" t="n">
        <x:v>42</x:v>
      </x:c>
      <x:c r="G546" s="14" t="str">
        <x:v>Điều 10,32</x:v>
      </x:c>
      <x:c r="H546" s="14" t="str">
        <x:v>Tuân thủ, pháp chế &amp; quản trị</x:v>
      </x:c>
      <x:c r="I546" s="14" t="str">
        <x:v>Thanh tra, kiểm tra, audit tuân thủ</x:v>
      </x:c>
      <x:c r="J546" s="14" t="str">
        <x:v>Giám sát/Thanh tra</x:v>
      </x:c>
      <x:c r="K546" s="14" t="str">
        <x:v>Trực tiếp</x:v>
      </x:c>
      <x:c r="L546" s="14" t="str">
        <x:v>Báo cáo/điều tra/khắc phục</x:v>
      </x:c>
      <x:c r="M546" s="14" t="str"/>
      <x:c r="N546" s="14" t="str">
        <x:v>Thiết lập kho bằng chứng tuân thủ phục vụ giám sát: giấy phép, phê chuẩn, training, SMS, CAP, dữ liệu sự cố.</x:v>
      </x:c>
      <x:c r="O546" s="14" t="str"/>
      <x:c r="P546" s="14" t="str">
        <x:v>Compliance evidence repository; Truy xuất trong ≤02 giờ đối với hồ sơ trọng yếu; version control đầy đủ</x:v>
      </x:c>
      <x:c r="Q546" s="14" t="str">
        <x:v>Compliance evidence repository; Truy xuất trong ≤02 giờ đối với hồ sơ trọng yếu; version control đầy đủ</x:v>
      </x:c>
      <x:c r="R546" s="14" t="str"/>
      <x:c r="S546" s="14" t="str">
        <x:v>Văn phòng - Pháp chế; Ban An toàn - Chất lượng</x:v>
      </x:c>
      <x:c r="T546" s="14" t="str">
        <x:v>Văn phòng - Pháp chế; Ban Kế hoạch doanh nghiệp - Chuyển đổi số; Ban Kỹ thuật - CNS/IT/Môi trường</x:v>
      </x:c>
      <x:c r="U546" s="14" t="str"/>
      <x:c r="V546" s="14" t="str">
        <x:v>31/03/2027</x:v>
      </x:c>
      <x:c r="W546" s="14" t="str">
        <x:v>P2</x:v>
      </x:c>
      <x:c r="X546" s="14" t="str"/>
      <x:c r="Y546" s="14" t="str">
        <x:v>Chưa bắt đầu</x:v>
      </x:c>
      <x:c r="Z546" s="14" t="str"/>
      <x:c r="AA546" s="14" t="str"/>
      <x:c r="AB546" s="14" t="str">
        <x:v>phap che; sms; du lieu; phe chuan; giay phep; an toan</x:v>
      </x:c>
    </x:row>
    <x:row r="547">
      <x:c r="A547" s="14" t="str">
        <x:v>VATM-0546</x:v>
      </x:c>
      <x:c r="B547" s="14" t="str">
        <x:v>T-42</x:v>
      </x:c>
      <x:c r="C547" s="14" t="str">
        <x:v>Dự thảo Nghị định về Nhà chức trách HKVN &amp; quản lý an toàn HK (01/07/2026)</x:v>
      </x:c>
      <x:c r="D547" s="14" t="str">
        <x:v>VATM_Ra_soat_du_thao_ND_Nha_chuc_trach_QLAT_01072026.xlsx</x:v>
      </x:c>
      <x:c r="E547" s="14" t="str">
        <x:v>Nhiem_vu_VATM</x:v>
      </x:c>
      <x:c r="F547" s="56" t="n">
        <x:v>43</x:v>
      </x:c>
      <x:c r="G547" s="14" t="str">
        <x:v>Điều 12,13,67</x:v>
      </x:c>
      <x:c r="H547" s="14" t="str">
        <x:v>ANS - Tìm kiếm cứu nạn &amp; khẩn nguy</x:v>
      </x:c>
      <x:c r="I547" s="14" t="str">
        <x:v>SAR, khẩn nguy và hiệp đồng</x:v>
      </x:c>
      <x:c r="J547" s="14" t="str">
        <x:v>SAR/Khẩn nguy</x:v>
      </x:c>
      <x:c r="K547" s="14" t="str">
        <x:v>Trực tiếp</x:v>
      </x:c>
      <x:c r="L547" s="14" t="str">
        <x:v>Quy trình/SOP/biểu mẫu</x:v>
      </x:c>
      <x:c r="M547" s="14" t="str"/>
      <x:c r="N547" s="14" t="str">
        <x:v>Cập nhật quy trình phối hợp SAR/khẩn nguy với NCTHK, RCC, ATS units và cơ quan liên quan.</x:v>
      </x:c>
      <x:c r="O547" s="14" t="str"/>
      <x:c r="P547" s="14" t="str">
        <x:v>SOP SAR/khẩn nguy; danh bạ 24/7; kịch bản diễn tập; Diễn tập tối thiểu 01 lần/năm; kiểm tra hotline định kỳ</x:v>
      </x:c>
      <x:c r="Q547" s="14" t="str">
        <x:v>SOP SAR/khẩn nguy; danh bạ 24/7; kịch bản diễn tập; Diễn tập tối thiểu 01 lần/năm; kiểm tra hotline định kỳ</x:v>
      </x:c>
      <x:c r="R547" s="14" t="str"/>
      <x:c r="S547" s="14" t="str">
        <x:v>Trung tâm Tìm kiếm cứu nạn hàng không; Ban Không lưu</x:v>
      </x:c>
      <x:c r="T547" s="14" t="str">
        <x:v>Các Công ty Quản lý bay khu vực Bắc/Trung/Nam; Văn phòng - Pháp chế; Ban An toàn - Chất lượng; Trung tâm Tìm kiếm cứu nạn hàng không</x:v>
      </x:c>
      <x:c r="U547" s="14" t="str"/>
      <x:c r="V547" s="14" t="str">
        <x:v>31/12/2026</x:v>
      </x:c>
      <x:c r="W547" s="14" t="str">
        <x:v>P2</x:v>
      </x:c>
      <x:c r="X547" s="14" t="str"/>
      <x:c r="Y547" s="14" t="str">
        <x:v>Chưa bắt đầu</x:v>
      </x:c>
      <x:c r="Z547" s="14" t="str"/>
      <x:c r="AA547" s="14" t="str"/>
      <x:c r="AB547" s="14" t="str">
        <x:v>ans; sar; ats</x:v>
      </x:c>
    </x:row>
    <x:row r="548">
      <x:c r="A548" s="14" t="str">
        <x:v>VATM-0547</x:v>
      </x:c>
      <x:c r="B548" s="14" t="str">
        <x:v>T-43</x:v>
      </x:c>
      <x:c r="C548" s="14" t="str">
        <x:v>Dự thảo Nghị định về Nhà chức trách HKVN &amp; quản lý an toàn HK (01/07/2026)</x:v>
      </x:c>
      <x:c r="D548" s="14" t="str">
        <x:v>VATM_Ra_soat_du_thao_ND_Nha_chuc_trach_QLAT_01072026.xlsx</x:v>
      </x:c>
      <x:c r="E548" s="14" t="str">
        <x:v>Nhiem_vu_VATM</x:v>
      </x:c>
      <x:c r="F548" s="56" t="n">
        <x:v>44</x:v>
      </x:c>
      <x:c r="G548" s="14" t="str">
        <x:v>Điều 12</x:v>
      </x:c>
      <x:c r="H548" s="14" t="str">
        <x:v>ANS - Tìm kiếm cứu nạn &amp; khẩn nguy</x:v>
      </x:c>
      <x:c r="I548" s="14" t="str">
        <x:v>SAR, khẩn nguy và hiệp đồng</x:v>
      </x:c>
      <x:c r="J548" s="14" t="str">
        <x:v>SAR/Khẩn nguy</x:v>
      </x:c>
      <x:c r="K548" s="14" t="str">
        <x:v>Trực tiếp</x:v>
      </x:c>
      <x:c r="L548" s="14" t="str">
        <x:v>Báo cáo/điều tra/khắc phục</x:v>
      </x:c>
      <x:c r="M548" s="14" t="str"/>
      <x:c r="N548" s="14" t="str">
        <x:v>Đảm bảo nhân viên SAR/ATS được huấn luyện nhận diện distress phase/alert phase và thông báo sự cố/tai nạn.</x:v>
      </x:c>
      <x:c r="O548" s="14" t="str"/>
      <x:c r="P548" s="14" t="str">
        <x:v>Chương trình huấn luyện; hồ sơ chứng nhận; ≥95% nhân viên liên quan hoàn thành huấn luyện mỗi năm</x:v>
      </x:c>
      <x:c r="Q548" s="14" t="str">
        <x:v>Chương trình huấn luyện; hồ sơ chứng nhận; ≥95% nhân viên liên quan hoàn thành huấn luyện mỗi năm</x:v>
      </x:c>
      <x:c r="R548" s="14" t="str"/>
      <x:c r="S548" s="14" t="str">
        <x:v>Trung tâm Tìm kiếm cứu nạn hàng không; Ban Không lưu</x:v>
      </x:c>
      <x:c r="T548" s="14" t="str">
        <x:v>Các Công ty Quản lý bay khu vực Bắc/Trung/Nam; Trung tâm Tìm kiếm cứu nạn hàng không</x:v>
      </x:c>
      <x:c r="U548" s="14" t="str"/>
      <x:c r="V548" s="14" t="str">
        <x:v>31/12/2026</x:v>
      </x:c>
      <x:c r="W548" s="14" t="str">
        <x:v>P2</x:v>
      </x:c>
      <x:c r="X548" s="14" t="str"/>
      <x:c r="Y548" s="14" t="str">
        <x:v>Chưa bắt đầu</x:v>
      </x:c>
      <x:c r="Z548" s="14" t="str"/>
      <x:c r="AA548" s="14" t="str"/>
      <x:c r="AB548" s="14" t="str">
        <x:v>ans; sar; ats; huan luyen</x:v>
      </x:c>
    </x:row>
    <x:row r="549">
      <x:c r="A549" s="14" t="str">
        <x:v>VATM-0548</x:v>
      </x:c>
      <x:c r="B549" s="14" t="str">
        <x:v>T-44</x:v>
      </x:c>
      <x:c r="C549" s="14" t="str">
        <x:v>Dự thảo Nghị định về Nhà chức trách HKVN &amp; quản lý an toàn HK (01/07/2026)</x:v>
      </x:c>
      <x:c r="D549" s="14" t="str">
        <x:v>VATM_Ra_soat_du_thao_ND_Nha_chuc_trach_QLAT_01072026.xlsx</x:v>
      </x:c>
      <x:c r="E549" s="14" t="str">
        <x:v>Nhiem_vu_VATM</x:v>
      </x:c>
      <x:c r="F549" s="56" t="n">
        <x:v>45</x:v>
      </x:c>
      <x:c r="G549" s="14" t="str">
        <x:v>Điều 55-60</x:v>
      </x:c>
      <x:c r="H549" s="14" t="str">
        <x:v>Tuân thủ, pháp chế &amp; quản trị</x:v>
      </x:c>
      <x:c r="I549" s="14" t="str">
        <x:v>Quản trị triển khai, RACI và báo cáo</x:v>
      </x:c>
      <x:c r="J549" s="14" t="str">
        <x:v>Điều tra sự cố</x:v>
      </x:c>
      <x:c r="K549" s="14" t="str">
        <x:v>Trực tiếp</x:v>
      </x:c>
      <x:c r="L549" s="14" t="str">
        <x:v>Báo cáo/điều tra/khắc phục</x:v>
      </x:c>
      <x:c r="M549" s="14" t="str"/>
      <x:c r="N549" s="14" t="str">
        <x:v>Thiết lập đầu mối VATM phối hợp Hội đồng điều tra/IIC, có quy trình kích hoạt khi ACCID/SINCID.</x:v>
      </x:c>
      <x:c r="O549" s="14" t="str"/>
      <x:c r="P549" s="14" t="str">
        <x:v>SOP phối hợp điều tra; danh sách đầu mối 24/7; Kích hoạt trong ≤30 phút từ thông tin ban đầu; log đầy đủ</x:v>
      </x:c>
      <x:c r="Q549" s="14" t="str">
        <x:v>SOP phối hợp điều tra; danh sách đầu mối 24/7; Kích hoạt trong ≤30 phút từ thông tin ban đầu; log đầy đủ</x:v>
      </x:c>
      <x:c r="R549" s="14" t="str"/>
      <x:c r="S549" s="14" t="str">
        <x:v>Văn phòng - Pháp chế; Ban An toàn - Chất lượng</x:v>
      </x:c>
      <x:c r="T549" s="14" t="str">
        <x:v>Văn phòng - Pháp chế; Ban Không lưu; Ban Kỹ thuật - CNS/IT/Môi trường; Trung tâm Khí tượng hàng không; Trung tâm Thông báo tin tức hàng không; Trung tâm Tìm kiếm cứu nạn hàng không</x:v>
      </x:c>
      <x:c r="U549" s="14" t="str"/>
      <x:c r="V549" s="14" t="str">
        <x:v>30/09/2026</x:v>
      </x:c>
      <x:c r="W549" s="14" t="str">
        <x:v>P1</x:v>
      </x:c>
      <x:c r="X549" s="14" t="str"/>
      <x:c r="Y549" s="14" t="str">
        <x:v>Chưa bắt đầu</x:v>
      </x:c>
      <x:c r="Z549" s="14" t="str"/>
      <x:c r="AA549" s="14" t="str"/>
      <x:c r="AB549" s="14" t="str">
        <x:v>phap che; atm; an toan</x:v>
      </x:c>
    </x:row>
    <x:row r="550">
      <x:c r="A550" s="14" t="str">
        <x:v>VATM-0549</x:v>
      </x:c>
      <x:c r="B550" s="14" t="str">
        <x:v>T-45</x:v>
      </x:c>
      <x:c r="C550" s="14" t="str">
        <x:v>Dự thảo Nghị định về Nhà chức trách HKVN &amp; quản lý an toàn HK (01/07/2026)</x:v>
      </x:c>
      <x:c r="D550" s="14" t="str">
        <x:v>VATM_Ra_soat_du_thao_ND_Nha_chuc_trach_QLAT_01072026.xlsx</x:v>
      </x:c>
      <x:c r="E550" s="14" t="str">
        <x:v>Nhiem_vu_VATM</x:v>
      </x:c>
      <x:c r="F550" s="56" t="n">
        <x:v>46</x:v>
      </x:c>
      <x:c r="G550" s="14" t="str">
        <x:v>Điều 60,65</x:v>
      </x:c>
      <x:c r="H550" s="14" t="str">
        <x:v>Tuân thủ, pháp chế &amp; quản trị</x:v>
      </x:c>
      <x:c r="I550" s="14" t="str">
        <x:v>Quản trị triển khai, RACI và báo cáo</x:v>
      </x:c>
      <x:c r="J550" s="14" t="str">
        <x:v>Điều tra sự cố</x:v>
      </x:c>
      <x:c r="K550" s="14" t="str">
        <x:v>Trực tiếp</x:v>
      </x:c>
      <x:c r="L550" s="14" t="str">
        <x:v>Báo cáo/điều tra/khắc phục</x:v>
      </x:c>
      <x:c r="M550" s="14" t="str"/>
      <x:c r="N550" s="14" t="str">
        <x:v>Lập danh sách chuyên gia VATM lĩnh vực điều hành bay, CNS, MET, AIS, SAR có thể hỗ trợ/trưng tập điều tra.</x:v>
      </x:c>
      <x:c r="O550" s="14" t="str"/>
      <x:c r="P550" s="14" t="str">
        <x:v>Expert roster; CV/năng lực; kế hoạch đào tạo điều tra; Mỗi lĩnh vực ANS có ≥02 chuyên gia dự phòng; rà soát 6 tháng/lần</x:v>
      </x:c>
      <x:c r="Q550" s="14" t="str">
        <x:v>Expert roster; CV/năng lực; kế hoạch đào tạo điều tra; Mỗi lĩnh vực ANS có ≥02 chuyên gia dự phòng; rà soát 6 tháng/lần</x:v>
      </x:c>
      <x:c r="R550" s="14" t="str"/>
      <x:c r="S550" s="14" t="str">
        <x:v>Văn phòng - Pháp chế; Ban An toàn - Chất lượng</x:v>
      </x:c>
      <x:c r="T550" s="14" t="str">
        <x:v>Văn phòng - Pháp chế</x:v>
      </x:c>
      <x:c r="U550" s="14" t="str"/>
      <x:c r="V550" s="14" t="str">
        <x:v>31/12/2026</x:v>
      </x:c>
      <x:c r="W550" s="14" t="str">
        <x:v>P2</x:v>
      </x:c>
      <x:c r="X550" s="14" t="str"/>
      <x:c r="Y550" s="14" t="str">
        <x:v>Chưa bắt đầu</x:v>
      </x:c>
      <x:c r="Z550" s="14" t="str"/>
      <x:c r="AA550" s="14" t="str"/>
      <x:c r="AB550" s="14" t="str">
        <x:v>phap che; atm; cns; ais; met; sar; an toan</x:v>
      </x:c>
    </x:row>
    <x:row r="551">
      <x:c r="A551" s="14" t="str">
        <x:v>VATM-0550</x:v>
      </x:c>
      <x:c r="B551" s="14" t="str">
        <x:v>T-46</x:v>
      </x:c>
      <x:c r="C551" s="14" t="str">
        <x:v>Dự thảo Nghị định về Nhà chức trách HKVN &amp; quản lý an toàn HK (01/07/2026)</x:v>
      </x:c>
      <x:c r="D551" s="14" t="str">
        <x:v>VATM_Ra_soat_du_thao_ND_Nha_chuc_trach_QLAT_01072026.xlsx</x:v>
      </x:c>
      <x:c r="E551" s="14" t="str">
        <x:v>Nhiem_vu_VATM</x:v>
      </x:c>
      <x:c r="F551" s="56" t="n">
        <x:v>47</x:v>
      </x:c>
      <x:c r="G551" s="14" t="str">
        <x:v>Điều 62</x:v>
      </x:c>
      <x:c r="H551" s="14" t="str">
        <x:v>Tuân thủ, pháp chế &amp; quản trị</x:v>
      </x:c>
      <x:c r="I551" s="14" t="str">
        <x:v>Quản trị triển khai, RACI và báo cáo</x:v>
      </x:c>
      <x:c r="J551" s="14" t="str">
        <x:v>Điều tra sự cố</x:v>
      </x:c>
      <x:c r="K551" s="14" t="str">
        <x:v>Trực tiếp</x:v>
      </x:c>
      <x:c r="L551" s="14" t="str">
        <x:v>Báo cáo/điều tra/khắc phục</x:v>
      </x:c>
      <x:c r="M551" s="14" t="str"/>
      <x:c r="N551" s="14" t="str">
        <x:v>Đề xuất huấn luyện cơ bản về điều tra sự cố/tai nạn theo ICAO Doc 10206 cho chuyên gia VATM được đề cử.</x:v>
      </x:c>
      <x:c r="O551" s="14" t="str"/>
      <x:c r="P551" s="14" t="str">
        <x:v>Kế hoạch đào tạo điều tra; chứng chỉ khóa học; Đội chuyên gia nòng cốt hoàn thành trước 30/06/2027</x:v>
      </x:c>
      <x:c r="Q551" s="14" t="str">
        <x:v>Kế hoạch đào tạo điều tra; chứng chỉ khóa học; Đội chuyên gia nòng cốt hoàn thành trước 30/06/2027</x:v>
      </x:c>
      <x:c r="R551" s="14" t="str"/>
      <x:c r="S551" s="14" t="str">
        <x:v>Văn phòng - Pháp chế; Ban An toàn - Chất lượng</x:v>
      </x:c>
      <x:c r="T551" s="14" t="str">
        <x:v>Văn phòng - Pháp chế</x:v>
      </x:c>
      <x:c r="U551" s="14" t="str"/>
      <x:c r="V551" s="14" t="str">
        <x:v>30/06/2027</x:v>
      </x:c>
      <x:c r="W551" s="14" t="str">
        <x:v>P2</x:v>
      </x:c>
      <x:c r="X551" s="14" t="str"/>
      <x:c r="Y551" s="14" t="str">
        <x:v>Chưa bắt đầu</x:v>
      </x:c>
      <x:c r="Z551" s="14" t="str"/>
      <x:c r="AA551" s="14" t="str"/>
      <x:c r="AB551" s="14" t="str">
        <x:v>phap che; atm; huan luyen; an toan</x:v>
      </x:c>
    </x:row>
    <x:row r="552">
      <x:c r="A552" s="14" t="str">
        <x:v>VATM-0551</x:v>
      </x:c>
      <x:c r="B552" s="14" t="str">
        <x:v>T-47</x:v>
      </x:c>
      <x:c r="C552" s="14" t="str">
        <x:v>Dự thảo Nghị định về Nhà chức trách HKVN &amp; quản lý an toàn HK (01/07/2026)</x:v>
      </x:c>
      <x:c r="D552" s="14" t="str">
        <x:v>VATM_Ra_soat_du_thao_ND_Nha_chuc_trach_QLAT_01072026.xlsx</x:v>
      </x:c>
      <x:c r="E552" s="14" t="str">
        <x:v>Nhiem_vu_VATM</x:v>
      </x:c>
      <x:c r="F552" s="56" t="n">
        <x:v>48</x:v>
      </x:c>
      <x:c r="G552" s="14" t="str">
        <x:v>Điều 67-68</x:v>
      </x:c>
      <x:c r="H552" s="14" t="str">
        <x:v>Tuân thủ, pháp chế &amp; quản trị</x:v>
      </x:c>
      <x:c r="I552" s="14" t="str">
        <x:v>Quản trị triển khai, RACI và báo cáo</x:v>
      </x:c>
      <x:c r="J552" s="14" t="str">
        <x:v>Điều tra sự cố</x:v>
      </x:c>
      <x:c r="K552" s="14" t="str">
        <x:v>Trực tiếp</x:v>
      </x:c>
      <x:c r="L552" s="14" t="str">
        <x:v>Báo cáo/điều tra/khắc phục</x:v>
      </x:c>
      <x:c r="M552" s="14" t="str"/>
      <x:c r="N552" s="14" t="str">
        <x:v>Chuẩn hóa mẫu báo cáo ban đầu cho ATS/VATM, bao gồm thông tin cơ sở cung cấp dịch vụ, vị trí kiểm soát, hệ thống liên quan, MET, tình trạng thiết bị.</x:v>
      </x:c>
      <x:c r="O552" s="14" t="str"/>
      <x:c r="P552" s="14" t="str">
        <x:v>Mẫu báo cáo 24h; hướng dẫn điền; kiểm tra định kỳ; Thông tin đầy đủ theo Điều 68; dữ liệu nguồn được dẫn chiếu rõ</x:v>
      </x:c>
      <x:c r="Q552" s="14" t="str">
        <x:v>Mẫu báo cáo 24h; hướng dẫn điền; kiểm tra định kỳ; Thông tin đầy đủ theo Điều 68; dữ liệu nguồn được dẫn chiếu rõ</x:v>
      </x:c>
      <x:c r="R552" s="14" t="str"/>
      <x:c r="S552" s="14" t="str">
        <x:v>Văn phòng - Pháp chế; Ban An toàn - Chất lượng</x:v>
      </x:c>
      <x:c r="T552" s="14" t="str">
        <x:v>Ban Không lưu; Ban Kỹ thuật - CNS/IT/Môi trường; Trung tâm Khí tượng hàng không; Trung tâm Thông báo tin tức hàng không; Văn phòng - Pháp chế</x:v>
      </x:c>
      <x:c r="U552" s="14" t="str"/>
      <x:c r="V552" s="14" t="str">
        <x:v>30/09/2026</x:v>
      </x:c>
      <x:c r="W552" s="14" t="str">
        <x:v>P1</x:v>
      </x:c>
      <x:c r="X552" s="14" t="str"/>
      <x:c r="Y552" s="14" t="str">
        <x:v>Chưa bắt đầu</x:v>
      </x:c>
      <x:c r="Z552" s="14" t="str"/>
      <x:c r="AA552" s="14" t="str"/>
      <x:c r="AB552" s="14" t="str">
        <x:v>phap che; atm; ats; met; an toan</x:v>
      </x:c>
    </x:row>
    <x:row r="553">
      <x:c r="A553" s="14" t="str">
        <x:v>VATM-0552</x:v>
      </x:c>
      <x:c r="B553" s="14" t="str">
        <x:v>T-48</x:v>
      </x:c>
      <x:c r="C553" s="14" t="str">
        <x:v>Dự thảo Nghị định về Nhà chức trách HKVN &amp; quản lý an toàn HK (01/07/2026)</x:v>
      </x:c>
      <x:c r="D553" s="14" t="str">
        <x:v>VATM_Ra_soat_du_thao_ND_Nha_chuc_trach_QLAT_01072026.xlsx</x:v>
      </x:c>
      <x:c r="E553" s="14" t="str">
        <x:v>Nhiem_vu_VATM</x:v>
      </x:c>
      <x:c r="F553" s="56" t="n">
        <x:v>49</x:v>
      </x:c>
      <x:c r="G553" s="14" t="str">
        <x:v>Điều 72</x:v>
      </x:c>
      <x:c r="H553" s="14" t="str">
        <x:v>Tuân thủ, pháp chế &amp; quản trị</x:v>
      </x:c>
      <x:c r="I553" s="14" t="str">
        <x:v>Quản trị triển khai, RACI và báo cáo</x:v>
      </x:c>
      <x:c r="J553" s="14" t="str">
        <x:v>Điều tra sự cố</x:v>
      </x:c>
      <x:c r="K553" s="14" t="str">
        <x:v>Trực tiếp</x:v>
      </x:c>
      <x:c r="L553" s="14" t="str">
        <x:v>Báo cáo/điều tra/khắc phục</x:v>
      </x:c>
      <x:c r="M553" s="14" t="str"/>
      <x:c r="N553" s="14" t="str">
        <x:v>Ban hành quy trình bảo quản dữ liệu ATS/CNS/MET/AIS/SAR, ghi âm, giám sát bay, kế hoạch bay, nhật ký kỹ thuật khi có sự cố/tai nạn.</x:v>
      </x:c>
      <x:c r="O553" s="14" t="str"/>
      <x:c r="P553" s="14" t="str">
        <x:v>Data preservation SOP; checklist niêm phong/sao lưu; chain-of-custody; Không ghi đè/mất dữ liệu; có hash/lưu vết; quyền truy cập hạn chế</x:v>
      </x:c>
      <x:c r="Q553" s="14" t="str">
        <x:v>Data preservation SOP; checklist niêm phong/sao lưu; chain-of-custody; Không ghi đè/mất dữ liệu; có hash/lưu vết; quyền truy cập hạn chế</x:v>
      </x:c>
      <x:c r="R553" s="14" t="str"/>
      <x:c r="S553" s="14" t="str">
        <x:v>Văn phòng - Pháp chế; Ban Kế hoạch doanh nghiệp - Chuyển đổi số; Ban Kỹ thuật - CNS/IT/Môi trường; Ban An toàn - Chất lượng</x:v>
      </x:c>
      <x:c r="T553" s="14" t="str">
        <x:v>Văn phòng - Pháp chế; Ban Không lưu; Ban Kỹ thuật - CNS/IT/Môi trường; Trung tâm Khí tượng hàng không; Trung tâm Thông báo tin tức hàng không</x:v>
      </x:c>
      <x:c r="U553" s="14" t="str"/>
      <x:c r="V553" s="14" t="str">
        <x:v>30/09/2026</x:v>
      </x:c>
      <x:c r="W553" s="14" t="str">
        <x:v>P1</x:v>
      </x:c>
      <x:c r="X553" s="14" t="str"/>
      <x:c r="Y553" s="14" t="str">
        <x:v>Chưa bắt đầu</x:v>
      </x:c>
      <x:c r="Z553" s="14" t="str"/>
      <x:c r="AA553" s="14" t="str"/>
      <x:c r="AB553" s="14" t="str">
        <x:v>phap che; ats; cns; ais; met; sar; du lieu; an toan</x:v>
      </x:c>
    </x:row>
    <x:row r="554">
      <x:c r="A554" s="14" t="str">
        <x:v>VATM-0553</x:v>
      </x:c>
      <x:c r="B554" s="14" t="str">
        <x:v>T-49</x:v>
      </x:c>
      <x:c r="C554" s="14" t="str">
        <x:v>Dự thảo Nghị định về Nhà chức trách HKVN &amp; quản lý an toàn HK (01/07/2026)</x:v>
      </x:c>
      <x:c r="D554" s="14" t="str">
        <x:v>VATM_Ra_soat_du_thao_ND_Nha_chuc_trach_QLAT_01072026.xlsx</x:v>
      </x:c>
      <x:c r="E554" s="14" t="str">
        <x:v>Nhiem_vu_VATM</x:v>
      </x:c>
      <x:c r="F554" s="56" t="n">
        <x:v>50</x:v>
      </x:c>
      <x:c r="G554" s="14" t="str">
        <x:v>Điều 72</x:v>
      </x:c>
      <x:c r="H554" s="14" t="str">
        <x:v>Tuân thủ, pháp chế &amp; quản trị</x:v>
      </x:c>
      <x:c r="I554" s="14" t="str">
        <x:v>Quản trị triển khai, RACI và báo cáo</x:v>
      </x:c>
      <x:c r="J554" s="14" t="str">
        <x:v>Điều tra sự cố</x:v>
      </x:c>
      <x:c r="K554" s="14" t="str">
        <x:v>Trực tiếp</x:v>
      </x:c>
      <x:c r="L554" s="14" t="str">
        <x:v>Báo cáo/điều tra/khắc phục</x:v>
      </x:c>
      <x:c r="M554" s="14" t="str"/>
      <x:c r="N554" s="14" t="str">
        <x:v>Kiểm tra năng lực lưu trữ dữ liệu ghi âm/radar/ADS-B/AMHS/MET/AIS theo yêu cầu điều tra và thời hạn lưu trữ nội bộ.</x:v>
      </x:c>
      <x:c r="O554" s="14" t="str"/>
      <x:c r="P554" s="14" t="str">
        <x:v>Báo cáo storage capacity; DR test; kế hoạch nâng cấp; Dữ liệu điều tra trọng yếu có bản sao bảo toàn; phục hồi thử nghiệm định kỳ</x:v>
      </x:c>
      <x:c r="Q554" s="14" t="str">
        <x:v>Báo cáo storage capacity; DR test; kế hoạch nâng cấp; Dữ liệu điều tra trọng yếu có bản sao bảo toàn; phục hồi thử nghiệm định kỳ</x:v>
      </x:c>
      <x:c r="R554" s="14" t="str"/>
      <x:c r="S554" s="14" t="str">
        <x:v>Văn phòng - Pháp chế; Ban Kế hoạch doanh nghiệp - Chuyển đổi số; Ban Kỹ thuật - CNS/IT/Môi trường</x:v>
      </x:c>
      <x:c r="T554" s="14" t="str">
        <x:v>Ban Không lưu; Ban Kỹ thuật - CNS/IT/Môi trường; Ban An toàn - Chất lượng; Văn phòng - Pháp chế</x:v>
      </x:c>
      <x:c r="U554" s="14" t="str"/>
      <x:c r="V554" s="14" t="str">
        <x:v>31/12/2026</x:v>
      </x:c>
      <x:c r="W554" s="14" t="str">
        <x:v>P1</x:v>
      </x:c>
      <x:c r="X554" s="14" t="str"/>
      <x:c r="Y554" s="14" t="str">
        <x:v>Chưa bắt đầu</x:v>
      </x:c>
      <x:c r="Z554" s="14" t="str"/>
      <x:c r="AA554" s="14" t="str"/>
      <x:c r="AB554" s="14" t="str">
        <x:v>phap che; ais; met; du lieu; cns</x:v>
      </x:c>
    </x:row>
    <x:row r="555">
      <x:c r="A555" s="14" t="str">
        <x:v>VATM-0554</x:v>
      </x:c>
      <x:c r="B555" s="14" t="str">
        <x:v>T-50</x:v>
      </x:c>
      <x:c r="C555" s="14" t="str">
        <x:v>Dự thảo Nghị định về Nhà chức trách HKVN &amp; quản lý an toàn HK (01/07/2026)</x:v>
      </x:c>
      <x:c r="D555" s="14" t="str">
        <x:v>VATM_Ra_soat_du_thao_ND_Nha_chuc_trach_QLAT_01072026.xlsx</x:v>
      </x:c>
      <x:c r="E555" s="14" t="str">
        <x:v>Nhiem_vu_VATM</x:v>
      </x:c>
      <x:c r="F555" s="56" t="n">
        <x:v>51</x:v>
      </x:c>
      <x:c r="G555" s="14" t="str">
        <x:v>Điều 73</x:v>
      </x:c>
      <x:c r="H555" s="14" t="str">
        <x:v>Tuân thủ, pháp chế &amp; quản trị</x:v>
      </x:c>
      <x:c r="I555" s="14" t="str">
        <x:v>Quản trị triển khai, RACI và báo cáo</x:v>
      </x:c>
      <x:c r="J555" s="14" t="str">
        <x:v>Điều tra sự cố</x:v>
      </x:c>
      <x:c r="K555" s="14" t="str">
        <x:v>Trực tiếp</x:v>
      </x:c>
      <x:c r="L555" s="14" t="str">
        <x:v>Báo cáo/điều tra/khắc phục</x:v>
      </x:c>
      <x:c r="M555" s="14" t="str"/>
      <x:c r="N555" s="14" t="str">
        <x:v>Quy định cơ chế cung cấp nhân sự, trang thiết bị, phương tiện khi Hội đồng điều tra yêu cầu trưng dụng/hỗ trợ.</x:v>
      </x:c>
      <x:c r="O555" s="14" t="str"/>
      <x:c r="P555" s="14" t="str">
        <x:v>SOP trưng dụng/hỗ trợ; mẫu quyết định cử người; Đúng phạm vi yêu cầu; bảo đảm an toàn lao động và bảo mật thông tin</x:v>
      </x:c>
      <x:c r="Q555" s="14" t="str">
        <x:v>SOP trưng dụng/hỗ trợ; mẫu quyết định cử người; Đúng phạm vi yêu cầu; bảo đảm an toàn lao động và bảo mật thông tin</x:v>
      </x:c>
      <x:c r="R555" s="14" t="str"/>
      <x:c r="S555" s="14" t="str">
        <x:v>Văn phòng - Pháp chế; Ban An toàn - Chất lượng</x:v>
      </x:c>
      <x:c r="T555" s="14" t="str">
        <x:v>Văn phòng - Pháp chế</x:v>
      </x:c>
      <x:c r="U555" s="14" t="str"/>
      <x:c r="V555" s="14" t="str">
        <x:v>31/12/2026</x:v>
      </x:c>
      <x:c r="W555" s="14" t="str">
        <x:v>P2</x:v>
      </x:c>
      <x:c r="X555" s="14" t="str"/>
      <x:c r="Y555" s="14" t="str">
        <x:v>Chưa bắt đầu</x:v>
      </x:c>
      <x:c r="Z555" s="14" t="str"/>
      <x:c r="AA555" s="14" t="str"/>
      <x:c r="AB555" s="14" t="str">
        <x:v>phap che; an toan</x:v>
      </x:c>
    </x:row>
    <x:row r="556">
      <x:c r="A556" s="14" t="str">
        <x:v>VATM-0555</x:v>
      </x:c>
      <x:c r="B556" s="14" t="str">
        <x:v>T-51</x:v>
      </x:c>
      <x:c r="C556" s="14" t="str">
        <x:v>Dự thảo Nghị định về Nhà chức trách HKVN &amp; quản lý an toàn HK (01/07/2026)</x:v>
      </x:c>
      <x:c r="D556" s="14" t="str">
        <x:v>VATM_Ra_soat_du_thao_ND_Nha_chuc_trach_QLAT_01072026.xlsx</x:v>
      </x:c>
      <x:c r="E556" s="14" t="str">
        <x:v>Nhiem_vu_VATM</x:v>
      </x:c>
      <x:c r="F556" s="56" t="n">
        <x:v>52</x:v>
      </x:c>
      <x:c r="G556" s="14" t="str">
        <x:v>Điều 74</x:v>
      </x:c>
      <x:c r="H556" s="14" t="str">
        <x:v>Tuân thủ, pháp chế &amp; quản trị</x:v>
      </x:c>
      <x:c r="I556" s="14" t="str">
        <x:v>Quản trị triển khai, RACI và báo cáo</x:v>
      </x:c>
      <x:c r="J556" s="14" t="str">
        <x:v>Điều tra sự cố</x:v>
      </x:c>
      <x:c r="K556" s="14" t="str">
        <x:v>Trực tiếp</x:v>
      </x:c>
      <x:c r="L556" s="14" t="str">
        <x:v>Báo cáo/điều tra/khắc phục</x:v>
      </x:c>
      <x:c r="M556" s="14" t="str"/>
      <x:c r="N556" s="14" t="str">
        <x:v>Phân tách quy trình cung cấp dữ liệu cho điều tra an toàn và cơ quan tố tụng, bảo đảm điều tra an toàn độc lập và bảo mật.</x:v>
      </x:c>
      <x:c r="O556" s="14" t="str"/>
      <x:c r="P556" s="14" t="str">
        <x:v>Quy trình disclosure; ma trận thẩm quyền phê duyệt; Không cung cấp trái thẩm quyền; mọi yêu cầu có văn bản/log</x:v>
      </x:c>
      <x:c r="Q556" s="14" t="str">
        <x:v>Quy trình disclosure; ma trận thẩm quyền phê duyệt; Không cung cấp trái thẩm quyền; mọi yêu cầu có văn bản/log</x:v>
      </x:c>
      <x:c r="R556" s="14" t="str"/>
      <x:c r="S556" s="14" t="str">
        <x:v>Văn phòng - Pháp chế</x:v>
      </x:c>
      <x:c r="T556" s="14" t="str">
        <x:v>Ban Kế hoạch doanh nghiệp - Chuyển đổi số; Ban Kỹ thuật - CNS/IT/Môi trường; Ban An toàn - Chất lượng; Văn phòng - Pháp chế</x:v>
      </x:c>
      <x:c r="U556" s="14" t="str"/>
      <x:c r="V556" s="14" t="str">
        <x:v>31/12/2026</x:v>
      </x:c>
      <x:c r="W556" s="14" t="str">
        <x:v>P2</x:v>
      </x:c>
      <x:c r="X556" s="14" t="str"/>
      <x:c r="Y556" s="14" t="str">
        <x:v>Chưa bắt đầu</x:v>
      </x:c>
      <x:c r="Z556" s="14" t="str"/>
      <x:c r="AA556" s="14" t="str"/>
      <x:c r="AB556" s="14" t="str">
        <x:v>phap che; an toan; du lieu</x:v>
      </x:c>
    </x:row>
    <x:row r="557">
      <x:c r="A557" s="14" t="str">
        <x:v>VATM-0556</x:v>
      </x:c>
      <x:c r="B557" s="14" t="str">
        <x:v>T-52</x:v>
      </x:c>
      <x:c r="C557" s="14" t="str">
        <x:v>Dự thảo Nghị định về Nhà chức trách HKVN &amp; quản lý an toàn HK (01/07/2026)</x:v>
      </x:c>
      <x:c r="D557" s="14" t="str">
        <x:v>VATM_Ra_soat_du_thao_ND_Nha_chuc_trach_QLAT_01072026.xlsx</x:v>
      </x:c>
      <x:c r="E557" s="14" t="str">
        <x:v>Nhiem_vu_VATM</x:v>
      </x:c>
      <x:c r="F557" s="56" t="n">
        <x:v>53</x:v>
      </x:c>
      <x:c r="G557" s="14" t="str">
        <x:v>Điều 77-79</x:v>
      </x:c>
      <x:c r="H557" s="14" t="str">
        <x:v>Tuân thủ, pháp chế &amp; quản trị</x:v>
      </x:c>
      <x:c r="I557" s="14" t="str">
        <x:v>Quản trị triển khai, RACI và báo cáo</x:v>
      </x:c>
      <x:c r="J557" s="14" t="str">
        <x:v>Điều tra sự cố</x:v>
      </x:c>
      <x:c r="K557" s="14" t="str">
        <x:v>Trực tiếp</x:v>
      </x:c>
      <x:c r="L557" s="14" t="str">
        <x:v>Báo cáo/điều tra/khắc phục</x:v>
      </x:c>
      <x:c r="M557" s="14" t="str"/>
      <x:c r="N557" s="14" t="str">
        <x:v>Thiết lập cơ chế cung cấp dữ liệu nhanh cho báo cáo sơ bộ 30 ngày, báo cáo chính thức/tạm thời, báo cáo dữ liệu ICAO.</x:v>
      </x:c>
      <x:c r="O557" s="14" t="str"/>
      <x:c r="P557" s="14" t="str">
        <x:v>Data package template; checklist báo cáo; Dữ liệu giao trước deadline của Hội đồng; định dạng chuẩn hóa</x:v>
      </x:c>
      <x:c r="Q557" s="14" t="str">
        <x:v>Data package template; checklist báo cáo; Dữ liệu giao trước deadline của Hội đồng; định dạng chuẩn hóa</x:v>
      </x:c>
      <x:c r="R557" s="14" t="str"/>
      <x:c r="S557" s="14" t="str">
        <x:v>Văn phòng - Pháp chế; Ban An toàn - Chất lượng</x:v>
      </x:c>
      <x:c r="T557" s="14" t="str">
        <x:v>Ban Không lưu; Ban Kỹ thuật - CNS/IT/Môi trường; Trung tâm Khí tượng hàng không; Trung tâm Thông báo tin tức hàng không; Trung tâm Tìm kiếm cứu nạn hàng không; Văn phòng - Pháp chế</x:v>
      </x:c>
      <x:c r="U557" s="14" t="str"/>
      <x:c r="V557" s="14" t="str">
        <x:v>31/12/2026</x:v>
      </x:c>
      <x:c r="W557" s="14" t="str">
        <x:v>P2</x:v>
      </x:c>
      <x:c r="X557" s="14" t="str"/>
      <x:c r="Y557" s="14" t="str">
        <x:v>Chưa bắt đầu</x:v>
      </x:c>
      <x:c r="Z557" s="14" t="str"/>
      <x:c r="AA557" s="14" t="str"/>
      <x:c r="AB557" s="14" t="str">
        <x:v>phap che; du lieu; an toan</x:v>
      </x:c>
    </x:row>
    <x:row r="558">
      <x:c r="A558" s="14" t="str">
        <x:v>VATM-0557</x:v>
      </x:c>
      <x:c r="B558" s="14" t="str">
        <x:v>T-53</x:v>
      </x:c>
      <x:c r="C558" s="14" t="str">
        <x:v>Dự thảo Nghị định về Nhà chức trách HKVN &amp; quản lý an toàn HK (01/07/2026)</x:v>
      </x:c>
      <x:c r="D558" s="14" t="str">
        <x:v>VATM_Ra_soat_du_thao_ND_Nha_chuc_trach_QLAT_01072026.xlsx</x:v>
      </x:c>
      <x:c r="E558" s="14" t="str">
        <x:v>Nhiem_vu_VATM</x:v>
      </x:c>
      <x:c r="F558" s="56" t="n">
        <x:v>54</x:v>
      </x:c>
      <x:c r="G558" s="14" t="str">
        <x:v>Điều 80</x:v>
      </x:c>
      <x:c r="H558" s="14" t="str">
        <x:v>An toàn hàng không / SMS</x:v>
      </x:c>
      <x:c r="I558" s="14" t="str">
        <x:v>Báo cáo MOR, sự cố và điều tra</x:v>
      </x:c>
      <x:c r="J558" s="14" t="str">
        <x:v>Khuyến cáo an toàn</x:v>
      </x:c>
      <x:c r="K558" s="14" t="str">
        <x:v>Trực tiếp</x:v>
      </x:c>
      <x:c r="L558" s="14" t="str">
        <x:v>Báo cáo/điều tra/khắc phục</x:v>
      </x:c>
      <x:c r="M558" s="14" t="str"/>
      <x:c r="N558" s="14" t="str">
        <x:v>Thiết lập tracker khuyến cáo an toàn trong/ngoài nước liên quan VATM, kèm đánh giá kỹ thuật, quyết định thực hiện và bằng chứng CAP.</x:v>
      </x:c>
      <x:c r="O558" s="14" t="str"/>
      <x:c r="P558" s="14" t="str">
        <x:v>Safety recommendation tracker; báo cáo lãnh đạo; 100% khuyến cáo được phản hồi/triển khai ≤90 ngày; đánh giá hiệu lực sau CAP</x:v>
      </x:c>
      <x:c r="Q558" s="14" t="str">
        <x:v>Safety recommendation tracker; báo cáo lãnh đạo; 100% khuyến cáo được phản hồi/triển khai ≤90 ngày; đánh giá hiệu lực sau CAP</x:v>
      </x:c>
      <x:c r="R558" s="14" t="str"/>
      <x:c r="S558" s="14" t="str">
        <x:v>Ban An toàn - Chất lượng</x:v>
      </x:c>
      <x:c r="T558" s="14" t="str">
        <x:v>Các Công ty Quản lý bay khu vực Bắc/Trung/Nam; Văn phòng - Pháp chế; Ban An toàn - Chất lượng</x:v>
      </x:c>
      <x:c r="U558" s="14" t="str"/>
      <x:c r="V558" s="14" t="str">
        <x:v>30/09/2026</x:v>
      </x:c>
      <x:c r="W558" s="14" t="str">
        <x:v>P1</x:v>
      </x:c>
      <x:c r="X558" s="14" t="str"/>
      <x:c r="Y558" s="14" t="str">
        <x:v>Chưa bắt đầu</x:v>
      </x:c>
      <x:c r="Z558" s="14" t="str"/>
      <x:c r="AA558" s="14" t="str"/>
      <x:c r="AB558" s="14" t="str">
        <x:v>sms; an toan; mor; atm</x:v>
      </x:c>
    </x:row>
    <x:row r="559">
      <x:c r="A559" s="14" t="str">
        <x:v>VATM-0558</x:v>
      </x:c>
      <x:c r="B559" s="14" t="str">
        <x:v>T-54</x:v>
      </x:c>
      <x:c r="C559" s="14" t="str">
        <x:v>Dự thảo Nghị định về Nhà chức trách HKVN &amp; quản lý an toàn HK (01/07/2026)</x:v>
      </x:c>
      <x:c r="D559" s="14" t="str">
        <x:v>VATM_Ra_soat_du_thao_ND_Nha_chuc_trach_QLAT_01072026.xlsx</x:v>
      </x:c>
      <x:c r="E559" s="14" t="str">
        <x:v>Nhiem_vu_VATM</x:v>
      </x:c>
      <x:c r="F559" s="56" t="n">
        <x:v>55</x:v>
      </x:c>
      <x:c r="G559" s="14" t="str">
        <x:v>Điều 80</x:v>
      </x:c>
      <x:c r="H559" s="14" t="str">
        <x:v>An toàn hàng không / SMS</x:v>
      </x:c>
      <x:c r="I559" s="14" t="str">
        <x:v>Báo cáo MOR, sự cố và điều tra</x:v>
      </x:c>
      <x:c r="J559" s="14" t="str">
        <x:v>Khuyến cáo an toàn</x:v>
      </x:c>
      <x:c r="K559" s="14" t="str">
        <x:v>Trực tiếp</x:v>
      </x:c>
      <x:c r="L559" s="14" t="str">
        <x:v>Báo cáo/điều tra/khắc phục</x:v>
      </x:c>
      <x:c r="M559" s="14" t="str"/>
      <x:c r="N559" s="14" t="str">
        <x:v>Quy định cơ chế phổ biến khuyến cáo an toàn liên quan ANS đến toàn hệ thống VATM và theo dõi học tập tổ chức.</x:v>
      </x:c>
      <x:c r="O559" s="14" t="str"/>
      <x:c r="P559" s="14" t="str">
        <x:v>Safety bulletin; lesson learned library; Phát hành trong ≤10 ngày làm việc sau khi nhận khuyến cáo cấp khẩn; lưu trữ truy xuất</x:v>
      </x:c>
      <x:c r="Q559" s="14" t="str">
        <x:v>Safety bulletin; lesson learned library; Phát hành trong ≤10 ngày làm việc sau khi nhận khuyến cáo cấp khẩn; lưu trữ truy xuất</x:v>
      </x:c>
      <x:c r="R559" s="14" t="str"/>
      <x:c r="S559" s="14" t="str">
        <x:v>Ban An toàn - Chất lượng</x:v>
      </x:c>
      <x:c r="T559" s="14" t="str">
        <x:v>Các Công ty Quản lý bay khu vực Bắc/Trung/Nam; Ban An toàn - Chất lượng</x:v>
      </x:c>
      <x:c r="U559" s="14" t="str"/>
      <x:c r="V559" s="14" t="str">
        <x:v>31/12/2026</x:v>
      </x:c>
      <x:c r="W559" s="14" t="str">
        <x:v>P2</x:v>
      </x:c>
      <x:c r="X559" s="14" t="str"/>
      <x:c r="Y559" s="14" t="str">
        <x:v>Chưa bắt đầu</x:v>
      </x:c>
      <x:c r="Z559" s="14" t="str"/>
      <x:c r="AA559" s="14" t="str"/>
      <x:c r="AB559" s="14" t="str">
        <x:v>sms; an toan; mor; ans; atm</x:v>
      </x:c>
    </x:row>
    <x:row r="560">
      <x:c r="A560" s="14" t="str">
        <x:v>VATM-0559</x:v>
      </x:c>
      <x:c r="B560" s="14" t="str">
        <x:v>T-55</x:v>
      </x:c>
      <x:c r="C560" s="14" t="str">
        <x:v>Dự thảo Nghị định về Nhà chức trách HKVN &amp; quản lý an toàn HK (01/07/2026)</x:v>
      </x:c>
      <x:c r="D560" s="14" t="str">
        <x:v>VATM_Ra_soat_du_thao_ND_Nha_chuc_trach_QLAT_01072026.xlsx</x:v>
      </x:c>
      <x:c r="E560" s="14" t="str">
        <x:v>Nhiem_vu_VATM</x:v>
      </x:c>
      <x:c r="F560" s="56" t="n">
        <x:v>56</x:v>
      </x:c>
      <x:c r="G560" s="14" t="str">
        <x:v>Điều 6,20,30,31,72</x:v>
      </x:c>
      <x:c r="H560" s="14" t="str">
        <x:v>Tuân thủ, dữ liệu &amp; chuyển đổi số</x:v>
      </x:c>
      <x:c r="I560" s="14" t="str">
        <x:v>Hồ sơ điện tử, CSDL và ký số</x:v>
      </x:c>
      <x:c r="J560" s="14" t="str">
        <x:v>An ninh/an toàn dữ liệu</x:v>
      </x:c>
      <x:c r="K560" s="14" t="str">
        <x:v>Trực tiếp</x:v>
      </x:c>
      <x:c r="L560" s="14" t="str">
        <x:v>Dữ liệu/số hóa</x:v>
      </x:c>
      <x:c r="M560" s="14" t="str"/>
      <x:c r="N560" s="14" t="str">
        <x:v>Rà soát an ninh mạng, bảo vệ dữ liệu cá nhân và bí mật nhà nước trong chia sẻ dữ liệu an toàn, sức khỏe, điều tra.</x:v>
      </x:c>
      <x:c r="O560" s="14" t="str"/>
      <x:c r="P560" s="14" t="str">
        <x:v>Data protection impact assessment; phân loại dữ liệu; 100% dữ liệu nhạy cảm có phân loại, phân quyền, mã hóa/lưu vết phù hợp</x:v>
      </x:c>
      <x:c r="Q560" s="14" t="str">
        <x:v>Data protection impact assessment; phân loại dữ liệu; 100% dữ liệu nhạy cảm có phân loại, phân quyền, mã hóa/lưu vết phù hợp</x:v>
      </x:c>
      <x:c r="R560" s="14" t="str"/>
      <x:c r="S560" s="14" t="str">
        <x:v>Ban Kế hoạch doanh nghiệp - Chuyển đổi số; Ban Kỹ thuật - CNS/IT/Môi trường; Ban An toàn - Chất lượng</x:v>
      </x:c>
      <x:c r="T560" s="14" t="str">
        <x:v>Văn phòng - Pháp chế; Ban An toàn - Chất lượng</x:v>
      </x:c>
      <x:c r="U560" s="14" t="str"/>
      <x:c r="V560" s="14" t="str">
        <x:v>31/12/2026</x:v>
      </x:c>
      <x:c r="W560" s="14" t="str">
        <x:v>P1</x:v>
      </x:c>
      <x:c r="X560" s="14" t="str"/>
      <x:c r="Y560" s="14" t="str">
        <x:v>Chưa bắt đầu</x:v>
      </x:c>
      <x:c r="Z560" s="14" t="str"/>
      <x:c r="AA560" s="14" t="str"/>
      <x:c r="AB560" s="14" t="str">
        <x:v>du lieu; an ninh; an toan; cns</x:v>
      </x:c>
    </x:row>
    <x:row r="561">
      <x:c r="A561" s="14" t="str">
        <x:v>VATM-0560</x:v>
      </x:c>
      <x:c r="B561" s="14" t="str">
        <x:v>T-56</x:v>
      </x:c>
      <x:c r="C561" s="14" t="str">
        <x:v>Dự thảo Nghị định về Nhà chức trách HKVN &amp; quản lý an toàn HK (01/07/2026)</x:v>
      </x:c>
      <x:c r="D561" s="14" t="str">
        <x:v>VATM_Ra_soat_du_thao_ND_Nha_chuc_trach_QLAT_01072026.xlsx</x:v>
      </x:c>
      <x:c r="E561" s="14" t="str">
        <x:v>Nhiem_vu_VATM</x:v>
      </x:c>
      <x:c r="F561" s="56" t="n">
        <x:v>57</x:v>
      </x:c>
      <x:c r="G561" s="14" t="str">
        <x:v>Điều 31</x:v>
      </x:c>
      <x:c r="H561" s="14" t="str">
        <x:v>Tuân thủ, dữ liệu &amp; chuyển đổi số</x:v>
      </x:c>
      <x:c r="I561" s="14" t="str">
        <x:v>Hồ sơ điện tử, CSDL và ký số</x:v>
      </x:c>
      <x:c r="J561" s="14" t="str">
        <x:v>An ninh/an toàn dữ liệu</x:v>
      </x:c>
      <x:c r="K561" s="14" t="str">
        <x:v>Trực tiếp</x:v>
      </x:c>
      <x:c r="L561" s="14" t="str">
        <x:v>Báo cáo/điều tra/khắc phục</x:v>
      </x:c>
      <x:c r="M561" s="14" t="str"/>
      <x:c r="N561" s="14" t="str">
        <x:v>Lập phương án dự phòng, duy trì hoạt động liên tục cho hệ thống báo cáo/ dữ liệu an toàn của VATM.</x:v>
      </x:c>
      <x:c r="O561" s="14" t="str"/>
      <x:c r="P561" s="14" t="str">
        <x:v>BCP/DRP; kết quả diễn tập khôi phục; Diễn tập DR tối thiểu 01 lần/năm; RTO/RPO xác định cho hệ thống trọng yếu</x:v>
      </x:c>
      <x:c r="Q561" s="14" t="str">
        <x:v>BCP/DRP; kết quả diễn tập khôi phục; Diễn tập DR tối thiểu 01 lần/năm; RTO/RPO xác định cho hệ thống trọng yếu</x:v>
      </x:c>
      <x:c r="R561" s="14" t="str"/>
      <x:c r="S561" s="14" t="str">
        <x:v>Ban Kế hoạch doanh nghiệp - Chuyển đổi số; Ban Kỹ thuật - CNS/IT/Môi trường</x:v>
      </x:c>
      <x:c r="T561" s="14" t="str">
        <x:v>Ban An toàn - Chất lượng; Văn phòng - Pháp chế</x:v>
      </x:c>
      <x:c r="U561" s="14" t="str"/>
      <x:c r="V561" s="14" t="str">
        <x:v>30/06/2027</x:v>
      </x:c>
      <x:c r="W561" s="14" t="str">
        <x:v>P2</x:v>
      </x:c>
      <x:c r="X561" s="14" t="str"/>
      <x:c r="Y561" s="14" t="str">
        <x:v>Chưa bắt đầu</x:v>
      </x:c>
      <x:c r="Z561" s="14" t="str"/>
      <x:c r="AA561" s="14" t="str"/>
      <x:c r="AB561" s="14" t="str">
        <x:v>du lieu; atm; an toan; cns</x:v>
      </x:c>
    </x:row>
    <x:row r="562">
      <x:c r="A562" s="14" t="str">
        <x:v>VATM-0561</x:v>
      </x:c>
      <x:c r="B562" s="14" t="str">
        <x:v>T-57</x:v>
      </x:c>
      <x:c r="C562" s="14" t="str">
        <x:v>Dự thảo Nghị định về Nhà chức trách HKVN &amp; quản lý an toàn HK (01/07/2026)</x:v>
      </x:c>
      <x:c r="D562" s="14" t="str">
        <x:v>VATM_Ra_soat_du_thao_ND_Nha_chuc_trach_QLAT_01072026.xlsx</x:v>
      </x:c>
      <x:c r="E562" s="14" t="str">
        <x:v>Nhiem_vu_VATM</x:v>
      </x:c>
      <x:c r="F562" s="56" t="n">
        <x:v>58</x:v>
      </x:c>
      <x:c r="G562" s="14" t="str">
        <x:v>Điều 24</x:v>
      </x:c>
      <x:c r="H562" s="14" t="str">
        <x:v>Tài chính - Kế hoạch đầu tư</x:v>
      </x:c>
      <x:c r="I562" s="14" t="str">
        <x:v>Phí, thanh toán, hợp đồng và billing</x:v>
      </x:c>
      <x:c r="J562" s="14" t="str">
        <x:v>Tài chính</x:v>
      </x:c>
      <x:c r="K562" s="14" t="str">
        <x:v>Trực tiếp</x:v>
      </x:c>
      <x:c r="L562" s="14" t="str">
        <x:v>Tài chính/hợp đồng</x:v>
      </x:c>
      <x:c r="M562" s="14" t="str"/>
      <x:c r="N562" s="14" t="str">
        <x:v>Rà soát VATM có thuộc người nộp phí nhượng quyền khai thác cảng hàng không/sân bay cung cấp BĐHĐB theo mô hình khai thác thực tế hay không.</x:v>
      </x:c>
      <x:c r="O562" s="14" t="str"/>
      <x:c r="P562" s="14" t="str">
        <x:v>Ý kiến pháp lý/tài chính; dự báo chi phí; Kết luận rõ phạm vi áp dụng, căn cứ tài sản/hạ tầng; nếu có, dự toán theo sản lượng</x:v>
      </x:c>
      <x:c r="Q562" s="14" t="str">
        <x:v>Ý kiến pháp lý/tài chính; dự báo chi phí; Kết luận rõ phạm vi áp dụng, căn cứ tài sản/hạ tầng; nếu có, dự toán theo sản lượng</x:v>
      </x:c>
      <x:c r="R562" s="14" t="str"/>
      <x:c r="S562" s="14" t="str">
        <x:v>Ban Tài chính</x:v>
      </x:c>
      <x:c r="T562" s="14" t="str">
        <x:v>Văn phòng - Pháp chế; Ban Kế hoạch - Đầu tư</x:v>
      </x:c>
      <x:c r="U562" s="14" t="str"/>
      <x:c r="V562" s="14" t="str">
        <x:v>30/09/2026</x:v>
      </x:c>
      <x:c r="W562" s="14" t="str">
        <x:v>P2</x:v>
      </x:c>
      <x:c r="X562" s="14" t="str"/>
      <x:c r="Y562" s="14" t="str">
        <x:v>Chưa bắt đầu</x:v>
      </x:c>
      <x:c r="Z562" s="14" t="str">
        <x:v>Cần xác định cùng Cục HKVN/Cảng vụ</x:v>
      </x:c>
      <x:c r="AA562" s="14" t="str"/>
      <x:c r="AB562" s="14" t="str">
        <x:v>tai chinh; atm; cang; san bay</x:v>
      </x:c>
    </x:row>
    <x:row r="563">
      <x:c r="A563" s="14" t="str">
        <x:v>VATM-0562</x:v>
      </x:c>
      <x:c r="B563" s="14" t="str">
        <x:v>T-58</x:v>
      </x:c>
      <x:c r="C563" s="14" t="str">
        <x:v>Dự thảo Nghị định về Nhà chức trách HKVN &amp; quản lý an toàn HK (01/07/2026)</x:v>
      </x:c>
      <x:c r="D563" s="14" t="str">
        <x:v>VATM_Ra_soat_du_thao_ND_Nha_chuc_trach_QLAT_01072026.xlsx</x:v>
      </x:c>
      <x:c r="E563" s="14" t="str">
        <x:v>Nhiem_vu_VATM</x:v>
      </x:c>
      <x:c r="F563" s="56" t="n">
        <x:v>59</x:v>
      </x:c>
      <x:c r="G563" s="14" t="str">
        <x:v>Điều 25</x:v>
      </x:c>
      <x:c r="H563" s="14" t="str">
        <x:v>Tài chính - Kế hoạch đầu tư</x:v>
      </x:c>
      <x:c r="I563" s="14" t="str">
        <x:v>Phí, thanh toán, hợp đồng và billing</x:v>
      </x:c>
      <x:c r="J563" s="14" t="str">
        <x:v>Tài chính</x:v>
      </x:c>
      <x:c r="K563" s="14" t="str">
        <x:v>Trực tiếp</x:v>
      </x:c>
      <x:c r="L563" s="14" t="str">
        <x:v>Báo cáo/điều tra/khắc phục</x:v>
      </x:c>
      <x:c r="M563" s="14" t="str"/>
      <x:c r="N563" s="14" t="str">
        <x:v>Theo dõi nguồn phí để lại cho NCTHK/Cảng vụ có thể làm tăng yêu cầu giám sát, hệ thống dữ liệu và hồ sơ tuân thủ VATM.</x:v>
      </x:c>
      <x:c r="O563" s="14" t="str"/>
      <x:c r="P563" s="14" t="str">
        <x:v>Báo cáo tác động ngân sách tuân thủ; Có dự toán nguồn lực triển khai 2026-2028</x:v>
      </x:c>
      <x:c r="Q563" s="14" t="str">
        <x:v>Báo cáo tác động ngân sách tuân thủ; Có dự toán nguồn lực triển khai 2026-2028</x:v>
      </x:c>
      <x:c r="R563" s="14" t="str"/>
      <x:c r="S563" s="14" t="str">
        <x:v>Ban Tài chính; Ban Kế hoạch - Đầu tư</x:v>
      </x:c>
      <x:c r="T563" s="14" t="str">
        <x:v>Văn phòng - Pháp chế; Ban An toàn - Chất lượng</x:v>
      </x:c>
      <x:c r="U563" s="14" t="str"/>
      <x:c r="V563" s="14" t="str">
        <x:v>31/12/2026</x:v>
      </x:c>
      <x:c r="W563" s="14" t="str">
        <x:v>P3</x:v>
      </x:c>
      <x:c r="X563" s="14" t="str"/>
      <x:c r="Y563" s="14" t="str">
        <x:v>Chưa bắt đầu</x:v>
      </x:c>
      <x:c r="Z563" s="14" t="str"/>
      <x:c r="AA563" s="14" t="str"/>
      <x:c r="AB563" s="14" t="str">
        <x:v>tai chinh; atm; cang; du lieu</x:v>
      </x:c>
    </x:row>
    <x:row r="564">
      <x:c r="A564" s="14" t="str">
        <x:v>VATM-0563</x:v>
      </x:c>
      <x:c r="B564" s="14" t="str">
        <x:v>T-59</x:v>
      </x:c>
      <x:c r="C564" s="14" t="str">
        <x:v>Dự thảo Nghị định về Nhà chức trách HKVN &amp; quản lý an toàn HK (01/07/2026)</x:v>
      </x:c>
      <x:c r="D564" s="14" t="str">
        <x:v>VATM_Ra_soat_du_thao_ND_Nha_chuc_trach_QLAT_01072026.xlsx</x:v>
      </x:c>
      <x:c r="E564" s="14" t="str">
        <x:v>Nhiem_vu_VATM</x:v>
      </x:c>
      <x:c r="F564" s="56" t="n">
        <x:v>60</x:v>
      </x:c>
      <x:c r="G564" s="14" t="str">
        <x:v>NĐ HĐB Điều 99-119</x:v>
      </x:c>
      <x:c r="H564" s="14" t="str">
        <x:v>Tuân thủ, pháp chế &amp; quản trị</x:v>
      </x:c>
      <x:c r="I564" s="14" t="str">
        <x:v>Quản trị triển khai, RACI và báo cáo</x:v>
      </x:c>
      <x:c r="J564" s="14" t="str">
        <x:v>Liên thông NĐ HĐB</x:v>
      </x:c>
      <x:c r="K564" s="14" t="str">
        <x:v>Trực tiếp</x:v>
      </x:c>
      <x:c r="L564" s="14" t="str">
        <x:v>Quy trình/SOP/biểu mẫu</x:v>
      </x:c>
      <x:c r="M564" s="14" t="str"/>
      <x:c r="N564" s="14" t="str">
        <x:v>Đồng bộ nghĩa vụ trong NĐ NCTHK với NĐ hoạt động bay về doanh nghiệp BĐHĐB/ANSP cung cấp ATM, CNS, MET, AIS, SAR.</x:v>
      </x:c>
      <x:c r="O564" s="14" t="str"/>
      <x:c r="P564" s="14" t="str">
        <x:v>Matrix liên thông hai NĐ; danh mục nghĩa vụ VATM hợp nhất; Bao phủ 100% dịch vụ ANS VATM cung cấp; tránh trùng/chồng chéo quy trình</x:v>
      </x:c>
      <x:c r="Q564" s="14" t="str">
        <x:v>Matrix liên thông hai NĐ; danh mục nghĩa vụ VATM hợp nhất; Bao phủ 100% dịch vụ ANS VATM cung cấp; tránh trùng/chồng chéo quy trình</x:v>
      </x:c>
      <x:c r="R564" s="14" t="str"/>
      <x:c r="S564" s="14" t="str">
        <x:v>Văn phòng - Pháp chế</x:v>
      </x:c>
      <x:c r="T564" s="14" t="str">
        <x:v>Văn phòng - Pháp chế</x:v>
      </x:c>
      <x:c r="U564" s="14" t="str"/>
      <x:c r="V564" s="14" t="str">
        <x:v>30/09/2026</x:v>
      </x:c>
      <x:c r="W564" s="14" t="str">
        <x:v>P1</x:v>
      </x:c>
      <x:c r="X564" s="14" t="str"/>
      <x:c r="Y564" s="14" t="str">
        <x:v>Chưa bắt đầu</x:v>
      </x:c>
      <x:c r="Z564" s="14" t="str">
        <x:v>Dùng sheet liên thông</x:v>
      </x:c>
      <x:c r="AA564" s="14" t="str"/>
      <x:c r="AB564" s="14" t="str">
        <x:v>phap che; ans; atm; cns; ais; met; sar</x:v>
      </x:c>
    </x:row>
    <x:row r="565">
      <x:c r="A565" s="14" t="str">
        <x:v>VATM-0564</x:v>
      </x:c>
      <x:c r="B565" s="14" t="str">
        <x:v>T-60</x:v>
      </x:c>
      <x:c r="C565" s="14" t="str">
        <x:v>Dự thảo Nghị định về Nhà chức trách HKVN &amp; quản lý an toàn HK (01/07/2026)</x:v>
      </x:c>
      <x:c r="D565" s="14" t="str">
        <x:v>VATM_Ra_soat_du_thao_ND_Nha_chuc_trach_QLAT_01072026.xlsx</x:v>
      </x:c>
      <x:c r="E565" s="14" t="str">
        <x:v>Nhiem_vu_VATM</x:v>
      </x:c>
      <x:c r="F565" s="56" t="n">
        <x:v>61</x:v>
      </x:c>
      <x:c r="G565" s="14" t="str">
        <x:v>NĐ HĐB Điều 101,122,124</x:v>
      </x:c>
      <x:c r="H565" s="14" t="str">
        <x:v>Tuân thủ, pháp chế &amp; quản trị</x:v>
      </x:c>
      <x:c r="I565" s="14" t="str">
        <x:v>Quản trị triển khai, RACI và báo cáo</x:v>
      </x:c>
      <x:c r="J565" s="14" t="str">
        <x:v>Liên thông NĐ HĐB</x:v>
      </x:c>
      <x:c r="K565" s="14" t="str">
        <x:v>Trực tiếp</x:v>
      </x:c>
      <x:c r="L565" s="14" t="str">
        <x:v>Dữ liệu/số hóa</x:v>
      </x:c>
      <x:c r="M565" s="14" t="str"/>
      <x:c r="N565" s="14" t="str">
        <x:v>Đồng bộ quy trình phối hợp dân dụng-quân sự, sử dụng vùng trời linh hoạt, chia sẻ dữ liệu giám sát/kế hoạch bay.</x:v>
      </x:c>
      <x:c r="O565" s="14" t="str"/>
      <x:c r="P565" s="14" t="str">
        <x:v>LOA/SOP phối hợp; interface dữ liệu; Dữ liệu real-time/near-real-time theo thỏa thuận; test định kỳ</x:v>
      </x:c>
      <x:c r="Q565" s="14" t="str">
        <x:v>LOA/SOP phối hợp; interface dữ liệu; Dữ liệu real-time/near-real-time theo thỏa thuận; test định kỳ</x:v>
      </x:c>
      <x:c r="R565" s="14" t="str"/>
      <x:c r="S565" s="14" t="str">
        <x:v>Văn phòng - Pháp chế; Ban Không lưu; Trung tâm Quản lý luồng không lưu</x:v>
      </x:c>
      <x:c r="T565" s="14" t="str">
        <x:v>Văn phòng - Pháp chế; Ban Kế hoạch doanh nghiệp - Chuyển đổi số; Ban Kỹ thuật - CNS/IT/Môi trường</x:v>
      </x:c>
      <x:c r="U565" s="14" t="str"/>
      <x:c r="V565" s="14" t="str">
        <x:v>30/06/2027</x:v>
      </x:c>
      <x:c r="W565" s="14" t="str">
        <x:v>P2</x:v>
      </x:c>
      <x:c r="X565" s="14" t="str"/>
      <x:c r="Y565" s="14" t="str">
        <x:v>Chưa bắt đầu</x:v>
      </x:c>
      <x:c r="Z565" s="14" t="str"/>
      <x:c r="AA565" s="14" t="str"/>
      <x:c r="AB565" s="14" t="str">
        <x:v>phap che; du lieu</x:v>
      </x:c>
    </x:row>
    <x:row r="566">
      <x:c r="A566" s="14" t="str">
        <x:v>VATM-0565</x:v>
      </x:c>
      <x:c r="B566" s="14" t="str">
        <x:v>T-61</x:v>
      </x:c>
      <x:c r="C566" s="14" t="str">
        <x:v>Dự thảo Nghị định về Nhà chức trách HKVN &amp; quản lý an toàn HK (01/07/2026)</x:v>
      </x:c>
      <x:c r="D566" s="14" t="str">
        <x:v>VATM_Ra_soat_du_thao_ND_Nha_chuc_trach_QLAT_01072026.xlsx</x:v>
      </x:c>
      <x:c r="E566" s="14" t="str">
        <x:v>Nhiem_vu_VATM</x:v>
      </x:c>
      <x:c r="F566" s="56" t="n">
        <x:v>62</x:v>
      </x:c>
      <x:c r="G566" s="14" t="str">
        <x:v>NĐ HĐB Điều 111-115</x:v>
      </x:c>
      <x:c r="H566" s="14" t="str">
        <x:v>Tuân thủ, pháp chế &amp; quản trị</x:v>
      </x:c>
      <x:c r="I566" s="14" t="str">
        <x:v>Quản trị triển khai, RACI và báo cáo</x:v>
      </x:c>
      <x:c r="J566" s="14" t="str">
        <x:v>Liên thông NĐ HĐB</x:v>
      </x:c>
      <x:c r="K566" s="14" t="str">
        <x:v>Trực tiếp</x:v>
      </x:c>
      <x:c r="L566" s="14" t="str">
        <x:v>Dữ liệu/số hóa</x:v>
      </x:c>
      <x:c r="M566" s="14" t="str"/>
      <x:c r="N566" s="14" t="str">
        <x:v>Đồng bộ quản lý dữ liệu/tin tức hàng không, thỏa thuận người khởi tạo dữ liệu và QMS AIS/AIM.</x:v>
      </x:c>
      <x:c r="O566" s="14" t="str"/>
      <x:c r="P566" s="14" t="str">
        <x:v>Data origination agreements; AIS QMS update; AIRAC đúng mốc; dữ liệu chính xác/đầy đủ/kịp thời/truy xuất</x:v>
      </x:c>
      <x:c r="Q566" s="14" t="str">
        <x:v>Data origination agreements; AIS QMS update; AIRAC đúng mốc; dữ liệu chính xác/đầy đủ/kịp thời/truy xuất</x:v>
      </x:c>
      <x:c r="R566" s="14" t="str"/>
      <x:c r="S566" s="14" t="str">
        <x:v>Văn phòng - Pháp chế; Trung tâm Thông báo tin tức hàng không</x:v>
      </x:c>
      <x:c r="T566" s="14" t="str">
        <x:v>Văn phòng - Pháp chế; Ban Kế hoạch doanh nghiệp - Chuyển đổi số; Ban Kỹ thuật - CNS/IT/Môi trường; Ban An toàn - Chất lượng</x:v>
      </x:c>
      <x:c r="U566" s="14" t="str"/>
      <x:c r="V566" s="14" t="str">
        <x:v>31/12/2026</x:v>
      </x:c>
      <x:c r="W566" s="14" t="str">
        <x:v>P1</x:v>
      </x:c>
      <x:c r="X566" s="14" t="str"/>
      <x:c r="Y566" s="14" t="str">
        <x:v>Chưa bắt đầu</x:v>
      </x:c>
      <x:c r="Z566" s="14" t="str"/>
      <x:c r="AA566" s="14" t="str"/>
      <x:c r="AB566" s="14" t="str">
        <x:v>phap che; ais; aim; du lieu</x:v>
      </x:c>
    </x:row>
    <x:row r="567">
      <x:c r="A567" s="14" t="str">
        <x:v>VATM-0566</x:v>
      </x:c>
      <x:c r="B567" s="14" t="str">
        <x:v>T-62</x:v>
      </x:c>
      <x:c r="C567" s="14" t="str">
        <x:v>Dự thảo Nghị định về Nhà chức trách HKVN &amp; quản lý an toàn HK (01/07/2026)</x:v>
      </x:c>
      <x:c r="D567" s="14" t="str">
        <x:v>VATM_Ra_soat_du_thao_ND_Nha_chuc_trach_QLAT_01072026.xlsx</x:v>
      </x:c>
      <x:c r="E567" s="14" t="str">
        <x:v>Nhiem_vu_VATM</x:v>
      </x:c>
      <x:c r="F567" s="56" t="n">
        <x:v>63</x:v>
      </x:c>
      <x:c r="G567" s="14" t="str">
        <x:v>NĐ HĐB Điều 109-110</x:v>
      </x:c>
      <x:c r="H567" s="14" t="str">
        <x:v>Tuân thủ, pháp chế &amp; quản trị</x:v>
      </x:c>
      <x:c r="I567" s="14" t="str">
        <x:v>Quản trị triển khai, RACI và báo cáo</x:v>
      </x:c>
      <x:c r="J567" s="14" t="str">
        <x:v>Liên thông NĐ HĐB</x:v>
      </x:c>
      <x:c r="K567" s="14" t="str">
        <x:v>Trực tiếp</x:v>
      </x:c>
      <x:c r="L567" s="14" t="str">
        <x:v>Báo cáo/điều tra/khắc phục</x:v>
      </x:c>
      <x:c r="M567" s="14" t="str"/>
      <x:c r="N567" s="14" t="str">
        <x:v>Đồng bộ dịch vụ khí tượng hàng không và dữ liệu MET trong báo cáo an toàn/điều tra.</x:v>
      </x:c>
      <x:c r="O567" s="14" t="str"/>
      <x:c r="P567" s="14" t="str">
        <x:v>MET data preservation and reporting SOP; Dữ liệu MET phục vụ chuyến bay/sự cố có nguồn gốc và timestamp rõ</x:v>
      </x:c>
      <x:c r="Q567" s="14" t="str">
        <x:v>MET data preservation and reporting SOP; Dữ liệu MET phục vụ chuyến bay/sự cố có nguồn gốc và timestamp rõ</x:v>
      </x:c>
      <x:c r="R567" s="14" t="str"/>
      <x:c r="S567" s="14" t="str">
        <x:v>Văn phòng - Pháp chế; Trung tâm Khí tượng hàng không</x:v>
      </x:c>
      <x:c r="T567" s="14" t="str">
        <x:v>Ban Kế hoạch doanh nghiệp - Chuyển đổi số; Ban Không lưu; Ban Kỹ thuật - CNS/IT/Môi trường; Ban An toàn - Chất lượng; Văn phòng - Pháp chế</x:v>
      </x:c>
      <x:c r="U567" s="14" t="str"/>
      <x:c r="V567" s="14" t="str">
        <x:v>31/12/2026</x:v>
      </x:c>
      <x:c r="W567" s="14" t="str">
        <x:v>P2</x:v>
      </x:c>
      <x:c r="X567" s="14" t="str"/>
      <x:c r="Y567" s="14" t="str">
        <x:v>Chưa bắt đầu</x:v>
      </x:c>
      <x:c r="Z567" s="14" t="str"/>
      <x:c r="AA567" s="14" t="str"/>
      <x:c r="AB567" s="14" t="str">
        <x:v>phap che; met; an toan; du lieu</x:v>
      </x:c>
    </x:row>
    <x:row r="568">
      <x:c r="A568" s="14" t="str">
        <x:v>VATM-0567</x:v>
      </x:c>
      <x:c r="B568" s="14" t="str">
        <x:v>T-63</x:v>
      </x:c>
      <x:c r="C568" s="14" t="str">
        <x:v>Dự thảo Nghị định về Nhà chức trách HKVN &amp; quản lý an toàn HK (01/07/2026)</x:v>
      </x:c>
      <x:c r="D568" s="14" t="str">
        <x:v>VATM_Ra_soat_du_thao_ND_Nha_chuc_trach_QLAT_01072026.xlsx</x:v>
      </x:c>
      <x:c r="E568" s="14" t="str">
        <x:v>Nhiem_vu_VATM</x:v>
      </x:c>
      <x:c r="F568" s="56" t="n">
        <x:v>64</x:v>
      </x:c>
      <x:c r="G568" s="14" t="str">
        <x:v>NĐ HĐB Điều 107-108</x:v>
      </x:c>
      <x:c r="H568" s="14" t="str">
        <x:v>Tuân thủ, pháp chế &amp; quản trị</x:v>
      </x:c>
      <x:c r="I568" s="14" t="str">
        <x:v>Quản trị triển khai, RACI và báo cáo</x:v>
      </x:c>
      <x:c r="J568" s="14" t="str">
        <x:v>Liên thông NĐ HĐB</x:v>
      </x:c>
      <x:c r="K568" s="14" t="str">
        <x:v>Trực tiếp</x:v>
      </x:c>
      <x:c r="L568" s="14" t="str">
        <x:v>Báo cáo/điều tra/khắc phục</x:v>
      </x:c>
      <x:c r="M568" s="14" t="str"/>
      <x:c r="N568" s="14" t="str">
        <x:v>Đồng bộ cấp phép/khai thác hệ thống CNS và dữ liệu CNS liên quan sự cố.</x:v>
      </x:c>
      <x:c r="O568" s="14" t="str"/>
      <x:c r="P568" s="14" t="str">
        <x:v>Register hệ thống CNS; dữ liệu downtime/event log; 100% hệ thống trọng yếu có giấy phép/phê chuẩn và log khai thác</x:v>
      </x:c>
      <x:c r="Q568" s="14" t="str">
        <x:v>Register hệ thống CNS; dữ liệu downtime/event log; 100% hệ thống trọng yếu có giấy phép/phê chuẩn và log khai thác</x:v>
      </x:c>
      <x:c r="R568" s="14" t="str"/>
      <x:c r="S568" s="14" t="str">
        <x:v>Văn phòng - Pháp chế; Ban Kỹ thuật - CNS/IT/Môi trường</x:v>
      </x:c>
      <x:c r="T568" s="14" t="str">
        <x:v>Ban Kế hoạch doanh nghiệp - Chuyển đổi số; Ban Không lưu; Ban Kỹ thuật - CNS/IT/Môi trường; Ban An toàn - Chất lượng; Văn phòng - Pháp chế</x:v>
      </x:c>
      <x:c r="U568" s="14" t="str"/>
      <x:c r="V568" s="14" t="str">
        <x:v>31/12/2026</x:v>
      </x:c>
      <x:c r="W568" s="14" t="str">
        <x:v>P1</x:v>
      </x:c>
      <x:c r="X568" s="14" t="str"/>
      <x:c r="Y568" s="14" t="str">
        <x:v>Chưa bắt đầu</x:v>
      </x:c>
      <x:c r="Z568" s="14" t="str"/>
      <x:c r="AA568" s="14" t="str"/>
      <x:c r="AB568" s="14" t="str">
        <x:v>phap che; cns; du lieu</x:v>
      </x:c>
    </x:row>
    <x:row r="569">
      <x:c r="A569" s="14" t="str">
        <x:v>VATM-0568</x:v>
      </x:c>
      <x:c r="B569" s="14" t="str">
        <x:v>T-64</x:v>
      </x:c>
      <x:c r="C569" s="14" t="str">
        <x:v>Dự thảo Nghị định về Nhà chức trách HKVN &amp; quản lý an toàn HK (01/07/2026)</x:v>
      </x:c>
      <x:c r="D569" s="14" t="str">
        <x:v>VATM_Ra_soat_du_thao_ND_Nha_chuc_trach_QLAT_01072026.xlsx</x:v>
      </x:c>
      <x:c r="E569" s="14" t="str">
        <x:v>Nhiem_vu_VATM</x:v>
      </x:c>
      <x:c r="F569" s="56" t="n">
        <x:v>65</x:v>
      </x:c>
      <x:c r="G569" s="14" t="str">
        <x:v>NĐ HĐB Điều 126-128</x:v>
      </x:c>
      <x:c r="H569" s="14" t="str">
        <x:v>Tuân thủ, pháp chế &amp; quản trị</x:v>
      </x:c>
      <x:c r="I569" s="14" t="str">
        <x:v>Quản trị triển khai, RACI và báo cáo</x:v>
      </x:c>
      <x:c r="J569" s="14" t="str">
        <x:v>Liên thông NĐ HĐB</x:v>
      </x:c>
      <x:c r="K569" s="14" t="str">
        <x:v>Trực tiếp</x:v>
      </x:c>
      <x:c r="L569" s="14" t="str">
        <x:v>Báo cáo/điều tra/khắc phục</x:v>
      </x:c>
      <x:c r="M569" s="14" t="str"/>
      <x:c r="N569" s="14" t="str">
        <x:v>Đồng bộ dịch vụ SAR của VATM với yêu cầu NĐ NCTHK về báo cáo, phối hợp điều tra và dữ liệu an toàn.</x:v>
      </x:c>
      <x:c r="O569" s="14" t="str"/>
      <x:c r="P569" s="14" t="str">
        <x:v>SAR SOP update; diễn tập; dữ liệu SAR preserved; Tối thiểu 01 diễn tập/năm; báo cáo sau diễn tập có CAP</x:v>
      </x:c>
      <x:c r="Q569" s="14" t="str">
        <x:v>SAR SOP update; diễn tập; dữ liệu SAR preserved; Tối thiểu 01 diễn tập/năm; báo cáo sau diễn tập có CAP</x:v>
      </x:c>
      <x:c r="R569" s="14" t="str"/>
      <x:c r="S569" s="14" t="str">
        <x:v>Văn phòng - Pháp chế; Ban Không lưu; Trung tâm Tìm kiếm cứu nạn hàng không</x:v>
      </x:c>
      <x:c r="T569" s="14" t="str">
        <x:v>Văn phòng - Pháp chế; Ban An toàn - Chất lượng</x:v>
      </x:c>
      <x:c r="U569" s="14" t="str"/>
      <x:c r="V569" s="14" t="str">
        <x:v>30/06/2027</x:v>
      </x:c>
      <x:c r="W569" s="14" t="str">
        <x:v>P2</x:v>
      </x:c>
      <x:c r="X569" s="14" t="str"/>
      <x:c r="Y569" s="14" t="str">
        <x:v>Chưa bắt đầu</x:v>
      </x:c>
      <x:c r="Z569" s="14" t="str"/>
      <x:c r="AA569" s="14" t="str"/>
      <x:c r="AB569" s="14" t="str">
        <x:v>phap che; atm; sar; an toan; du lieu</x:v>
      </x:c>
    </x:row>
    <x:row r="570">
      <x:c r="A570" s="14" t="str">
        <x:v>VATM-0569</x:v>
      </x:c>
      <x:c r="B570" s="14" t="str">
        <x:v>T-65</x:v>
      </x:c>
      <x:c r="C570" s="14" t="str">
        <x:v>Dự thảo Nghị định về Nhà chức trách HKVN &amp; quản lý an toàn HK (01/07/2026)</x:v>
      </x:c>
      <x:c r="D570" s="14" t="str">
        <x:v>VATM_Ra_soat_du_thao_ND_Nha_chuc_trach_QLAT_01072026.xlsx</x:v>
      </x:c>
      <x:c r="E570" s="14" t="str">
        <x:v>Nhiem_vu_VATM</x:v>
      </x:c>
      <x:c r="F570" s="56" t="n">
        <x:v>66</x:v>
      </x:c>
      <x:c r="G570" s="14" t="str">
        <x:v>Điều 85</x:v>
      </x:c>
      <x:c r="H570" s="14" t="str">
        <x:v>Tuân thủ, pháp chế &amp; quản trị</x:v>
      </x:c>
      <x:c r="I570" s="14" t="str">
        <x:v>Quản trị triển khai, RACI và báo cáo</x:v>
      </x:c>
      <x:c r="J570" s="14" t="str">
        <x:v>Chuyển tiếp</x:v>
      </x:c>
      <x:c r="K570" s="14" t="str">
        <x:v>Trực tiếp</x:v>
      </x:c>
      <x:c r="L570" s="14" t="str">
        <x:v>Báo cáo/điều tra/khắc phục</x:v>
      </x:c>
      <x:c r="M570" s="14" t="str"/>
      <x:c r="N570" s="14" t="str">
        <x:v>Lập bảng mốc chuyển tiếp và cơ chế kiểm soát đến 30/06/2028.</x:v>
      </x:c>
      <x:c r="O570" s="14" t="str"/>
      <x:c r="P570" s="14" t="str">
        <x:v>Transition dashboard; báo cáo quý; Không trễ mốc 12 tháng/24 tháng; cảnh báo sớm ≥90 ngày</x:v>
      </x:c>
      <x:c r="Q570" s="14" t="str">
        <x:v>Transition dashboard; báo cáo quý; Không trễ mốc 12 tháng/24 tháng; cảnh báo sớm ≥90 ngày</x:v>
      </x:c>
      <x:c r="R570" s="14" t="str"/>
      <x:c r="S570" s="14" t="str">
        <x:v>Văn phòng - Pháp chế</x:v>
      </x:c>
      <x:c r="T570" s="14" t="str">
        <x:v>Văn phòng - Pháp chế</x:v>
      </x:c>
      <x:c r="U570" s="14" t="str"/>
      <x:c r="V570" s="14" t="str">
        <x:v>01/07/2026</x:v>
      </x:c>
      <x:c r="W570" s="14" t="str">
        <x:v>P1</x:v>
      </x:c>
      <x:c r="X570" s="14" t="str"/>
      <x:c r="Y570" s="14" t="str">
        <x:v>Chưa bắt đầu</x:v>
      </x:c>
      <x:c r="Z570" s="14" t="str"/>
      <x:c r="AA570" s="14" t="str"/>
      <x:c r="AB570" s="14" t="str">
        <x:v>phap che</x:v>
      </x:c>
    </x:row>
    <x:row r="571">
      <x:c r="A571" s="14" t="str">
        <x:v>VATM-0570</x:v>
      </x:c>
      <x:c r="B571" s="14" t="str">
        <x:v>T-66</x:v>
      </x:c>
      <x:c r="C571" s="14" t="str">
        <x:v>Dự thảo Nghị định về Nhà chức trách HKVN &amp; quản lý an toàn HK (01/07/2026)</x:v>
      </x:c>
      <x:c r="D571" s="14" t="str">
        <x:v>VATM_Ra_soat_du_thao_ND_Nha_chuc_trach_QLAT_01072026.xlsx</x:v>
      </x:c>
      <x:c r="E571" s="14" t="str">
        <x:v>Nhiem_vu_VATM</x:v>
      </x:c>
      <x:c r="F571" s="56" t="n">
        <x:v>67</x:v>
      </x:c>
      <x:c r="G571" s="14" t="str">
        <x:v>Điều 85</x:v>
      </x:c>
      <x:c r="H571" s="14" t="str">
        <x:v>Tuân thủ, pháp chế &amp; quản trị</x:v>
      </x:c>
      <x:c r="I571" s="14" t="str">
        <x:v>Quản trị triển khai, RACI và báo cáo</x:v>
      </x:c>
      <x:c r="J571" s="14" t="str">
        <x:v>Chuyển tiếp</x:v>
      </x:c>
      <x:c r="K571" s="14" t="str">
        <x:v>Trực tiếp</x:v>
      </x:c>
      <x:c r="L571" s="14" t="str">
        <x:v>Hồ sơ/phê duyệt/TTHC</x:v>
      </x:c>
      <x:c r="M571" s="14" t="str"/>
      <x:c r="N571" s="14" t="str">
        <x:v>Duy trì hiệu lực tài liệu SMS đã được phê chuẩn trước 01/07/2026 trong thời gian chuyển tiếp nhưng triển khai bản sửa đổi theo dự thảo.</x:v>
      </x:c>
      <x:c r="O571" s="14" t="str"/>
      <x:c r="P571" s="14" t="str">
        <x:v>Kế hoạch cập nhật SMS; đối chiếu nội dung cũ/mới; Vừa duy trì hiệu lực hiện hành vừa không chậm hồ sơ chấp thuận mới</x:v>
      </x:c>
      <x:c r="Q571" s="14" t="str">
        <x:v>Kế hoạch cập nhật SMS; đối chiếu nội dung cũ/mới; Vừa duy trì hiệu lực hiện hành vừa không chậm hồ sơ chấp thuận mới</x:v>
      </x:c>
      <x:c r="R571" s="14" t="str"/>
      <x:c r="S571" s="14" t="str">
        <x:v>Văn phòng - Pháp chế; Ban An toàn - Chất lượng</x:v>
      </x:c>
      <x:c r="T571" s="14" t="str">
        <x:v>Văn phòng - Pháp chế</x:v>
      </x:c>
      <x:c r="U571" s="14" t="str"/>
      <x:c r="V571" s="14" t="str">
        <x:v>30/06/2027</x:v>
      </x:c>
      <x:c r="W571" s="14" t="str">
        <x:v>P1</x:v>
      </x:c>
      <x:c r="X571" s="14" t="str"/>
      <x:c r="Y571" s="14" t="str">
        <x:v>Chưa bắt đầu</x:v>
      </x:c>
      <x:c r="Z571" s="14" t="str"/>
      <x:c r="AA571" s="14" t="str"/>
      <x:c r="AB571" s="14" t="str">
        <x:v>phap che; sms; phe chuan; an toan</x:v>
      </x:c>
    </x:row>
    <x:row r="572">
      <x:c r="A572" s="14" t="str">
        <x:v>VATM-0571</x:v>
      </x:c>
      <x:c r="B572" s="14" t="str">
        <x:v>T-67</x:v>
      </x:c>
      <x:c r="C572" s="14" t="str">
        <x:v>Dự thảo Nghị định về Nhà chức trách HKVN &amp; quản lý an toàn HK (01/07/2026)</x:v>
      </x:c>
      <x:c r="D572" s="14" t="str">
        <x:v>VATM_Ra_soat_du_thao_ND_Nha_chuc_trach_QLAT_01072026.xlsx</x:v>
      </x:c>
      <x:c r="E572" s="14" t="str">
        <x:v>Nhiem_vu_VATM</x:v>
      </x:c>
      <x:c r="F572" s="56" t="n">
        <x:v>68</x:v>
      </x:c>
      <x:c r="G572" s="14" t="str">
        <x:v>Điều 85</x:v>
      </x:c>
      <x:c r="H572" s="14" t="str">
        <x:v>Tuân thủ, pháp chế &amp; quản trị</x:v>
      </x:c>
      <x:c r="I572" s="14" t="str">
        <x:v>Quản trị triển khai, RACI và báo cáo</x:v>
      </x:c>
      <x:c r="J572" s="14" t="str">
        <x:v>Chuyển tiếp</x:v>
      </x:c>
      <x:c r="K572" s="14" t="str">
        <x:v>Trực tiếp</x:v>
      </x:c>
      <x:c r="L572" s="14" t="str">
        <x:v>Tuân thủ/quản trị</x:v>
      </x:c>
      <x:c r="M572" s="14" t="str"/>
      <x:c r="N572" s="14" t="str">
        <x:v>Rà soát GCN cơ sở đào tạo đã cấp trước 01/07/2026 và kế hoạch duy trì đến 30/06/2027.</x:v>
      </x:c>
      <x:c r="O572" s="14" t="str"/>
      <x:c r="P572" s="14" t="str">
        <x:v>Register GCN; kế hoạch gia hạn/cấp mới; Không đào tạo sau 30/06/2027 nếu chưa có GCN phù hợp</x:v>
      </x:c>
      <x:c r="Q572" s="14" t="str">
        <x:v>Register GCN; kế hoạch gia hạn/cấp mới; Không đào tạo sau 30/06/2027 nếu chưa có GCN phù hợp</x:v>
      </x:c>
      <x:c r="R572" s="14" t="str"/>
      <x:c r="S572" s="14" t="str">
        <x:v>Văn phòng - Pháp chế</x:v>
      </x:c>
      <x:c r="T572" s="14" t="str">
        <x:v>Văn phòng - Pháp chế</x:v>
      </x:c>
      <x:c r="U572" s="14" t="str"/>
      <x:c r="V572" s="14" t="str">
        <x:v>31/12/2026</x:v>
      </x:c>
      <x:c r="W572" s="14" t="str">
        <x:v>P1</x:v>
      </x:c>
      <x:c r="X572" s="14" t="str"/>
      <x:c r="Y572" s="14" t="str">
        <x:v>Chưa bắt đầu</x:v>
      </x:c>
      <x:c r="Z572" s="14" t="str"/>
      <x:c r="AA572" s="14" t="str"/>
      <x:c r="AB572" s="14" t="str">
        <x:v>phap che</x:v>
      </x:c>
    </x:row>
    <x:row r="573">
      <x:c r="A573" s="14" t="str">
        <x:v>VATM-0572</x:v>
      </x:c>
      <x:c r="B573" s="14" t="str">
        <x:v>T-68</x:v>
      </x:c>
      <x:c r="C573" s="14" t="str">
        <x:v>Dự thảo Nghị định về Nhà chức trách HKVN &amp; quản lý an toàn HK (01/07/2026)</x:v>
      </x:c>
      <x:c r="D573" s="14" t="str">
        <x:v>VATM_Ra_soat_du_thao_ND_Nha_chuc_trach_QLAT_01072026.xlsx</x:v>
      </x:c>
      <x:c r="E573" s="14" t="str">
        <x:v>Nhiem_vu_VATM</x:v>
      </x:c>
      <x:c r="F573" s="56" t="n">
        <x:v>69</x:v>
      </x:c>
      <x:c r="G573" s="14" t="str">
        <x:v>Điều 34,84-85</x:v>
      </x:c>
      <x:c r="H573" s="14" t="str">
        <x:v>Tuân thủ, pháp chế &amp; quản trị</x:v>
      </x:c>
      <x:c r="I573" s="14" t="str">
        <x:v>Quản trị triển khai, RACI và báo cáo</x:v>
      </x:c>
      <x:c r="J573" s="14" t="str">
        <x:v>Truyền thông nội bộ</x:v>
      </x:c>
      <x:c r="K573" s="14" t="str">
        <x:v>Trực tiếp</x:v>
      </x:c>
      <x:c r="L573" s="14" t="str">
        <x:v>Giám sát/audit</x:v>
      </x:c>
      <x:c r="M573" s="14" t="str"/>
      <x:c r="N573" s="14" t="str">
        <x:v>Tổ chức truyền thông nội bộ về các thay đổi từ 01/07/2026 cho lãnh đạo, giám sát ca, nhân viên ANS, HR, đào tạo, CNTT.</x:v>
      </x:c>
      <x:c r="O573" s="14" t="str"/>
      <x:c r="P573" s="14" t="str">
        <x:v>Bản tin; webinar; Q&amp;A; ≥90% nhóm liên quan tham dự/được gửi tài liệu; lưu bằng chứng</x:v>
      </x:c>
      <x:c r="Q573" s="14" t="str">
        <x:v>Bản tin; webinar; Q&amp;A; ≥90% nhóm liên quan tham dự/được gửi tài liệu; lưu bằng chứng</x:v>
      </x:c>
      <x:c r="R573" s="14" t="str"/>
      <x:c r="S573" s="14" t="str">
        <x:v>Văn phòng - Pháp chế; Ban An toàn - Chất lượng</x:v>
      </x:c>
      <x:c r="T573" s="14" t="str">
        <x:v>Văn phòng - Pháp chế</x:v>
      </x:c>
      <x:c r="U573" s="14" t="str"/>
      <x:c r="V573" s="14" t="str">
        <x:v>30/09/2026</x:v>
      </x:c>
      <x:c r="W573" s="14" t="str">
        <x:v>P2</x:v>
      </x:c>
      <x:c r="X573" s="14" t="str"/>
      <x:c r="Y573" s="14" t="str">
        <x:v>Chưa bắt đầu</x:v>
      </x:c>
      <x:c r="Z573" s="14" t="str"/>
      <x:c r="AA573" s="14" t="str"/>
      <x:c r="AB573" s="14" t="str">
        <x:v>phap che; ans; an toan</x:v>
      </x:c>
    </x:row>
    <x:row r="574">
      <x:c r="A574" s="14" t="str">
        <x:v>VATM-0573</x:v>
      </x:c>
      <x:c r="B574" s="14" t="str">
        <x:v>T-69</x:v>
      </x:c>
      <x:c r="C574" s="14" t="str">
        <x:v>Dự thảo Nghị định về Nhà chức trách HKVN &amp; quản lý an toàn HK (01/07/2026)</x:v>
      </x:c>
      <x:c r="D574" s="14" t="str">
        <x:v>VATM_Ra_soat_du_thao_ND_Nha_chuc_trach_QLAT_01072026.xlsx</x:v>
      </x:c>
      <x:c r="E574" s="14" t="str">
        <x:v>Nhiem_vu_VATM</x:v>
      </x:c>
      <x:c r="F574" s="56" t="n">
        <x:v>70</x:v>
      </x:c>
      <x:c r="G574" s="14" t="str">
        <x:v>Điều 26-32</x:v>
      </x:c>
      <x:c r="H574" s="14" t="str">
        <x:v>Tuân thủ, pháp chế &amp; quản trị</x:v>
      </x:c>
      <x:c r="I574" s="14" t="str">
        <x:v>Thanh tra, kiểm tra, audit tuân thủ</x:v>
      </x:c>
      <x:c r="J574" s="14" t="str">
        <x:v>Kiểm toán nội bộ</x:v>
      </x:c>
      <x:c r="K574" s="14" t="str">
        <x:v>Trực tiếp</x:v>
      </x:c>
      <x:c r="L574" s="14" t="str">
        <x:v>SMS/QLAT</x:v>
      </x:c>
      <x:c r="M574" s="14" t="str"/>
      <x:c r="N574" s="14" t="str">
        <x:v>Thiết lập chương trình kiểm toán nội bộ dựa trên rủi ro để tự đánh giá tuân thủ trước giám sát NCTHK.</x:v>
      </x:c>
      <x:c r="O574" s="14" t="str"/>
      <x:c r="P574" s="14" t="str">
        <x:v>Kế hoạch audit 2027; checklist theo điều khoản; Audit 100% lĩnh vực ATS/CNS/MET/AIS/SAR tối thiểu 1 lần/năm hoặc theo rủi ro</x:v>
      </x:c>
      <x:c r="Q574" s="14" t="str">
        <x:v>Kế hoạch audit 2027; checklist theo điều khoản; Audit 100% lĩnh vực ATS/CNS/MET/AIS/SAR tối thiểu 1 lần/năm hoặc theo rủi ro</x:v>
      </x:c>
      <x:c r="R574" s="14" t="str"/>
      <x:c r="S574" s="14" t="str">
        <x:v>Văn phòng - Pháp chế; Ban An toàn - Chất lượng</x:v>
      </x:c>
      <x:c r="T574" s="14" t="str">
        <x:v>Văn phòng - Pháp chế</x:v>
      </x:c>
      <x:c r="U574" s="14" t="str"/>
      <x:c r="V574" s="14" t="str">
        <x:v>31/12/2026</x:v>
      </x:c>
      <x:c r="W574" s="14" t="str">
        <x:v>P2</x:v>
      </x:c>
      <x:c r="X574" s="14" t="str"/>
      <x:c r="Y574" s="14" t="str">
        <x:v>Chưa bắt đầu</x:v>
      </x:c>
      <x:c r="Z574" s="14" t="str"/>
      <x:c r="AA574" s="14" t="str"/>
      <x:c r="AB574" s="14" t="str">
        <x:v>phap che; an toan</x:v>
      </x:c>
    </x:row>
    <x:row r="575">
      <x:c r="A575" s="14" t="str">
        <x:v>VATM-0574</x:v>
      </x:c>
      <x:c r="B575" s="14" t="str">
        <x:v>T-70</x:v>
      </x:c>
      <x:c r="C575" s="14" t="str">
        <x:v>Dự thảo Nghị định về Nhà chức trách HKVN &amp; quản lý an toàn HK (01/07/2026)</x:v>
      </x:c>
      <x:c r="D575" s="14" t="str">
        <x:v>VATM_Ra_soat_du_thao_ND_Nha_chuc_trach_QLAT_01072026.xlsx</x:v>
      </x:c>
      <x:c r="E575" s="14" t="str">
        <x:v>Nhiem_vu_VATM</x:v>
      </x:c>
      <x:c r="F575" s="56" t="n">
        <x:v>71</x:v>
      </x:c>
      <x:c r="G575" s="14" t="str">
        <x:v>Điều 35,67-72</x:v>
      </x:c>
      <x:c r="H575" s="14" t="str">
        <x:v>Tuân thủ, pháp chế &amp; quản trị</x:v>
      </x:c>
      <x:c r="I575" s="14" t="str">
        <x:v>Thanh tra, kiểm tra, audit tuân thủ</x:v>
      </x:c>
      <x:c r="J575" s="14" t="str">
        <x:v>Kiểm toán nội bộ</x:v>
      </x:c>
      <x:c r="K575" s="14" t="str">
        <x:v>Trực tiếp</x:v>
      </x:c>
      <x:c r="L575" s="14" t="str">
        <x:v>Báo cáo/điều tra/khắc phục</x:v>
      </x:c>
      <x:c r="M575" s="14" t="str"/>
      <x:c r="N575" s="14" t="str">
        <x:v>Tổ chức diễn tập tabletop về một sự cố nghiêm trọng liên quan ATS để kiểm tra báo cáo, bảo quản dữ liệu, phối hợp điều tra.</x:v>
      </x:c>
      <x:c r="O575" s="14" t="str"/>
      <x:c r="P575" s="14" t="str">
        <x:v>Kịch bản tabletop; biên bản diễn tập; CAP; Tối thiểu 01 lần trước 30/06/2027; CAP đóng ≥95% đúng hạn</x:v>
      </x:c>
      <x:c r="Q575" s="14" t="str">
        <x:v>Kịch bản tabletop; biên bản diễn tập; CAP; Tối thiểu 01 lần trước 30/06/2027; CAP đóng ≥95% đúng hạn</x:v>
      </x:c>
      <x:c r="R575" s="14" t="str"/>
      <x:c r="S575" s="14" t="str">
        <x:v>Văn phòng - Pháp chế; Ban An toàn - Chất lượng</x:v>
      </x:c>
      <x:c r="T575" s="14" t="str">
        <x:v>Ban Kế hoạch doanh nghiệp - Chuyển đổi số; Ban Không lưu; Ban Kỹ thuật - CNS/IT/Môi trường; Trung tâm Khí tượng hàng không; Trung tâm Thông báo tin tức hàng không; Trung tâm Tìm kiếm cứu nạn hàng không; Văn phòng - Pháp chế</x:v>
      </x:c>
      <x:c r="U575" s="14" t="str"/>
      <x:c r="V575" s="14" t="str">
        <x:v>30/06/2027</x:v>
      </x:c>
      <x:c r="W575" s="14" t="str">
        <x:v>P1</x:v>
      </x:c>
      <x:c r="X575" s="14" t="str"/>
      <x:c r="Y575" s="14" t="str">
        <x:v>Chưa bắt đầu</x:v>
      </x:c>
      <x:c r="Z575" s="14" t="str"/>
      <x:c r="AA575" s="14" t="str"/>
      <x:c r="AB575" s="14" t="str">
        <x:v>phap che; ats; du lieu; an toan</x:v>
      </x:c>
    </x:row>
    <x:row r="576">
      <x:c r="A576" s="14" t="str">
        <x:v>VATM-0575</x:v>
      </x:c>
      <x:c r="B576" s="14" t="str">
        <x:v>T-71</x:v>
      </x:c>
      <x:c r="C576" s="14" t="str">
        <x:v>Dự thảo Nghị định về Nhà chức trách HKVN &amp; quản lý an toàn HK (01/07/2026)</x:v>
      </x:c>
      <x:c r="D576" s="14" t="str">
        <x:v>VATM_Ra_soat_du_thao_ND_Nha_chuc_trach_QLAT_01072026.xlsx</x:v>
      </x:c>
      <x:c r="E576" s="14" t="str">
        <x:v>Nhiem_vu_VATM</x:v>
      </x:c>
      <x:c r="F576" s="56" t="n">
        <x:v>72</x:v>
      </x:c>
      <x:c r="G576" s="14" t="str">
        <x:v>Toàn dự thảo</x:v>
      </x:c>
      <x:c r="H576" s="14" t="str">
        <x:v>Tuân thủ, pháp chế &amp; quản trị</x:v>
      </x:c>
      <x:c r="I576" s="14" t="str">
        <x:v>Quản trị triển khai, RACI và báo cáo</x:v>
      </x:c>
      <x:c r="J576" s="14" t="str">
        <x:v>Văn bản nội bộ</x:v>
      </x:c>
      <x:c r="K576" s="14" t="str">
        <x:v>Trực tiếp</x:v>
      </x:c>
      <x:c r="L576" s="14" t="str">
        <x:v>Quy trình/SOP/biểu mẫu</x:v>
      </x:c>
      <x:c r="M576" s="14" t="str"/>
      <x:c r="N576" s="14" t="str">
        <x:v>Cập nhật danh mục tài liệu nội bộ cần sửa: SMS Manual, Safety Reporting, Occurrence Investigation, Data Governance, Licensing, Training, Fatigue, Discipline, Investigation Support.</x:v>
      </x:c>
      <x:c r="O576" s="14" t="str"/>
      <x:c r="P576" s="14" t="str">
        <x:v>Master document change plan; 100% tài liệu có owner, deadline, status; bản mới phê duyệt đúng quy trình</x:v>
      </x:c>
      <x:c r="Q576" s="14" t="str">
        <x:v>Master document change plan; 100% tài liệu có owner, deadline, status; bản mới phê duyệt đúng quy trình</x:v>
      </x:c>
      <x:c r="R576" s="14" t="str"/>
      <x:c r="S576" s="14" t="str">
        <x:v>Văn phòng - Pháp chế; Ban An toàn - Chất lượng</x:v>
      </x:c>
      <x:c r="T576" s="14" t="str">
        <x:v>Ban Kế hoạch doanh nghiệp - Chuyển đổi số; Ban Kỹ thuật - CNS/IT/Môi trường; Văn phòng - Pháp chế</x:v>
      </x:c>
      <x:c r="U576" s="14" t="str"/>
      <x:c r="V576" s="14" t="str">
        <x:v>30/09/2026</x:v>
      </x:c>
      <x:c r="W576" s="14" t="str">
        <x:v>P1</x:v>
      </x:c>
      <x:c r="X576" s="14" t="str"/>
      <x:c r="Y576" s="14" t="str">
        <x:v>Chưa bắt đầu</x:v>
      </x:c>
      <x:c r="Z576" s="14" t="str"/>
      <x:c r="AA576" s="14" t="str"/>
      <x:c r="AB576" s="14" t="str">
        <x:v>phap che; sms; an toan</x:v>
      </x:c>
    </x:row>
    <x:row r="577">
      <x:c r="A577" s="14" t="str">
        <x:v>VATM-0576</x:v>
      </x:c>
      <x:c r="B577" s="14" t="str">
        <x:v>T-72</x:v>
      </x:c>
      <x:c r="C577" s="14" t="str">
        <x:v>Dự thảo Nghị định về Nhà chức trách HKVN &amp; quản lý an toàn HK (01/07/2026)</x:v>
      </x:c>
      <x:c r="D577" s="14" t="str">
        <x:v>VATM_Ra_soat_du_thao_ND_Nha_chuc_trach_QLAT_01072026.xlsx</x:v>
      </x:c>
      <x:c r="E577" s="14" t="str">
        <x:v>Nhiem_vu_VATM</x:v>
      </x:c>
      <x:c r="F577" s="56" t="n">
        <x:v>73</x:v>
      </x:c>
      <x:c r="G577" s="14" t="str">
        <x:v>Điều 33</x:v>
      </x:c>
      <x:c r="H577" s="14" t="str">
        <x:v>Tuân thủ, pháp chế &amp; quản trị</x:v>
      </x:c>
      <x:c r="I577" s="14" t="str">
        <x:v>Quản trị triển khai, RACI và báo cáo</x:v>
      </x:c>
      <x:c r="J577" s="14" t="str">
        <x:v>Văn bản nội bộ</x:v>
      </x:c>
      <x:c r="K577" s="14" t="str">
        <x:v>Trực tiếp</x:v>
      </x:c>
      <x:c r="L577" s="14" t="str">
        <x:v>Tuân thủ/quản trị</x:v>
      </x:c>
      <x:c r="M577" s="14" t="str"/>
      <x:c r="N577" s="14" t="str">
        <x:v>Ban hành quy định nội bộ không sử dụng miễn trừ thay cho khắc phục không tuân thủ dài hạn.</x:v>
      </x:c>
      <x:c r="O577" s="14" t="str"/>
      <x:c r="P577" s="14" t="str">
        <x:v>Exemption governance note; Mọi miễn trừ có risk owner và CAP khắc phục gốc nếu cần</x:v>
      </x:c>
      <x:c r="Q577" s="14" t="str">
        <x:v>Exemption governance note; Mọi miễn trừ có risk owner và CAP khắc phục gốc nếu cần</x:v>
      </x:c>
      <x:c r="R577" s="14" t="str"/>
      <x:c r="S577" s="14" t="str">
        <x:v>Văn phòng - Pháp chế; Ban An toàn - Chất lượng</x:v>
      </x:c>
      <x:c r="T577" s="14" t="str">
        <x:v>Văn phòng - Pháp chế</x:v>
      </x:c>
      <x:c r="U577" s="14" t="str"/>
      <x:c r="V577" s="14" t="str">
        <x:v>30/09/2026</x:v>
      </x:c>
      <x:c r="W577" s="14" t="str">
        <x:v>P2</x:v>
      </x:c>
      <x:c r="X577" s="14" t="str"/>
      <x:c r="Y577" s="14" t="str">
        <x:v>Chưa bắt đầu</x:v>
      </x:c>
      <x:c r="Z577" s="14" t="str"/>
      <x:c r="AA577" s="14" t="str"/>
      <x:c r="AB577" s="14" t="str">
        <x:v>phap che; an toan</x:v>
      </x:c>
    </x:row>
    <x:row r="578">
      <x:c r="A578" s="14" t="str">
        <x:v>VATM-0577</x:v>
      </x:c>
      <x:c r="B578" s="14" t="str">
        <x:v>T-73</x:v>
      </x:c>
      <x:c r="C578" s="14" t="str">
        <x:v>Dự thảo Nghị định về Nhà chức trách HKVN &amp; quản lý an toàn HK (01/07/2026)</x:v>
      </x:c>
      <x:c r="D578" s="14" t="str">
        <x:v>VATM_Ra_soat_du_thao_ND_Nha_chuc_trach_QLAT_01072026.xlsx</x:v>
      </x:c>
      <x:c r="E578" s="14" t="str">
        <x:v>Nhiem_vu_VATM</x:v>
      </x:c>
      <x:c r="F578" s="56" t="n">
        <x:v>74</x:v>
      </x:c>
      <x:c r="G578" s="14" t="str">
        <x:v>Toàn dự thảo</x:v>
      </x:c>
      <x:c r="H578" s="14" t="str">
        <x:v>Tuân thủ, pháp chế &amp; quản trị</x:v>
      </x:c>
      <x:c r="I578" s="14" t="str">
        <x:v>Quản trị triển khai, RACI và báo cáo</x:v>
      </x:c>
      <x:c r="J578" s="14" t="str">
        <x:v>Báo cáo lãnh đạo</x:v>
      </x:c>
      <x:c r="K578" s="14" t="str">
        <x:v>Trực tiếp</x:v>
      </x:c>
      <x:c r="L578" s="14" t="str">
        <x:v>Báo cáo/điều tra/khắc phục</x:v>
      </x:c>
      <x:c r="M578" s="14" t="str"/>
      <x:c r="N578" s="14" t="str">
        <x:v>Thiết lập báo cáo lãnh đạo hàng tháng về tiến độ triển khai, rủi ro pháp lý và các P1 quá hạn.</x:v>
      </x:c>
      <x:c r="O578" s="14" t="str"/>
      <x:c r="P578" s="14" t="str">
        <x:v>Monthly executive report; Báo cáo trước ngày 05 hằng tháng; P1 quá hạn có biện pháp xử lý</x:v>
      </x:c>
      <x:c r="Q578" s="14" t="str">
        <x:v>Monthly executive report; Báo cáo trước ngày 05 hằng tháng; P1 quá hạn có biện pháp xử lý</x:v>
      </x:c>
      <x:c r="R578" s="14" t="str"/>
      <x:c r="S578" s="14" t="str">
        <x:v>Văn phòng - Pháp chế</x:v>
      </x:c>
      <x:c r="T578" s="14" t="str">
        <x:v>Văn phòng - Pháp chế</x:v>
      </x:c>
      <x:c r="U578" s="14" t="str"/>
      <x:c r="V578" s="14" t="str">
        <x:v>Từ 08/2026</x:v>
      </x:c>
      <x:c r="W578" s="14" t="str">
        <x:v>P1</x:v>
      </x:c>
      <x:c r="X578" s="14" t="str"/>
      <x:c r="Y578" s="14" t="str">
        <x:v>Chưa bắt đầu</x:v>
      </x:c>
      <x:c r="Z578" s="14" t="str"/>
      <x:c r="AA578" s="14" t="str"/>
      <x:c r="AB578" s="14" t="str">
        <x:v>phap che</x:v>
      </x:c>
    </x:row>
    <x:row r="579">
      <x:c r="A579" s="14" t="str">
        <x:v>VATM-0578</x:v>
      </x:c>
      <x:c r="B579" s="14" t="str">
        <x:v>T-74</x:v>
      </x:c>
      <x:c r="C579" s="14" t="str">
        <x:v>Dự thảo Nghị định về Nhà chức trách HKVN &amp; quản lý an toàn HK (01/07/2026)</x:v>
      </x:c>
      <x:c r="D579" s="14" t="str">
        <x:v>VATM_Ra_soat_du_thao_ND_Nha_chuc_trach_QLAT_01072026.xlsx</x:v>
      </x:c>
      <x:c r="E579" s="14" t="str">
        <x:v>Nhiem_vu_VATM</x:v>
      </x:c>
      <x:c r="F579" s="56" t="n">
        <x:v>75</x:v>
      </x:c>
      <x:c r="G579" s="14" t="str">
        <x:v>Điều 84</x:v>
      </x:c>
      <x:c r="H579" s="14" t="str">
        <x:v>An toàn hàng không / SMS</x:v>
      </x:c>
      <x:c r="I579" s="14" t="str">
        <x:v>Quản lý rủi ro và thay đổi</x:v>
      </x:c>
      <x:c r="J579" s="14" t="str">
        <x:v>Rủi ro pháp lý</x:v>
      </x:c>
      <x:c r="K579" s="14" t="str">
        <x:v>Trực tiếp</x:v>
      </x:c>
      <x:c r="L579" s="14" t="str">
        <x:v>SMS/QLAT</x:v>
      </x:c>
      <x:c r="M579" s="14" t="str"/>
      <x:c r="N579" s="14" t="str">
        <x:v>Kiến nghị/ghi chú cơ quan soạn thảo về việc rà soát các NĐ sửa đổi NĐ 92/2016 mới hơn 15/2024 nếu chưa được liệt kê.</x:v>
      </x:c>
      <x:c r="O579" s="14" t="str"/>
      <x:c r="P579" s="14" t="str">
        <x:v>Ý kiến góp ý pháp lý; Nêu rõ NĐ 89/2025 và các văn bản sau 15/2024 nếu còn hiệu lực liên quan</x:v>
      </x:c>
      <x:c r="Q579" s="14" t="str">
        <x:v>Ý kiến góp ý pháp lý; Nêu rõ NĐ 89/2025 và các văn bản sau 15/2024 nếu còn hiệu lực liên quan</x:v>
      </x:c>
      <x:c r="R579" s="14" t="str"/>
      <x:c r="S579" s="14" t="str">
        <x:v>Ban An toàn - Chất lượng; Văn phòng - Pháp chế</x:v>
      </x:c>
      <x:c r="T579" s="14" t="str">
        <x:v>Các Công ty Quản lý bay khu vực Bắc/Trung/Nam; Ban An toàn - Chất lượng</x:v>
      </x:c>
      <x:c r="U579" s="14" t="str"/>
      <x:c r="V579" s="14" t="str">
        <x:v>30/06/2026</x:v>
      </x:c>
      <x:c r="W579" s="14" t="str">
        <x:v>P1</x:v>
      </x:c>
      <x:c r="X579" s="14" t="str"/>
      <x:c r="Y579" s="14" t="str">
        <x:v>Chưa bắt đầu</x:v>
      </x:c>
      <x:c r="Z579" s="14" t="str">
        <x:v>Điểm cần lưu ý</x:v>
      </x:c>
      <x:c r="AA579" s="14" t="str"/>
      <x:c r="AB579" s="14" t="str">
        <x:v>sms; an toan; phap che</x:v>
      </x:c>
    </x:row>
    <x:row r="580">
      <x:c r="A580" s="14" t="str">
        <x:v>VATM-0579</x:v>
      </x:c>
      <x:c r="B580" s="14" t="str">
        <x:v>T-75</x:v>
      </x:c>
      <x:c r="C580" s="14" t="str">
        <x:v>Dự thảo Nghị định về Nhà chức trách HKVN &amp; quản lý an toàn HK (01/07/2026)</x:v>
      </x:c>
      <x:c r="D580" s="14" t="str">
        <x:v>VATM_Ra_soat_du_thao_ND_Nha_chuc_trach_QLAT_01072026.xlsx</x:v>
      </x:c>
      <x:c r="E580" s="14" t="str">
        <x:v>Nhiem_vu_VATM</x:v>
      </x:c>
      <x:c r="F580" s="56" t="n">
        <x:v>76</x:v>
      </x:c>
      <x:c r="G580" s="14" t="str">
        <x:v>Điều 24</x:v>
      </x:c>
      <x:c r="H580" s="14" t="str">
        <x:v>An toàn hàng không / SMS</x:v>
      </x:c>
      <x:c r="I580" s="14" t="str">
        <x:v>Quản lý rủi ro và thay đổi</x:v>
      </x:c>
      <x:c r="J580" s="14" t="str">
        <x:v>Rủi ro pháp lý</x:v>
      </x:c>
      <x:c r="K580" s="14" t="str">
        <x:v>Trực tiếp</x:v>
      </x:c>
      <x:c r="L580" s="14" t="str">
        <x:v>SMS/QLAT</x:v>
      </x:c>
      <x:c r="M580" s="14" t="str"/>
      <x:c r="N580" s="14" t="str">
        <x:v>Làm rõ nghĩa vụ phí nhượng quyền của đơn vị cung cấp BĐHĐB đối với hạ tầng tại cảng/sân bay để tránh hiểu khác nhau.</x:v>
      </x:c>
      <x:c r="O580" s="14" t="str"/>
      <x:c r="P580" s="14" t="str">
        <x:v>Văn bản xin hướng dẫn/biên bản làm việc nếu cần; Có kết luận bằng văn bản trước kỳ kê khai đầu tiên nếu áp dụng</x:v>
      </x:c>
      <x:c r="Q580" s="14" t="str">
        <x:v>Văn bản xin hướng dẫn/biên bản làm việc nếu cần; Có kết luận bằng văn bản trước kỳ kê khai đầu tiên nếu áp dụng</x:v>
      </x:c>
      <x:c r="R580" s="14" t="str"/>
      <x:c r="S580" s="14" t="str">
        <x:v>Ban An toàn - Chất lượng; Văn phòng - Pháp chế; Ban Tài chính</x:v>
      </x:c>
      <x:c r="T580" s="14" t="str">
        <x:v>Các Công ty Quản lý bay khu vực Bắc/Trung/Nam; Ban Kế hoạch - Đầu tư; Ban An toàn - Chất lượng</x:v>
      </x:c>
      <x:c r="U580" s="14" t="str"/>
      <x:c r="V580" s="14" t="str">
        <x:v>30/09/2026</x:v>
      </x:c>
      <x:c r="W580" s="14" t="str">
        <x:v>P2</x:v>
      </x:c>
      <x:c r="X580" s="14" t="str"/>
      <x:c r="Y580" s="14" t="str">
        <x:v>Chưa bắt đầu</x:v>
      </x:c>
      <x:c r="Z580" s="14" t="str"/>
      <x:c r="AA580" s="14" t="str"/>
      <x:c r="AB580" s="14" t="str">
        <x:v>sms; an toan; cang; san bay; phap che; tai chinh</x:v>
      </x:c>
    </x:row>
    <x:row r="581">
      <x:c r="A581" s="14" t="str">
        <x:v>VATM-0580</x:v>
      </x:c>
      <x:c r="B581" s="14" t="str">
        <x:v>T-76</x:v>
      </x:c>
      <x:c r="C581" s="14" t="str">
        <x:v>Dự thảo Nghị định về Nhà chức trách HKVN &amp; quản lý an toàn HK (01/07/2026)</x:v>
      </x:c>
      <x:c r="D581" s="14" t="str">
        <x:v>VATM_Ra_soat_du_thao_ND_Nha_chuc_trach_QLAT_01072026.xlsx</x:v>
      </x:c>
      <x:c r="E581" s="14" t="str">
        <x:v>Nhiem_vu_VATM</x:v>
      </x:c>
      <x:c r="F581" s="56" t="n">
        <x:v>77</x:v>
      </x:c>
      <x:c r="G581" s="14" t="str">
        <x:v>Điều 48</x:v>
      </x:c>
      <x:c r="H581" s="14" t="str">
        <x:v>An toàn hàng không / SMS</x:v>
      </x:c>
      <x:c r="I581" s="14" t="str">
        <x:v>Quản lý rủi ro và thay đổi</x:v>
      </x:c>
      <x:c r="J581" s="14" t="str">
        <x:v>Rủi ro pháp lý</x:v>
      </x:c>
      <x:c r="K581" s="14" t="str">
        <x:v>Trực tiếp</x:v>
      </x:c>
      <x:c r="L581" s="14" t="str">
        <x:v>SMS/QLAT</x:v>
      </x:c>
      <x:c r="M581" s="14" t="str"/>
      <x:c r="N581" s="14" t="str">
        <x:v>Rà soát quy định tạm đình chỉ ngay với Bộ luật Lao động và quy chế nhân sự VATM.</x:v>
      </x:c>
      <x:c r="O581" s="14" t="str"/>
      <x:c r="P581" s="14" t="str">
        <x:v>Phụ lục nội quy lao động; mẫu biên bản/ quyết định; Không xung đột quy trình kỷ luật lao động; bảo đảm an toàn là ưu tiên</x:v>
      </x:c>
      <x:c r="Q581" s="14" t="str">
        <x:v>Phụ lục nội quy lao động; mẫu biên bản/ quyết định; Không xung đột quy trình kỷ luật lao động; bảo đảm an toàn là ưu tiên</x:v>
      </x:c>
      <x:c r="R581" s="14" t="str"/>
      <x:c r="S581" s="14" t="str">
        <x:v>Ban An toàn - Chất lượng; Văn phòng - Pháp chế</x:v>
      </x:c>
      <x:c r="T581" s="14" t="str">
        <x:v>Các Công ty Quản lý bay khu vực Bắc/Trung/Nam; Ban An toàn - Chất lượng</x:v>
      </x:c>
      <x:c r="U581" s="14" t="str"/>
      <x:c r="V581" s="14" t="str">
        <x:v>31/12/2026</x:v>
      </x:c>
      <x:c r="W581" s="14" t="str">
        <x:v>P1</x:v>
      </x:c>
      <x:c r="X581" s="14" t="str"/>
      <x:c r="Y581" s="14" t="str">
        <x:v>Chưa bắt đầu</x:v>
      </x:c>
      <x:c r="Z581" s="14" t="str"/>
      <x:c r="AA581" s="14" t="str"/>
      <x:c r="AB581" s="14" t="str">
        <x:v>sms; an toan; atm; phap che</x:v>
      </x:c>
    </x:row>
    <x:row r="582">
      <x:c r="A582" s="14" t="str">
        <x:v>VATM-0581</x:v>
      </x:c>
      <x:c r="B582" s="14" t="str">
        <x:v>T-77</x:v>
      </x:c>
      <x:c r="C582" s="14" t="str">
        <x:v>Dự thảo Nghị định về Nhà chức trách HKVN &amp; quản lý an toàn HK (01/07/2026)</x:v>
      </x:c>
      <x:c r="D582" s="14" t="str">
        <x:v>VATM_Ra_soat_du_thao_ND_Nha_chuc_trach_QLAT_01072026.xlsx</x:v>
      </x:c>
      <x:c r="E582" s="14" t="str">
        <x:v>Nhiem_vu_VATM</x:v>
      </x:c>
      <x:c r="F582" s="56" t="n">
        <x:v>78</x:v>
      </x:c>
      <x:c r="G582" s="14" t="str">
        <x:v>Điều 6,30</x:v>
      </x:c>
      <x:c r="H582" s="14" t="str">
        <x:v>An toàn hàng không / SMS</x:v>
      </x:c>
      <x:c r="I582" s="14" t="str">
        <x:v>Quản lý rủi ro và thay đổi</x:v>
      </x:c>
      <x:c r="J582" s="14" t="str">
        <x:v>Rủi ro pháp lý</x:v>
      </x:c>
      <x:c r="K582" s="14" t="str">
        <x:v>Trực tiếp</x:v>
      </x:c>
      <x:c r="L582" s="14" t="str">
        <x:v>Báo cáo/điều tra/khắc phục</x:v>
      </x:c>
      <x:c r="M582" s="14" t="str"/>
      <x:c r="N582" s="14" t="str">
        <x:v>Rà soát việc sử dụng dữ liệu an toàn trong kỷ luật/lao động để bảo vệ văn hóa báo cáo và tuân thủ bảo vệ dữ liệu.</x:v>
      </x:c>
      <x:c r="O582" s="14" t="str"/>
      <x:c r="P582" s="14" t="str">
        <x:v>Chính sách sử dụng dữ liệu an toàn; Không dùng dữ liệu ngoài mục đích nếu chưa có căn cứ pháp lý/thẩm quyền</x:v>
      </x:c>
      <x:c r="Q582" s="14" t="str">
        <x:v>Chính sách sử dụng dữ liệu an toàn; Không dùng dữ liệu ngoài mục đích nếu chưa có căn cứ pháp lý/thẩm quyền</x:v>
      </x:c>
      <x:c r="R582" s="14" t="str"/>
      <x:c r="S582" s="14" t="str">
        <x:v>Ban An toàn - Chất lượng; Văn phòng - Pháp chế</x:v>
      </x:c>
      <x:c r="T582" s="14" t="str">
        <x:v>Các Công ty Quản lý bay khu vực Bắc/Trung/Nam; Ban Kế hoạch doanh nghiệp - Chuyển đổi số; Ban Kỹ thuật - CNS/IT/Môi trường; Ban An toàn - Chất lượng</x:v>
      </x:c>
      <x:c r="U582" s="14" t="str"/>
      <x:c r="V582" s="14" t="str">
        <x:v>31/12/2026</x:v>
      </x:c>
      <x:c r="W582" s="14" t="str">
        <x:v>P1</x:v>
      </x:c>
      <x:c r="X582" s="14" t="str"/>
      <x:c r="Y582" s="14" t="str">
        <x:v>Chưa bắt đầu</x:v>
      </x:c>
      <x:c r="Z582" s="14" t="str"/>
      <x:c r="AA582" s="14" t="str"/>
      <x:c r="AB582" s="14" t="str">
        <x:v>sms; an toan; du lieu; phap che</x:v>
      </x:c>
    </x:row>
    <x:row r="583">
      <x:c r="A583" s="14" t="str">
        <x:v>VATM-0582</x:v>
      </x:c>
      <x:c r="B583" s="14" t="str">
        <x:v>T-78</x:v>
      </x:c>
      <x:c r="C583" s="14" t="str">
        <x:v>Dự thảo Nghị định về Nhà chức trách HKVN &amp; quản lý an toàn HK (01/07/2026)</x:v>
      </x:c>
      <x:c r="D583" s="14" t="str">
        <x:v>VATM_Ra_soat_du_thao_ND_Nha_chuc_trach_QLAT_01072026.xlsx</x:v>
      </x:c>
      <x:c r="E583" s="14" t="str">
        <x:v>Nhiem_vu_VATM</x:v>
      </x:c>
      <x:c r="F583" s="56" t="n">
        <x:v>79</x:v>
      </x:c>
      <x:c r="G583" s="14" t="str">
        <x:v>Điều 35,72</x:v>
      </x:c>
      <x:c r="H583" s="14" t="str">
        <x:v>An toàn hàng không / SMS</x:v>
      </x:c>
      <x:c r="I583" s="14" t="str">
        <x:v>Quản lý rủi ro và thay đổi</x:v>
      </x:c>
      <x:c r="J583" s="14" t="str">
        <x:v>Rủi ro pháp lý</x:v>
      </x:c>
      <x:c r="K583" s="14" t="str">
        <x:v>Trực tiếp</x:v>
      </x:c>
      <x:c r="L583" s="14" t="str">
        <x:v>SMS/QLAT</x:v>
      </x:c>
      <x:c r="M583" s="14" t="str"/>
      <x:c r="N583" s="14" t="str">
        <x:v>Rà soát thời hạn lưu trữ dữ liệu ATS/ghi âm/giám sát theo các quy định hiện hành và nhu cầu điều tra lại.</x:v>
      </x:c>
      <x:c r="O583" s="14" t="str"/>
      <x:c r="P583" s="14" t="str">
        <x:v>Retention policy update; Thời hạn lưu trữ đủ hỗ trợ điều tra/điều tra lại; không vi phạm bảo mật</x:v>
      </x:c>
      <x:c r="Q583" s="14" t="str">
        <x:v>Retention policy update; Thời hạn lưu trữ đủ hỗ trợ điều tra/điều tra lại; không vi phạm bảo mật</x:v>
      </x:c>
      <x:c r="R583" s="14" t="str"/>
      <x:c r="S583" s="14" t="str">
        <x:v>Ban An toàn - Chất lượng; Văn phòng - Pháp chế; Ban Kế hoạch doanh nghiệp - Chuyển đổi số; Ban Kỹ thuật - CNS/IT/Môi trường</x:v>
      </x:c>
      <x:c r="T583" s="14" t="str">
        <x:v>Các Công ty Quản lý bay khu vực Bắc/Trung/Nam; Ban Không lưu; Ban Kỹ thuật - CNS/IT/Môi trường; Ban An toàn - Chất lượng</x:v>
      </x:c>
      <x:c r="U583" s="14" t="str"/>
      <x:c r="V583" s="14" t="str">
        <x:v>31/12/2026</x:v>
      </x:c>
      <x:c r="W583" s="14" t="str">
        <x:v>P2</x:v>
      </x:c>
      <x:c r="X583" s="14" t="str"/>
      <x:c r="Y583" s="14" t="str">
        <x:v>Chưa bắt đầu</x:v>
      </x:c>
      <x:c r="Z583" s="14" t="str"/>
      <x:c r="AA583" s="14" t="str"/>
      <x:c r="AB583" s="14" t="str">
        <x:v>sms; an toan; ats; du lieu; cns; phap che</x:v>
      </x:c>
    </x:row>
    <x:row r="584">
      <x:c r="A584" s="14" t="str">
        <x:v>VATM-0583</x:v>
      </x:c>
      <x:c r="B584" s="14" t="str">
        <x:v>GOV-01</x:v>
      </x:c>
      <x:c r="C584" s="14" t="str">
        <x:v>Luật HKDD Việt Nam số 130/2025/QH15</x:v>
      </x:c>
      <x:c r="D584" s="14" t="str">
        <x:v>VATM_Ra_soat_Luat_HKDD_130_2025_QH15_nhiem_vu_01072026.xlsx</x:v>
      </x:c>
      <x:c r="E584" s="14" t="str">
        <x:v>Nhiem_vu_VATM</x:v>
      </x:c>
      <x:c r="F584" s="56" t="n">
        <x:v>5</x:v>
      </x:c>
      <x:c r="G584" s="14" t="str">
        <x:v>Điều 1, 106, 107</x:v>
      </x:c>
      <x:c r="H584" s="14" t="str">
        <x:v>Tuân thủ, pháp chế &amp; quản trị</x:v>
      </x:c>
      <x:c r="I584" s="14" t="str">
        <x:v>Quản trị triển khai, RACI và báo cáo</x:v>
      </x:c>
      <x:c r="J584" s="14" t="str">
        <x:v>Quản trị triển khai Luật</x:v>
      </x:c>
      <x:c r="K584" s="14" t="str">
        <x:v>Trực tiếp</x:v>
      </x:c>
      <x:c r="L584" s="14" t="str">
        <x:v>Báo cáo/điều tra/khắc phục</x:v>
      </x:c>
      <x:c r="M584" s="14" t="str"/>
      <x:c r="N584" s="14" t="str">
        <x:v>Thành lập tổ công tác triển khai Luật 130/2025 trong VATM, phân công chủ sở hữu nghĩa vụ theo từng điều/chương.</x:v>
      </x:c>
      <x:c r="O584" s="14" t="str"/>
      <x:c r="P584" s="14" t="str">
        <x:v>Quyết định/tờ trình thành lập tổ công tác; ma trận nghĩa vụ; kế hoạch hành động.; 100% nghĩa vụ trọng yếu có owner, thời hạn, bằng chứng tuân thủ.; Bảo đảm không trùng lặp/không bỏ sót; cập nhật khi NĐ/TT ban hành.; 01 tổ công tác cấp Tổng công ty; 01 ma trận nghĩa vụ; báo cáo tuần trong giai đoạn cutover.</x:v>
      </x:c>
      <x:c r="Q584" s="14" t="str">
        <x:v>Quyết định/tờ trình thành lập tổ công tác; ma trận nghĩa vụ; kế hoạch hành động.; 100% nghĩa vụ trọng yếu có owner, thời hạn, bằng chứng tuân thủ.; Bảo đảm không trùng lặp/không bỏ sót; cập nhật khi NĐ/TT ban hành.; 01 tổ công tác cấp Tổng công ty; 01 ma trận nghĩa vụ; báo cáo tuần trong giai đoạn cutover.</x:v>
      </x:c>
      <x:c r="R584" s="14" t="str"/>
      <x:c r="S584" s="14" t="str">
        <x:v>Văn phòng - Pháp chế</x:v>
      </x:c>
      <x:c r="T584" s="14" t="str">
        <x:v>Văn phòng - Pháp chế</x:v>
      </x:c>
      <x:c r="U584" s="14" t="str">
        <x:v>Bộ Xây dựng, CAAV khi cần</x:v>
      </x:c>
      <x:c r="V584" s="14" t="str">
        <x:v>Bắt đầu: 06/2026; Hoàn thành: 07/2026</x:v>
      </x:c>
      <x:c r="W584" s="14" t="str">
        <x:v>Rất cao</x:v>
      </x:c>
      <x:c r="X584" s="14" t="str"/>
      <x:c r="Y584" s="14" t="str">
        <x:v>Đang thực hiện</x:v>
      </x:c>
      <x:c r="Z584" s="14" t="str"/>
      <x:c r="AA584" s="14" t="str">
        <x:v>https://caa.gov.vn/hoat-dong-nganh/ke-hoach-trien-khai-thi-hanh-luat-hang-khong-dan-dung-viet-nam-nam-2025-20260120144224187.htm</x:v>
      </x:c>
      <x:c r="AB584" s="14" t="str">
        <x:v>phap che; atm</x:v>
      </x:c>
    </x:row>
    <x:row r="585">
      <x:c r="A585" s="14" t="str">
        <x:v>VATM-0584</x:v>
      </x:c>
      <x:c r="B585" s="14" t="str">
        <x:v>GOV-02</x:v>
      </x:c>
      <x:c r="C585" s="14" t="str">
        <x:v>Luật HKDD Việt Nam số 130/2025/QH15</x:v>
      </x:c>
      <x:c r="D585" s="14" t="str">
        <x:v>VATM_Ra_soat_Luat_HKDD_130_2025_QH15_nhiem_vu_01072026.xlsx</x:v>
      </x:c>
      <x:c r="E585" s="14" t="str">
        <x:v>Nhiem_vu_VATM</x:v>
      </x:c>
      <x:c r="F585" s="56" t="n">
        <x:v>6</x:v>
      </x:c>
      <x:c r="G585" s="14" t="str">
        <x:v>Điều 106</x:v>
      </x:c>
      <x:c r="H585" s="14" t="str">
        <x:v>Tuân thủ, pháp chế &amp; quản trị</x:v>
      </x:c>
      <x:c r="I585" s="14" t="str">
        <x:v>Quản trị triển khai, RACI và báo cáo</x:v>
      </x:c>
      <x:c r="J585" s="14" t="str">
        <x:v>Quản trị triển khai Luật</x:v>
      </x:c>
      <x:c r="K585" s="14" t="str">
        <x:v>Trực tiếp</x:v>
      </x:c>
      <x:c r="L585" s="14" t="str">
        <x:v>Quy trình/SOP/biểu mẫu</x:v>
      </x:c>
      <x:c r="M585" s="14" t="str"/>
      <x:c r="N585" s="14" t="str">
        <x:v>Rà soát văn bản nội bộ, quy chế, quy trình, điều lệ, tài liệu khai thác để xác định văn bản cần sửa/ban hành mới.</x:v>
      </x:c>
      <x:c r="O585" s="14" t="str"/>
      <x:c r="P585" s="14" t="str">
        <x:v>Danh mục văn bản nội bộ cần sửa; kế hoạch sửa đổi; bản đối chiếu với Luật.; 100% văn bản trọng yếu được phân loại: giữ nguyên/sửa/ban hành mới/bãi bỏ.; Có căn cứ điều luật và đơn vị chịu trách nhiệm từng văn bản.; Tối thiểu 01 danh mục toàn VATM và danh mục riêng từng lĩnh vực ATM/CNS/MET/AIS/SAR/SMS/SEC.</x:v>
      </x:c>
      <x:c r="Q585" s="14" t="str">
        <x:v>Danh mục văn bản nội bộ cần sửa; kế hoạch sửa đổi; bản đối chiếu với Luật.; 100% văn bản trọng yếu được phân loại: giữ nguyên/sửa/ban hành mới/bãi bỏ.; Có căn cứ điều luật và đơn vị chịu trách nhiệm từng văn bản.; Tối thiểu 01 danh mục toàn VATM và danh mục riêng từng lĩnh vực ATM/CNS/MET/AIS/SAR/SMS/SEC.</x:v>
      </x:c>
      <x:c r="R585" s="14" t="str"/>
      <x:c r="S585" s="14" t="str">
        <x:v>Văn phòng - Pháp chế</x:v>
      </x:c>
      <x:c r="T585" s="14" t="str">
        <x:v>Văn phòng - Pháp chế</x:v>
      </x:c>
      <x:c r="U585" s="14" t="str">
        <x:v>Tất cả ban/đơn vị</x:v>
      </x:c>
      <x:c r="V585" s="14" t="str">
        <x:v>Bắt đầu: 06/2026; Hoàn thành: 09/2026</x:v>
      </x:c>
      <x:c r="W585" s="14" t="str">
        <x:v>Rất cao</x:v>
      </x:c>
      <x:c r="X585" s="14" t="str"/>
      <x:c r="Y585" s="14" t="str">
        <x:v>Đang thực hiện</x:v>
      </x:c>
      <x:c r="Z585" s="14" t="str"/>
      <x:c r="AA585" s="14" t="str">
        <x:v>https://caa.gov.vn/hoat-dong-nganh/ke-hoach-trien-khai-thi-hanh-luat-hang-khong-dan-dung-viet-nam-nam-2025-20260120144224187.htm</x:v>
      </x:c>
      <x:c r="AB585" s="14" t="str">
        <x:v>phap che</x:v>
      </x:c>
    </x:row>
    <x:row r="586">
      <x:c r="A586" s="14" t="str">
        <x:v>VATM-0585</x:v>
      </x:c>
      <x:c r="B586" s="14" t="str">
        <x:v>GOV-03</x:v>
      </x:c>
      <x:c r="C586" s="14" t="str">
        <x:v>Luật HKDD Việt Nam số 130/2025/QH15</x:v>
      </x:c>
      <x:c r="D586" s="14" t="str">
        <x:v>VATM_Ra_soat_Luat_HKDD_130_2025_QH15_nhiem_vu_01072026.xlsx</x:v>
      </x:c>
      <x:c r="E586" s="14" t="str">
        <x:v>Nhiem_vu_VATM</x:v>
      </x:c>
      <x:c r="F586" s="56" t="n">
        <x:v>7</x:v>
      </x:c>
      <x:c r="G586" s="14" t="str">
        <x:v>Điều 106; kế hoạch triển khai của Chính phủ</x:v>
      </x:c>
      <x:c r="H586" s="14" t="str">
        <x:v>Tuân thủ, pháp chế &amp; quản trị</x:v>
      </x:c>
      <x:c r="I586" s="14" t="str">
        <x:v>Quản trị triển khai, RACI và báo cáo</x:v>
      </x:c>
      <x:c r="J586" s="14" t="str">
        <x:v>Quản trị triển khai Luật</x:v>
      </x:c>
      <x:c r="K586" s="14" t="str">
        <x:v>Trực tiếp</x:v>
      </x:c>
      <x:c r="L586" s="14" t="str">
        <x:v>Báo cáo/điều tra/khắc phục</x:v>
      </x:c>
      <x:c r="M586" s="14" t="str"/>
      <x:c r="N586" s="14" t="str">
        <x:v>Theo dõi 06 Nghị định, 02 Thông tư/11 Thông tư trong chương trình triển khai; tham gia góp ý văn bản có ảnh hưởng đến VATM.</x:v>
      </x:c>
      <x:c r="O586" s="14" t="str"/>
      <x:c r="P586" s="14" t="str">
        <x:v>Tracker văn bản dưới luật; bộ góp ý chính thức; hồ sơ giải trình nội bộ.; Ý kiến góp ý đúng hạn; bám sát lợi ích an toàn, năng lực, nguồn lực VATM.; Góp ý dựa trên dữ liệu khai thác, ICAO, tác động chi phí-năng lực.; 01 tracker, tối thiểu 01 báo cáo tình trạng/tháng cho đến khi văn bản có hiệu lực.</x:v>
      </x:c>
      <x:c r="Q586" s="14" t="str">
        <x:v>Tracker văn bản dưới luật; bộ góp ý chính thức; hồ sơ giải trình nội bộ.; Ý kiến góp ý đúng hạn; bám sát lợi ích an toàn, năng lực, nguồn lực VATM.; Góp ý dựa trên dữ liệu khai thác, ICAO, tác động chi phí-năng lực.; 01 tracker, tối thiểu 01 báo cáo tình trạng/tháng cho đến khi văn bản có hiệu lực.</x:v>
      </x:c>
      <x:c r="R586" s="14" t="str"/>
      <x:c r="S586" s="14" t="str">
        <x:v>Văn phòng - Pháp chế</x:v>
      </x:c>
      <x:c r="T586" s="14" t="str">
        <x:v>Văn phòng - Pháp chế</x:v>
      </x:c>
      <x:c r="U586" s="14" t="str">
        <x:v>CAAV, Bộ Xây dựng, Bộ Công an, Bộ Quốc phòng</x:v>
      </x:c>
      <x:c r="V586" s="14" t="str">
        <x:v>Bắt đầu: 06/2026; Hoàn thành: 12/2026</x:v>
      </x:c>
      <x:c r="W586" s="14" t="str">
        <x:v>Rất cao</x:v>
      </x:c>
      <x:c r="X586" s="14" t="str"/>
      <x:c r="Y586" s="14" t="str">
        <x:v>Đang thực hiện</x:v>
      </x:c>
      <x:c r="Z586" s="14" t="str"/>
      <x:c r="AA586" s="14" t="str">
        <x:v>https://caa.gov.vn/hoat-dong-nganh/chuong-trinh-xay-dung-van-ban-quy-pham-phap-luat-nam-2026-cua-cuc-hang-khong-viet-nam-20260330103051053.htm</x:v>
      </x:c>
      <x:c r="AB586" s="14" t="str">
        <x:v>phap che; atm</x:v>
      </x:c>
    </x:row>
    <x:row r="587">
      <x:c r="A587" s="14" t="str">
        <x:v>VATM-0586</x:v>
      </x:c>
      <x:c r="B587" s="14" t="str">
        <x:v>GOV-04</x:v>
      </x:c>
      <x:c r="C587" s="14" t="str">
        <x:v>Luật HKDD Việt Nam số 130/2025/QH15</x:v>
      </x:c>
      <x:c r="D587" s="14" t="str">
        <x:v>VATM_Ra_soat_Luat_HKDD_130_2025_QH15_nhiem_vu_01072026.xlsx</x:v>
      </x:c>
      <x:c r="E587" s="14" t="str">
        <x:v>Nhiem_vu_VATM</x:v>
      </x:c>
      <x:c r="F587" s="56" t="n">
        <x:v>8</x:v>
      </x:c>
      <x:c r="G587" s="14" t="str">
        <x:v>Điều 2, 47, 99</x:v>
      </x:c>
      <x:c r="H587" s="14" t="str">
        <x:v>Tuân thủ, pháp chế &amp; quản trị</x:v>
      </x:c>
      <x:c r="I587" s="14" t="str">
        <x:v>Quản trị triển khai, RACI và báo cáo</x:v>
      </x:c>
      <x:c r="J587" s="14" t="str">
        <x:v>Quản trị ANSP</x:v>
      </x:c>
      <x:c r="K587" s="14" t="str">
        <x:v>Trực tiếp</x:v>
      </x:c>
      <x:c r="L587" s="14" t="str">
        <x:v>Hồ sơ/phê duyệt/TTHC</x:v>
      </x:c>
      <x:c r="M587" s="14" t="str"/>
      <x:c r="N587" s="14" t="str">
        <x:v>Chuẩn hóa phạm vi VATM với tư cách doanh nghiệp BĐHĐB/ANSP: dịch vụ, cơ sở, công trình, trang thiết bị, tài liệu, trách nhiệm cung cấp dịch vụ.</x:v>
      </x:c>
      <x:c r="O587" s="14" t="str"/>
      <x:c r="P587" s="14" t="str">
        <x:v>Service catalogue ANS; sơ đồ tổ chức cung cấp dịch vụ; danh mục cơ sở/trang thiết bị/tài liệu phê chuẩn.; Dịch vụ được mô tả rõ, đúng thẩm quyền, đúng giấy phép/phê chuẩn.; Thống nhất thuật ngữ, địa bàn, vùng trách nhiệm, tiêu chuẩn dịch vụ.; 01 service catalogue; 01 register giấy phép/phê chuẩn; cập nhật tối thiểu 02 lần/năm.</x:v>
      </x:c>
      <x:c r="Q587" s="14" t="str">
        <x:v>Service catalogue ANS; sơ đồ tổ chức cung cấp dịch vụ; danh mục cơ sở/trang thiết bị/tài liệu phê chuẩn.; Dịch vụ được mô tả rõ, đúng thẩm quyền, đúng giấy phép/phê chuẩn.; Thống nhất thuật ngữ, địa bàn, vùng trách nhiệm, tiêu chuẩn dịch vụ.; 01 service catalogue; 01 register giấy phép/phê chuẩn; cập nhật tối thiểu 02 lần/năm.</x:v>
      </x:c>
      <x:c r="R587" s="14" t="str"/>
      <x:c r="S587" s="14" t="str">
        <x:v>Văn phòng - Pháp chế; Ban An toàn - Chất lượng</x:v>
      </x:c>
      <x:c r="T587" s="14" t="str">
        <x:v>Văn phòng - Pháp chế</x:v>
      </x:c>
      <x:c r="U587" s="14" t="str">
        <x:v>CAAV, các đơn vị VATM</x:v>
      </x:c>
      <x:c r="V587" s="14" t="str">
        <x:v>Bắt đầu: 07/2026; Hoàn thành: 12/2026</x:v>
      </x:c>
      <x:c r="W587" s="14" t="str">
        <x:v>Rất cao</x:v>
      </x:c>
      <x:c r="X587" s="14" t="str"/>
      <x:c r="Y587" s="14" t="str">
        <x:v>Chưa bắt đầu</x:v>
      </x:c>
      <x:c r="Z587" s="14" t="str"/>
      <x:c r="AA587" s="14" t="str">
        <x:v>https://thuvienphapluat.vn/van-ban/Giao-thong-Van-tai/Luat-Hang-khong-dan-dung-Viet-Nam-2025-so-130-2025-QH15-687674.aspx</x:v>
      </x:c>
      <x:c r="AB587" s="14" t="str">
        <x:v>phap che; ans; atm; an toan</x:v>
      </x:c>
    </x:row>
    <x:row r="588">
      <x:c r="A588" s="14" t="str">
        <x:v>VATM-0587</x:v>
      </x:c>
      <x:c r="B588" s="14" t="str">
        <x:v>ATM-01</x:v>
      </x:c>
      <x:c r="C588" s="14" t="str">
        <x:v>Luật HKDD Việt Nam số 130/2025/QH15</x:v>
      </x:c>
      <x:c r="D588" s="14" t="str">
        <x:v>VATM_Ra_soat_Luat_HKDD_130_2025_QH15_nhiem_vu_01072026.xlsx</x:v>
      </x:c>
      <x:c r="E588" s="14" t="str">
        <x:v>Nhiem_vu_VATM</x:v>
      </x:c>
      <x:c r="F588" s="56" t="n">
        <x:v>9</x:v>
      </x:c>
      <x:c r="G588" s="14" t="str">
        <x:v>Điều 39</x:v>
      </x:c>
      <x:c r="H588" s="14" t="str">
        <x:v>ANS - ATM/ATS/ATFM</x:v>
      </x:c>
      <x:c r="I588" s="14" t="str">
        <x:v>Cung cấp ATS/điều hành bay</x:v>
      </x:c>
      <x:c r="J588" s="14" t="str">
        <x:v>ATM/ATS</x:v>
      </x:c>
      <x:c r="K588" s="14" t="str">
        <x:v>Trực tiếp</x:v>
      </x:c>
      <x:c r="L588" s="14" t="str">
        <x:v>Khai thác/cung cấp dịch vụ ANS</x:v>
      </x:c>
      <x:c r="M588" s="14" t="str"/>
      <x:c r="N588" s="14" t="str">
        <x:v>Rà soát phân định khu vực trách nhiệm ATS, sector, điểm chuyển giao và nguyên tắc một vùng trời chỉ do một cơ sở ATS điều hành.</x:v>
      </x:c>
      <x:c r="O588" s="14" t="str"/>
      <x:c r="P588" s="14" t="str">
        <x:v>Bản đồ/ma trận vùng trách nhiệm ATS; LOA/MoU cập nhật.; Không có chồng lấn hoặc khoảng trống trách nhiệm ATS; chuyển giao rõ.; Phù hợp AIP, phương thức, năng lực cơ sở ATS và phối hợp quân sự.; 01 bộ ma trận toàn quốc; LOA cho toàn bộ điểm chuyển giao trọng yếu.</x:v>
      </x:c>
      <x:c r="Q588" s="14" t="str">
        <x:v>Bản đồ/ma trận vùng trách nhiệm ATS; LOA/MoU cập nhật.; Không có chồng lấn hoặc khoảng trống trách nhiệm ATS; chuyển giao rõ.; Phù hợp AIP, phương thức, năng lực cơ sở ATS và phối hợp quân sự.; 01 bộ ma trận toàn quốc; LOA cho toàn bộ điểm chuyển giao trọng yếu.</x:v>
      </x:c>
      <x:c r="R588" s="14" t="str"/>
      <x:c r="S588" s="14" t="str">
        <x:v>Ban Không lưu</x:v>
      </x:c>
      <x:c r="T588" s="14" t="str">
        <x:v>Các Công ty Quản lý bay khu vực Bắc/Trung/Nam; Ban Không lưu</x:v>
      </x:c>
      <x:c r="U588" s="14" t="str">
        <x:v>Quân đội, Công an, CAAV, ANSP lân cận</x:v>
      </x:c>
      <x:c r="V588" s="14" t="str">
        <x:v>Bắt đầu: 06/2026; Hoàn thành: 09/2026</x:v>
      </x:c>
      <x:c r="W588" s="14" t="str">
        <x:v>Rất cao</x:v>
      </x:c>
      <x:c r="X588" s="14" t="str"/>
      <x:c r="Y588" s="14" t="str">
        <x:v>Chưa bắt đầu</x:v>
      </x:c>
      <x:c r="Z588" s="14" t="str"/>
      <x:c r="AA588" s="14" t="str">
        <x:v>https://thuvienphapluat.vn/van-ban/Giao-thong-Van-tai/Luat-Hang-khong-dan-dung-Viet-Nam-2025-so-130-2025-QH15-687674.aspx</x:v>
      </x:c>
      <x:c r="AB588" s="14" t="str">
        <x:v>ans; atm; ats; atfm</x:v>
      </x:c>
    </x:row>
    <x:row r="589">
      <x:c r="A589" s="14" t="str">
        <x:v>VATM-0588</x:v>
      </x:c>
      <x:c r="B589" s="14" t="str">
        <x:v>ATM-02</x:v>
      </x:c>
      <x:c r="C589" s="14" t="str">
        <x:v>Luật HKDD Việt Nam số 130/2025/QH15</x:v>
      </x:c>
      <x:c r="D589" s="14" t="str">
        <x:v>VATM_Ra_soat_Luat_HKDD_130_2025_QH15_nhiem_vu_01072026.xlsx</x:v>
      </x:c>
      <x:c r="E589" s="14" t="str">
        <x:v>Nhiem_vu_VATM</x:v>
      </x:c>
      <x:c r="F589" s="56" t="n">
        <x:v>10</x:v>
      </x:c>
      <x:c r="G589" s="14" t="str">
        <x:v>Điều 39, 40, 121-125 dự thảo NĐ</x:v>
      </x:c>
      <x:c r="H589" s="14" t="str">
        <x:v>ANS - ATM/ATS/ATFM</x:v>
      </x:c>
      <x:c r="I589" s="14" t="str">
        <x:v>Cung cấp ATS/điều hành bay</x:v>
      </x:c>
      <x:c r="J589" s="14" t="str">
        <x:v>ATM/ATS</x:v>
      </x:c>
      <x:c r="K589" s="14" t="str">
        <x:v>Trực tiếp</x:v>
      </x:c>
      <x:c r="L589" s="14" t="str">
        <x:v>Dữ liệu/số hóa</x:v>
      </x:c>
      <x:c r="M589" s="14" t="str"/>
      <x:c r="N589" s="14" t="str">
        <x:v>Cập nhật quy trình phối hợp quản lý hoạt động bay dân dụng - quân sự - công an, bao gồm chia sẻ dữ liệu, liên lạc và phối hợp thời gian thực.</x:v>
      </x:c>
      <x:c r="O589" s="14" t="str"/>
      <x:c r="P589" s="14" t="str">
        <x:v>Quy chế/LOA phối hợp; đầu mối 24/7; checklist tình huống.; Dữ liệu, thông tin chuyến bay và giám sát được chia sẻ đúng phạm vi, đúng thời hạn.; Bảo đảm an toàn, bảo mật, phân quyền, dự phòng đường truyền.; Tối thiểu 01 quy chế cấp quốc gia/đơn vị; diễn tập định kỳ hằng năm.</x:v>
      </x:c>
      <x:c r="Q589" s="14" t="str">
        <x:v>Quy chế/LOA phối hợp; đầu mối 24/7; checklist tình huống.; Dữ liệu, thông tin chuyến bay và giám sát được chia sẻ đúng phạm vi, đúng thời hạn.; Bảo đảm an toàn, bảo mật, phân quyền, dự phòng đường truyền.; Tối thiểu 01 quy chế cấp quốc gia/đơn vị; diễn tập định kỳ hằng năm.</x:v>
      </x:c>
      <x:c r="R589" s="14" t="str"/>
      <x:c r="S589" s="14" t="str">
        <x:v>Ban Không lưu; Trung tâm Quản lý luồng không lưu</x:v>
      </x:c>
      <x:c r="T589" s="14" t="str">
        <x:v>Các Công ty Quản lý bay khu vực Bắc/Trung/Nam; Ban Không lưu</x:v>
      </x:c>
      <x:c r="U589" s="14" t="str">
        <x:v>Bộ Quốc phòng, Bộ Công an, CAAV</x:v>
      </x:c>
      <x:c r="V589" s="14" t="str">
        <x:v>Bắt đầu: 07/2026; Hoàn thành: 06/2027</x:v>
      </x:c>
      <x:c r="W589" s="14" t="str">
        <x:v>Rất cao</x:v>
      </x:c>
      <x:c r="X589" s="14" t="str"/>
      <x:c r="Y589" s="14" t="str">
        <x:v>Chưa bắt đầu</x:v>
      </x:c>
      <x:c r="Z589" s="14" t="str"/>
      <x:c r="AA589" s="14" t="str">
        <x:v>File đính kèm trong cuộc trao đổi: Dự thảo NĐ hoạt động bay 18.6 tiếp thu YK TVCP final.docx</x:v>
      </x:c>
      <x:c r="AB589" s="14" t="str">
        <x:v>ans; atm; ats; atfm; du lieu</x:v>
      </x:c>
    </x:row>
    <x:row r="590">
      <x:c r="A590" s="14" t="str">
        <x:v>VATM-0589</x:v>
      </x:c>
      <x:c r="B590" s="14" t="str">
        <x:v>ATM-03</x:v>
      </x:c>
      <x:c r="C590" s="14" t="str">
        <x:v>Luật HKDD Việt Nam số 130/2025/QH15</x:v>
      </x:c>
      <x:c r="D590" s="14" t="str">
        <x:v>VATM_Ra_soat_Luat_HKDD_130_2025_QH15_nhiem_vu_01072026.xlsx</x:v>
      </x:c>
      <x:c r="E590" s="14" t="str">
        <x:v>Nhiem_vu_VATM</x:v>
      </x:c>
      <x:c r="F590" s="56" t="n">
        <x:v>11</x:v>
      </x:c>
      <x:c r="G590" s="14" t="str">
        <x:v>Điều 40</x:v>
      </x:c>
      <x:c r="H590" s="14" t="str">
        <x:v>ANS - ATM/ATS/ATFM</x:v>
      </x:c>
      <x:c r="I590" s="14" t="str">
        <x:v>Cung cấp ATS/điều hành bay</x:v>
      </x:c>
      <x:c r="J590" s="14" t="str">
        <x:v>ATM/ATS</x:v>
      </x:c>
      <x:c r="K590" s="14" t="str">
        <x:v>Trực tiếp</x:v>
      </x:c>
      <x:c r="L590" s="14" t="str">
        <x:v>Báo cáo/điều tra/khắc phục</x:v>
      </x:c>
      <x:c r="M590" s="14" t="str"/>
      <x:c r="N590" s="14" t="str">
        <x:v>Triển khai ASM/FUA: lập, nhận, công bố và áp dụng kế hoạch sử dụng vùng trời/kế hoạch cập nhật; xử lý khu vực cấm/hạn chế/nguy hiểm tạm thời.</x:v>
      </x:c>
      <x:c r="O590" s="14" t="str"/>
      <x:c r="P590" s="14" t="str">
        <x:v>SOP ASM/FUA; mẫu AUP/UUP; giao diện dữ liệu; quy trình NOTAM/AIRAC.; Giảm hạn chế vùng trời không cần thiết; thông tin vùng trời được cập nhật đúng thời hạn.; Tính chính xác, kịp thời, đồng bộ với AIM và ATFM.; 01 bộ SOP; báo cáo hiệu quả FUA hằng quý.</x:v>
      </x:c>
      <x:c r="Q590" s="14" t="str">
        <x:v>SOP ASM/FUA; mẫu AUP/UUP; giao diện dữ liệu; quy trình NOTAM/AIRAC.; Giảm hạn chế vùng trời không cần thiết; thông tin vùng trời được cập nhật đúng thời hạn.; Tính chính xác, kịp thời, đồng bộ với AIM và ATFM.; 01 bộ SOP; báo cáo hiệu quả FUA hằng quý.</x:v>
      </x:c>
      <x:c r="R590" s="14" t="str"/>
      <x:c r="S590" s="14" t="str">
        <x:v>Ban Không lưu; Trung tâm Quản lý luồng không lưu</x:v>
      </x:c>
      <x:c r="T590" s="14" t="str">
        <x:v>Các Công ty Quản lý bay khu vực Bắc/Trung/Nam; Ban Không lưu</x:v>
      </x:c>
      <x:c r="U590" s="14" t="str">
        <x:v>Cục Tác chiến, CAAV, AIM</x:v>
      </x:c>
      <x:c r="V590" s="14" t="str">
        <x:v>Bắt đầu: 07/2026; Hoàn thành: 06/2027</x:v>
      </x:c>
      <x:c r="W590" s="14" t="str">
        <x:v>Rất cao</x:v>
      </x:c>
      <x:c r="X590" s="14" t="str"/>
      <x:c r="Y590" s="14" t="str">
        <x:v>Chưa bắt đầu</x:v>
      </x:c>
      <x:c r="Z590" s="14" t="str"/>
      <x:c r="AA590" s="14" t="str">
        <x:v>https://thuvienphapluat.vn/van-ban/Giao-thong-Van-tai/Luat-Hang-khong-dan-dung-Viet-Nam-2025-so-130-2025-QH15-687674.aspx</x:v>
      </x:c>
      <x:c r="AB590" s="14" t="str">
        <x:v>ans; atm; ats; atfm</x:v>
      </x:c>
    </x:row>
    <x:row r="591">
      <x:c r="A591" s="14" t="str">
        <x:v>VATM-0590</x:v>
      </x:c>
      <x:c r="B591" s="14" t="str">
        <x:v>ATM-04</x:v>
      </x:c>
      <x:c r="C591" s="14" t="str">
        <x:v>Luật HKDD Việt Nam số 130/2025/QH15</x:v>
      </x:c>
      <x:c r="D591" s="14" t="str">
        <x:v>VATM_Ra_soat_Luat_HKDD_130_2025_QH15_nhiem_vu_01072026.xlsx</x:v>
      </x:c>
      <x:c r="E591" s="14" t="str">
        <x:v>Nhiem_vu_VATM</x:v>
      </x:c>
      <x:c r="F591" s="56" t="n">
        <x:v>12</x:v>
      </x:c>
      <x:c r="G591" s="14" t="str">
        <x:v>Điều 37, 41</x:v>
      </x:c>
      <x:c r="H591" s="14" t="str">
        <x:v>ANS - ATM/ATS/ATFM</x:v>
      </x:c>
      <x:c r="I591" s="14" t="str">
        <x:v>Cung cấp ATS/điều hành bay</x:v>
      </x:c>
      <x:c r="J591" s="14" t="str">
        <x:v>ATM/ATS</x:v>
      </x:c>
      <x:c r="K591" s="14" t="str">
        <x:v>Trực tiếp</x:v>
      </x:c>
      <x:c r="L591" s="14" t="str">
        <x:v>Báo cáo/điều tra/khắc phục</x:v>
      </x:c>
      <x:c r="M591" s="14" t="str"/>
      <x:c r="N591" s="14" t="str">
        <x:v>Cung cấp năng lực hệ thống BĐHĐB phục vụ cấp phép bay, điều phối giờ đi/đến, lập kế hoạch luồng.</x:v>
      </x:c>
      <x:c r="O591" s="14" t="str"/>
      <x:c r="P591" s="14" t="str">
        <x:v>Bản công bố năng lực ATC/ATFM theo mùa; dữ liệu capacity constraint.; Cấp phép/slot phù hợp năng lực cảng và năng lực ANS.; Năng lực được đo bằng phương pháp thống nhất, có cập nhật khi thay đổi.; Báo cáo theo mùa lịch bay và cập nhật khi capacity constraint phát sinh.</x:v>
      </x:c>
      <x:c r="Q591" s="14" t="str">
        <x:v>Bản công bố năng lực ATC/ATFM theo mùa; dữ liệu capacity constraint.; Cấp phép/slot phù hợp năng lực cảng và năng lực ANS.; Năng lực được đo bằng phương pháp thống nhất, có cập nhật khi thay đổi.; Báo cáo theo mùa lịch bay và cập nhật khi capacity constraint phát sinh.</x:v>
      </x:c>
      <x:c r="R591" s="14" t="str"/>
      <x:c r="S591" s="14" t="str">
        <x:v>Ban Không lưu; Trung tâm Quản lý luồng không lưu</x:v>
      </x:c>
      <x:c r="T591" s="14" t="str">
        <x:v>Các Công ty Quản lý bay khu vực Bắc/Trung/Nam; Ban Không lưu</x:v>
      </x:c>
      <x:c r="U591" s="14" t="str">
        <x:v>CAAV, Cảng hàng không, hãng bay</x:v>
      </x:c>
      <x:c r="V591" s="14" t="str">
        <x:v>Bắt đầu: 06/2026; Hoàn thành: Hằng mùa</x:v>
      </x:c>
      <x:c r="W591" s="14" t="str">
        <x:v>Cao</x:v>
      </x:c>
      <x:c r="X591" s="14" t="str"/>
      <x:c r="Y591" s="14" t="str">
        <x:v>Chưa bắt đầu</x:v>
      </x:c>
      <x:c r="Z591" s="14" t="str"/>
      <x:c r="AA591" s="14" t="str">
        <x:v>https://thuvienphapluat.vn/van-ban/Giao-thong-Van-tai/Luat-Hang-khong-dan-dung-Viet-Nam-2025-so-130-2025-QH15-687674.aspx</x:v>
      </x:c>
      <x:c r="AB591" s="14" t="str">
        <x:v>ans; atm; ats; atfm</x:v>
      </x:c>
    </x:row>
    <x:row r="592">
      <x:c r="A592" s="14" t="str">
        <x:v>VATM-0591</x:v>
      </x:c>
      <x:c r="B592" s="14" t="str">
        <x:v>ATM-05</x:v>
      </x:c>
      <x:c r="C592" s="14" t="str">
        <x:v>Luật HKDD Việt Nam số 130/2025/QH15</x:v>
      </x:c>
      <x:c r="D592" s="14" t="str">
        <x:v>VATM_Ra_soat_Luat_HKDD_130_2025_QH15_nhiem_vu_01072026.xlsx</x:v>
      </x:c>
      <x:c r="E592" s="14" t="str">
        <x:v>Nhiem_vu_VATM</x:v>
      </x:c>
      <x:c r="F592" s="56" t="n">
        <x:v>13</x:v>
      </x:c>
      <x:c r="G592" s="14" t="str">
        <x:v>Điều 41; dự thảo NĐ Điều 14, 17, 24</x:v>
      </x:c>
      <x:c r="H592" s="14" t="str">
        <x:v>ANS - ATM/ATS/ATFM</x:v>
      </x:c>
      <x:c r="I592" s="14" t="str">
        <x:v>Cung cấp ATS/điều hành bay</x:v>
      </x:c>
      <x:c r="J592" s="14" t="str">
        <x:v>ATM/ATS</x:v>
      </x:c>
      <x:c r="K592" s="14" t="str">
        <x:v>Trực tiếp</x:v>
      </x:c>
      <x:c r="L592" s="14" t="str">
        <x:v>SMS/QLAT</x:v>
      </x:c>
      <x:c r="M592" s="14" t="str"/>
      <x:c r="N592" s="14" t="str">
        <x:v>Chuẩn hóa quy trình xử lý FPL, phản hồi kế hoạch bay, kế hoạch thực hiện chuyến bay trong phần FIR trên biển quốc tế, và các trường hợp được giao xử lý ngoài giờ.</x:v>
      </x:c>
      <x:c r="O592" s="14" t="str"/>
      <x:c r="P592" s="14" t="str">
        <x:v>SOP FPL/permit; mẫu phản hồi; dashboard SLA; nhật ký thẩm quyền.; Không để FPL/permit sai lệch gây rủi ro; phản hồi đúng thời hạn.; Phân biệt rõ phản hồi thay phép bay, cấp/sửa/hủy phép bay và thông báo kế hoạch.; 01 SOP trung tâm; 100% nhân viên liên quan được huấn luyện.</x:v>
      </x:c>
      <x:c r="Q592" s="14" t="str">
        <x:v>SOP FPL/permit; mẫu phản hồi; dashboard SLA; nhật ký thẩm quyền.; Không để FPL/permit sai lệch gây rủi ro; phản hồi đúng thời hạn.; Phân biệt rõ phản hồi thay phép bay, cấp/sửa/hủy phép bay và thông báo kế hoạch.; 01 SOP trung tâm; 100% nhân viên liên quan được huấn luyện.</x:v>
      </x:c>
      <x:c r="R592" s="14" t="str"/>
      <x:c r="S592" s="14" t="str">
        <x:v>Ban Không lưu; Trung tâm Quản lý luồng không lưu</x:v>
      </x:c>
      <x:c r="T592" s="14" t="str">
        <x:v>Các Công ty Quản lý bay khu vực Bắc/Trung/Nam; Ban Không lưu</x:v>
      </x:c>
      <x:c r="U592" s="14" t="str">
        <x:v>CAAV, Cục Tác chiến, Cục Lãnh sự, hãng bay</x:v>
      </x:c>
      <x:c r="V592" s="14" t="str">
        <x:v>Bắt đầu: 06/2026; Hoàn thành: 09/2026</x:v>
      </x:c>
      <x:c r="W592" s="14" t="str">
        <x:v>Rất cao</x:v>
      </x:c>
      <x:c r="X592" s="14" t="str"/>
      <x:c r="Y592" s="14" t="str">
        <x:v>Chưa bắt đầu</x:v>
      </x:c>
      <x:c r="Z592" s="14" t="str"/>
      <x:c r="AA592" s="14" t="str">
        <x:v>File đính kèm trong cuộc trao đổi: Dự thảo NĐ hoạt động bay 18.6 tiếp thu YK TVCP final.docx</x:v>
      </x:c>
      <x:c r="AB592" s="14" t="str">
        <x:v>ans; atm; ats; atfm; fpl</x:v>
      </x:c>
    </x:row>
    <x:row r="593">
      <x:c r="A593" s="14" t="str">
        <x:v>VATM-0592</x:v>
      </x:c>
      <x:c r="B593" s="14" t="str">
        <x:v>ATM-06</x:v>
      </x:c>
      <x:c r="C593" s="14" t="str">
        <x:v>Luật HKDD Việt Nam số 130/2025/QH15</x:v>
      </x:c>
      <x:c r="D593" s="14" t="str">
        <x:v>VATM_Ra_soat_Luat_HKDD_130_2025_QH15_nhiem_vu_01072026.xlsx</x:v>
      </x:c>
      <x:c r="E593" s="14" t="str">
        <x:v>Nhiem_vu_VATM</x:v>
      </x:c>
      <x:c r="F593" s="56" t="n">
        <x:v>14</x:v>
      </x:c>
      <x:c r="G593" s="14" t="str">
        <x:v>Điều 42, 94</x:v>
      </x:c>
      <x:c r="H593" s="14" t="str">
        <x:v>ANS - ATM/ATS/ATFM</x:v>
      </x:c>
      <x:c r="I593" s="14" t="str">
        <x:v>Cung cấp ATS/điều hành bay</x:v>
      </x:c>
      <x:c r="J593" s="14" t="str">
        <x:v>ATM/ATS</x:v>
      </x:c>
      <x:c r="K593" s="14" t="str">
        <x:v>Trực tiếp</x:v>
      </x:c>
      <x:c r="L593" s="14" t="str">
        <x:v>Báo cáo/điều tra/khắc phục</x:v>
      </x:c>
      <x:c r="M593" s="14" t="str"/>
      <x:c r="N593" s="14" t="str">
        <x:v>Huấn luyện và diễn tập tình huống tàu bay vi phạm vùng trời, bay chặn/bay kèm/bay ép, can thiệp bất hợp pháp, khẩn nguy.</x:v>
      </x:c>
      <x:c r="O593" s="14" t="str"/>
      <x:c r="P593" s="14" t="str">
        <x:v>Kịch bản huấn luyện; biên bản diễn tập; checklist ATC.; KSVKL nắm đúng vai trò, liên lạc, phân cách, ưu tiên và báo cáo.; Không cung cấp chi tiết nhạy cảm vượt phạm vi an toàn/phối hợp; bảo mật hồ sơ.; Tối thiểu 01 diễn tập liên ngành/năm và 01 refresh training/năm.</x:v>
      </x:c>
      <x:c r="Q593" s="14" t="str">
        <x:v>Kịch bản huấn luyện; biên bản diễn tập; checklist ATC.; KSVKL nắm đúng vai trò, liên lạc, phân cách, ưu tiên và báo cáo.; Không cung cấp chi tiết nhạy cảm vượt phạm vi an toàn/phối hợp; bảo mật hồ sơ.; Tối thiểu 01 diễn tập liên ngành/năm và 01 refresh training/năm.</x:v>
      </x:c>
      <x:c r="R593" s="14" t="str"/>
      <x:c r="S593" s="14" t="str">
        <x:v>Ban Không lưu; Ban An ninh hàng không</x:v>
      </x:c>
      <x:c r="T593" s="14" t="str">
        <x:v>Các Công ty Quản lý bay khu vực Bắc/Trung/Nam; Ban Không lưu</x:v>
      </x:c>
      <x:c r="U593" s="14" t="str">
        <x:v>Quân đội, Công an, CAAV, cảng hàng không</x:v>
      </x:c>
      <x:c r="V593" s="14" t="str">
        <x:v>Bắt đầu: 07/2026; Hoàn thành: Hằng năm</x:v>
      </x:c>
      <x:c r="W593" s="14" t="str">
        <x:v>Rất cao</x:v>
      </x:c>
      <x:c r="X593" s="14" t="str"/>
      <x:c r="Y593" s="14" t="str">
        <x:v>Chưa bắt đầu</x:v>
      </x:c>
      <x:c r="Z593" s="14" t="str"/>
      <x:c r="AA593" s="14" t="str">
        <x:v>https://thuvienphapluat.vn/van-ban/Giao-thong-Van-tai/Luat-Hang-khong-dan-dung-Viet-Nam-2025-so-130-2025-QH15-687674.aspx</x:v>
      </x:c>
      <x:c r="AB593" s="14" t="str">
        <x:v>ans; atm; ats; atfm; huan luyen; an ninh</x:v>
      </x:c>
    </x:row>
    <x:row r="594">
      <x:c r="A594" s="14" t="str">
        <x:v>VATM-0593</x:v>
      </x:c>
      <x:c r="B594" s="14" t="str">
        <x:v>ATM-07</x:v>
      </x:c>
      <x:c r="C594" s="14" t="str">
        <x:v>Luật HKDD Việt Nam số 130/2025/QH15</x:v>
      </x:c>
      <x:c r="D594" s="14" t="str">
        <x:v>VATM_Ra_soat_Luat_HKDD_130_2025_QH15_nhiem_vu_01072026.xlsx</x:v>
      </x:c>
      <x:c r="E594" s="14" t="str">
        <x:v>Nhiem_vu_VATM</x:v>
      </x:c>
      <x:c r="F594" s="56" t="n">
        <x:v>15</x:v>
      </x:c>
      <x:c r="G594" s="14" t="str">
        <x:v>Điều 45</x:v>
      </x:c>
      <x:c r="H594" s="14" t="str">
        <x:v>ANS - ATM/ATS/ATFM</x:v>
      </x:c>
      <x:c r="I594" s="14" t="str">
        <x:v>Cung cấp ATS/điều hành bay</x:v>
      </x:c>
      <x:c r="J594" s="14" t="str">
        <x:v>ATM/ATS</x:v>
      </x:c>
      <x:c r="K594" s="14" t="str">
        <x:v>Trực tiếp</x:v>
      </x:c>
      <x:c r="L594" s="14" t="str">
        <x:v>Báo cáo/điều tra/khắc phục</x:v>
      </x:c>
      <x:c r="M594" s="14" t="str"/>
      <x:c r="N594" s="14" t="str">
        <x:v>Xác định và quản lý phương thức điều hành khu vực xả nhiên liệu/thả vật thể trong tình huống được phép; công bố AIS và xử lý ATC.</x:v>
      </x:c>
      <x:c r="O594" s="14" t="str"/>
      <x:c r="P594" s="14" t="str">
        <x:v>Danh mục khu vực; SOP; nội dung AIP/NOTAM; quy trình báo cáo hậu kiểm.; An toàn phân cách, giảm rủi ro cho mặt đất/mặt nước/môi trường.; Có đánh giá an toàn và phối hợp địa phương/cơ quan môi trường khi cần.; Mỗi FIR/khu vực sân bay trọng yếu có phương án hoặc căn cứ xử lý.</x:v>
      </x:c>
      <x:c r="Q594" s="14" t="str">
        <x:v>Danh mục khu vực; SOP; nội dung AIP/NOTAM; quy trình báo cáo hậu kiểm.; An toàn phân cách, giảm rủi ro cho mặt đất/mặt nước/môi trường.; Có đánh giá an toàn và phối hợp địa phương/cơ quan môi trường khi cần.; Mỗi FIR/khu vực sân bay trọng yếu có phương án hoặc căn cứ xử lý.</x:v>
      </x:c>
      <x:c r="R594" s="14" t="str"/>
      <x:c r="S594" s="14" t="str">
        <x:v>Ban Không lưu; Trung tâm Thông báo tin tức hàng không</x:v>
      </x:c>
      <x:c r="T594" s="14" t="str">
        <x:v>Các Công ty Quản lý bay khu vực Bắc/Trung/Nam; Ban Không lưu</x:v>
      </x:c>
      <x:c r="U594" s="14" t="str">
        <x:v>CAAV, địa phương, môi trường, cảng hàng không</x:v>
      </x:c>
      <x:c r="V594" s="14" t="str">
        <x:v>Bắt đầu: 07/2026; Hoàn thành: 12/2026</x:v>
      </x:c>
      <x:c r="W594" s="14" t="str">
        <x:v>Cao</x:v>
      </x:c>
      <x:c r="X594" s="14" t="str"/>
      <x:c r="Y594" s="14" t="str">
        <x:v>Chưa bắt đầu</x:v>
      </x:c>
      <x:c r="Z594" s="14" t="str"/>
      <x:c r="AA594" s="14" t="str">
        <x:v>https://thuvienphapluat.vn/van-ban/Giao-thong-Van-tai/Luat-Hang-khong-dan-dung-Viet-Nam-2025-so-130-2025-QH15-687674.aspx</x:v>
      </x:c>
      <x:c r="AB594" s="14" t="str">
        <x:v>ans; atm; ats; atfm; ais</x:v>
      </x:c>
    </x:row>
    <x:row r="595">
      <x:c r="A595" s="14" t="str">
        <x:v>VATM-0594</x:v>
      </x:c>
      <x:c r="B595" s="14" t="str">
        <x:v>ATFM-01</x:v>
      </x:c>
      <x:c r="C595" s="14" t="str">
        <x:v>Luật HKDD Việt Nam số 130/2025/QH15</x:v>
      </x:c>
      <x:c r="D595" s="14" t="str">
        <x:v>VATM_Ra_soat_Luat_HKDD_130_2025_QH15_nhiem_vu_01072026.xlsx</x:v>
      </x:c>
      <x:c r="E595" s="14" t="str">
        <x:v>Nhiem_vu_VATM</x:v>
      </x:c>
      <x:c r="F595" s="56" t="n">
        <x:v>16</x:v>
      </x:c>
      <x:c r="G595" s="14" t="str">
        <x:v>Điều 37, 39, 41</x:v>
      </x:c>
      <x:c r="H595" s="14" t="str">
        <x:v>ANS - ATM/ATS/ATFM</x:v>
      </x:c>
      <x:c r="I595" s="14" t="str">
        <x:v>ATFM, năng lực và điều phối luồng</x:v>
      </x:c>
      <x:c r="J595" s="14" t="str">
        <x:v>ATFM/CDM</x:v>
      </x:c>
      <x:c r="K595" s="14" t="str">
        <x:v>Trực tiếp</x:v>
      </x:c>
      <x:c r="L595" s="14" t="str">
        <x:v>Báo cáo/điều tra/khắc phục</x:v>
      </x:c>
      <x:c r="M595" s="14" t="str"/>
      <x:c r="N595" s="14" t="str">
        <x:v>Hoàn thiện mô hình ATFM/CDM cấp chiến lược, tiền chiến thuật, chiến thuật và sau khai thác.</x:v>
      </x:c>
      <x:c r="O595" s="14" t="str"/>
      <x:c r="P595" s="14" t="str">
        <x:v>Manual ATFM/CDM; lịch họp CDM; báo cáo delay/capacity.; Điều tiết luồng thông suốt, giảm tắc nghẽn vùng trời/sân bay.; Dữ liệu minh bạch, lý do ATFM thống nhất, có hậu kiểm.; 01 mô hình toàn quốc; họp CDM định kỳ mùa/tuần/ngày theo nhu cầu.</x:v>
      </x:c>
      <x:c r="Q595" s="14" t="str">
        <x:v>Manual ATFM/CDM; lịch họp CDM; báo cáo delay/capacity.; Điều tiết luồng thông suốt, giảm tắc nghẽn vùng trời/sân bay.; Dữ liệu minh bạch, lý do ATFM thống nhất, có hậu kiểm.; 01 mô hình toàn quốc; họp CDM định kỳ mùa/tuần/ngày theo nhu cầu.</x:v>
      </x:c>
      <x:c r="R595" s="14" t="str"/>
      <x:c r="S595" s="14" t="str">
        <x:v>Trung tâm Quản lý luồng không lưu; Ban Không lưu</x:v>
      </x:c>
      <x:c r="T595" s="14" t="str">
        <x:v>Các Công ty Quản lý bay khu vực Bắc/Trung/Nam; Trung tâm Quản lý luồng không lưu; Ban Không lưu</x:v>
      </x:c>
      <x:c r="U595" s="14" t="str">
        <x:v>CAAV, hãng bay, cảng hàng không, quân đội</x:v>
      </x:c>
      <x:c r="V595" s="14" t="str">
        <x:v>Bắt đầu: 07/2026; Hoàn thành: 2027</x:v>
      </x:c>
      <x:c r="W595" s="14" t="str">
        <x:v>Cao</x:v>
      </x:c>
      <x:c r="X595" s="14" t="str"/>
      <x:c r="Y595" s="14" t="str">
        <x:v>Chưa bắt đầu</x:v>
      </x:c>
      <x:c r="Z595" s="14" t="str"/>
      <x:c r="AA595" s="14" t="str">
        <x:v>https://thuvienphapluat.vn/van-ban/Giao-thong-Van-tai/Luat-Hang-khong-dan-dung-Viet-Nam-2025-so-130-2025-QH15-687674.aspx</x:v>
      </x:c>
      <x:c r="AB595" s="14" t="str">
        <x:v>ans; atm; ats; atfm</x:v>
      </x:c>
    </x:row>
    <x:row r="596">
      <x:c r="A596" s="14" t="str">
        <x:v>VATM-0595</x:v>
      </x:c>
      <x:c r="B596" s="14" t="str">
        <x:v>ATFM-02</x:v>
      </x:c>
      <x:c r="C596" s="14" t="str">
        <x:v>Luật HKDD Việt Nam số 130/2025/QH15</x:v>
      </x:c>
      <x:c r="D596" s="14" t="str">
        <x:v>VATM_Ra_soat_Luat_HKDD_130_2025_QH15_nhiem_vu_01072026.xlsx</x:v>
      </x:c>
      <x:c r="E596" s="14" t="str">
        <x:v>Nhiem_vu_VATM</x:v>
      </x:c>
      <x:c r="F596" s="56" t="n">
        <x:v>17</x:v>
      </x:c>
      <x:c r="G596" s="14" t="str">
        <x:v>Điều 9, 47</x:v>
      </x:c>
      <x:c r="H596" s="14" t="str">
        <x:v>ANS - ATM/ATS/ATFM</x:v>
      </x:c>
      <x:c r="I596" s="14" t="str">
        <x:v>ATFM, năng lực và điều phối luồng</x:v>
      </x:c>
      <x:c r="J596" s="14" t="str">
        <x:v>ATFM/CDM</x:v>
      </x:c>
      <x:c r="K596" s="14" t="str">
        <x:v>Trực tiếp</x:v>
      </x:c>
      <x:c r="L596" s="14" t="str">
        <x:v>Báo cáo/điều tra/khắc phục</x:v>
      </x:c>
      <x:c r="M596" s="14" t="str"/>
      <x:c r="N596" s="14" t="str">
        <x:v>Đo lường hiệu quả môi trường của ATFM/PBN/CDO/CCO/đường bay tối ưu bằng các chỉ số vận hành.</x:v>
      </x:c>
      <x:c r="O596" s="14" t="str"/>
      <x:c r="P596" s="14" t="str">
        <x:v>Dashboard môi trường ANS; báo cáo hiệu quả giảm chậm trễ/nhiên liệu ước tính.; Có dữ liệu hỗ trợ chính sách môi trường và hiện đại hóa ATM.; Phương pháp tính nhất quán, nêu rõ giả định, không thổi phồng lợi ích.; Báo cáo 6 tháng/lần sau khi có dữ liệu.</x:v>
      </x:c>
      <x:c r="Q596" s="14" t="str">
        <x:v>Dashboard môi trường ANS; báo cáo hiệu quả giảm chậm trễ/nhiên liệu ước tính.; Có dữ liệu hỗ trợ chính sách môi trường và hiện đại hóa ATM.; Phương pháp tính nhất quán, nêu rõ giả định, không thổi phồng lợi ích.; Báo cáo 6 tháng/lần sau khi có dữ liệu.</x:v>
      </x:c>
      <x:c r="R596" s="14" t="str"/>
      <x:c r="S596" s="14" t="str">
        <x:v>Trung tâm Quản lý luồng không lưu; Ban Không lưu</x:v>
      </x:c>
      <x:c r="T596" s="14" t="str">
        <x:v>Các Công ty Quản lý bay khu vực Bắc/Trung/Nam; Trung tâm Quản lý luồng không lưu; Ban Không lưu</x:v>
      </x:c>
      <x:c r="U596" s="14" t="str">
        <x:v>Hãng bay, cảng hàng không, MET, AIM</x:v>
      </x:c>
      <x:c r="V596" s="14" t="str">
        <x:v>Bắt đầu: 2027; Hoàn thành: 2028</x:v>
      </x:c>
      <x:c r="W596" s="14" t="str">
        <x:v>Trung bình</x:v>
      </x:c>
      <x:c r="X596" s="14" t="str"/>
      <x:c r="Y596" s="14" t="str">
        <x:v>Chưa bắt đầu</x:v>
      </x:c>
      <x:c r="Z596" s="14" t="str"/>
      <x:c r="AA596" s="14" t="str">
        <x:v>https://thuvienphapluat.vn/van-ban/Giao-thong-Van-tai/Luat-Hang-khong-dan-dung-Viet-Nam-2025-so-130-2025-QH15-687674.aspx</x:v>
      </x:c>
      <x:c r="AB596" s="14" t="str">
        <x:v>ans; atm; ats; atfm</x:v>
      </x:c>
    </x:row>
    <x:row r="597">
      <x:c r="A597" s="14" t="str">
        <x:v>VATM-0596</x:v>
      </x:c>
      <x:c r="B597" s="14" t="str">
        <x:v>CNS-01</x:v>
      </x:c>
      <x:c r="C597" s="14" t="str">
        <x:v>Luật HKDD Việt Nam số 130/2025/QH15</x:v>
      </x:c>
      <x:c r="D597" s="14" t="str">
        <x:v>VATM_Ra_soat_Luat_HKDD_130_2025_QH15_nhiem_vu_01072026.xlsx</x:v>
      </x:c>
      <x:c r="E597" s="14" t="str">
        <x:v>Nhiem_vu_VATM</x:v>
      </x:c>
      <x:c r="F597" s="56" t="n">
        <x:v>18</x:v>
      </x:c>
      <x:c r="G597" s="14" t="str">
        <x:v>Điều 44, 47</x:v>
      </x:c>
      <x:c r="H597" s="14" t="str">
        <x:v>ANS - CNS/IT/Kỹ thuật</x:v>
      </x:c>
      <x:c r="I597" s="14" t="str">
        <x:v>CNS, trang thiết bị và bảo trì kỹ thuật</x:v>
      </x:c>
      <x:c r="J597" s="14" t="str">
        <x:v>CNS/Tần số</x:v>
      </x:c>
      <x:c r="K597" s="14" t="str">
        <x:v>Trực tiếp</x:v>
      </x:c>
      <x:c r="L597" s="14" t="str">
        <x:v>Hồ sơ/phê duyệt/TTHC</x:v>
      </x:c>
      <x:c r="M597" s="14" t="str"/>
      <x:c r="N597" s="14" t="str">
        <x:v>Kiểm kê toàn bộ hệ thống CNS, tần số, giấy phép tần số, giấy phép/phê chuẩn khai thác, tình trạng dự phòng.</x:v>
      </x:c>
      <x:c r="O597" s="14" t="str"/>
      <x:c r="P597" s="14" t="str">
        <x:v>CNS asset &amp; licence register; bản đồ tần số; cảnh báo hết hạn giấy phép.; 100% hệ thống CNS khai thác có hồ sơ hợp lệ, không quá hạn.; Hồ sơ khớp hiện trạng kỹ thuật, có owner và lịch bảo trì.; 01 register toàn quốc; cập nhật tối thiểu hằng quý.</x:v>
      </x:c>
      <x:c r="Q597" s="14" t="str">
        <x:v>CNS asset &amp; licence register; bản đồ tần số; cảnh báo hết hạn giấy phép.; 100% hệ thống CNS khai thác có hồ sơ hợp lệ, không quá hạn.; Hồ sơ khớp hiện trạng kỹ thuật, có owner và lịch bảo trì.; 01 register toàn quốc; cập nhật tối thiểu hằng quý.</x:v>
      </x:c>
      <x:c r="R597" s="14" t="str"/>
      <x:c r="S597" s="14" t="str">
        <x:v>Ban Kỹ thuật - CNS/IT/Môi trường</x:v>
      </x:c>
      <x:c r="T597" s="14" t="str">
        <x:v>Các Công ty Quản lý bay khu vực Bắc/Trung/Nam; Ban Kỹ thuật - CNS/IT/Môi trường</x:v>
      </x:c>
      <x:c r="U597" s="14" t="str">
        <x:v>CAAV, cơ quan tần số, đơn vị khu vực</x:v>
      </x:c>
      <x:c r="V597" s="14" t="str">
        <x:v>Bắt đầu: 06/2026; Hoàn thành: 09/2026</x:v>
      </x:c>
      <x:c r="W597" s="14" t="str">
        <x:v>Rất cao</x:v>
      </x:c>
      <x:c r="X597" s="14" t="str"/>
      <x:c r="Y597" s="14" t="str">
        <x:v>Chưa bắt đầu</x:v>
      </x:c>
      <x:c r="Z597" s="14" t="str"/>
      <x:c r="AA597" s="14" t="str">
        <x:v>https://thuvienphapluat.vn/van-ban/Giao-thong-Van-tai/Luat-Hang-khong-dan-dung-Viet-Nam-2025-so-130-2025-QH15-687674.aspx</x:v>
      </x:c>
      <x:c r="AB597" s="14" t="str">
        <x:v>ans; cns; phe chuan; giay phep</x:v>
      </x:c>
    </x:row>
    <x:row r="598">
      <x:c r="A598" s="14" t="str">
        <x:v>VATM-0597</x:v>
      </x:c>
      <x:c r="B598" s="14" t="str">
        <x:v>CNS-02</x:v>
      </x:c>
      <x:c r="C598" s="14" t="str">
        <x:v>Luật HKDD Việt Nam số 130/2025/QH15</x:v>
      </x:c>
      <x:c r="D598" s="14" t="str">
        <x:v>VATM_Ra_soat_Luat_HKDD_130_2025_QH15_nhiem_vu_01072026.xlsx</x:v>
      </x:c>
      <x:c r="E598" s="14" t="str">
        <x:v>Nhiem_vu_VATM</x:v>
      </x:c>
      <x:c r="F598" s="56" t="n">
        <x:v>19</x:v>
      </x:c>
      <x:c r="G598" s="14" t="str">
        <x:v>Điều 44; Điều 12</x:v>
      </x:c>
      <x:c r="H598" s="14" t="str">
        <x:v>ANS - CNS/IT/Kỹ thuật</x:v>
      </x:c>
      <x:c r="I598" s="14" t="str">
        <x:v>CNS, trang thiết bị và bảo trì kỹ thuật</x:v>
      </x:c>
      <x:c r="J598" s="14" t="str">
        <x:v>CNS/Tần số</x:v>
      </x:c>
      <x:c r="K598" s="14" t="str">
        <x:v>Trực tiếp</x:v>
      </x:c>
      <x:c r="L598" s="14" t="str">
        <x:v>Báo cáo/điều tra/khắc phục</x:v>
      </x:c>
      <x:c r="M598" s="14" t="str"/>
      <x:c r="N598" s="14" t="str">
        <x:v>Thiết lập quy trình giám sát và xử lý can nhiễu, mất tín hiệu, tấn công/cản trở hệ thống CNS.</x:v>
      </x:c>
      <x:c r="O598" s="14" t="str"/>
      <x:c r="P598" s="14" t="str">
        <x:v>SOP xử lý can nhiễu; nhật ký sự cố; đường dây phối hợp cơ quan tần số.; Thời gian phát hiện, báo cáo, khoanh vùng, khắc phục đạt SLA.; Bảo đảm an toàn, liên tục dịch vụ, có phương án dự phòng.; Diễn tập can nhiễu/mất dịch vụ tối thiểu 01 lần/năm tại cơ sở trọng yếu.</x:v>
      </x:c>
      <x:c r="Q598" s="14" t="str">
        <x:v>SOP xử lý can nhiễu; nhật ký sự cố; đường dây phối hợp cơ quan tần số.; Thời gian phát hiện, báo cáo, khoanh vùng, khắc phục đạt SLA.; Bảo đảm an toàn, liên tục dịch vụ, có phương án dự phòng.; Diễn tập can nhiễu/mất dịch vụ tối thiểu 01 lần/năm tại cơ sở trọng yếu.</x:v>
      </x:c>
      <x:c r="R598" s="14" t="str"/>
      <x:c r="S598" s="14" t="str">
        <x:v>Ban Kỹ thuật - CNS/IT/Môi trường</x:v>
      </x:c>
      <x:c r="T598" s="14" t="str">
        <x:v>Các Công ty Quản lý bay khu vực Bắc/Trung/Nam; Ban Kỹ thuật - CNS/IT/Môi trường</x:v>
      </x:c>
      <x:c r="U598" s="14" t="str">
        <x:v>Cơ quan tần số, CAAV, Quân đội, Công an</x:v>
      </x:c>
      <x:c r="V598" s="14" t="str">
        <x:v>Bắt đầu: 07/2026; Hoàn thành: 2027</x:v>
      </x:c>
      <x:c r="W598" s="14" t="str">
        <x:v>Cao</x:v>
      </x:c>
      <x:c r="X598" s="14" t="str"/>
      <x:c r="Y598" s="14" t="str">
        <x:v>Chưa bắt đầu</x:v>
      </x:c>
      <x:c r="Z598" s="14" t="str"/>
      <x:c r="AA598" s="14" t="str">
        <x:v>https://thuvienphapluat.vn/van-ban/Giao-thong-Van-tai/Luat-Hang-khong-dan-dung-Viet-Nam-2025-so-130-2025-QH15-687674.aspx</x:v>
      </x:c>
      <x:c r="AB598" s="14" t="str">
        <x:v>ans; cns</x:v>
      </x:c>
    </x:row>
    <x:row r="599">
      <x:c r="A599" s="14" t="str">
        <x:v>VATM-0598</x:v>
      </x:c>
      <x:c r="B599" s="14" t="str">
        <x:v>CNS-03</x:v>
      </x:c>
      <x:c r="C599" s="14" t="str">
        <x:v>Luật HKDD Việt Nam số 130/2025/QH15</x:v>
      </x:c>
      <x:c r="D599" s="14" t="str">
        <x:v>VATM_Ra_soat_Luat_HKDD_130_2025_QH15_nhiem_vu_01072026.xlsx</x:v>
      </x:c>
      <x:c r="E599" s="14" t="str">
        <x:v>Nhiem_vu_VATM</x:v>
      </x:c>
      <x:c r="F599" s="56" t="n">
        <x:v>20</x:v>
      </x:c>
      <x:c r="G599" s="14" t="str">
        <x:v>Điều 43, 47</x:v>
      </x:c>
      <x:c r="H599" s="14" t="str">
        <x:v>ANS - CNS/IT/Kỹ thuật</x:v>
      </x:c>
      <x:c r="I599" s="14" t="str">
        <x:v>CNS, trang thiết bị và bảo trì kỹ thuật</x:v>
      </x:c>
      <x:c r="J599" s="14" t="str">
        <x:v>CNS/Tần số</x:v>
      </x:c>
      <x:c r="K599" s="14" t="str">
        <x:v>Trực tiếp</x:v>
      </x:c>
      <x:c r="L599" s="14" t="str">
        <x:v>Báo cáo/điều tra/khắc phục</x:v>
      </x:c>
      <x:c r="M599" s="14" t="str"/>
      <x:c r="N599" s="14" t="str">
        <x:v>Đánh giá ảnh hưởng công trình/chướng ngại vật đến đài/trạm CNS, đặc biệt khu vực bảo đảm hoạt động bình thường của đài vô tuyến điện hàng không.</x:v>
      </x:c>
      <x:c r="O599" s="14" t="str"/>
      <x:c r="P599" s="14" t="str">
        <x:v>Quy trình đánh giá kỹ thuật; biểu mẫu ý kiến; cơ sở dữ liệu BRA/OLS liên quan CNS.; 100% hồ sơ công trình ảnh hưởng CNS được đánh giá đúng hạn và có kết luận rõ.; Dựa trên số liệu đo đạc, mô hình kỹ thuật, tiêu chuẩn ICAO/được phê duyệt.; Báo cáo đánh giá theo từng hồ sơ; danh mục cơ sở CNS cần bảo vệ.</x:v>
      </x:c>
      <x:c r="Q599" s="14" t="str">
        <x:v>Quy trình đánh giá kỹ thuật; biểu mẫu ý kiến; cơ sở dữ liệu BRA/OLS liên quan CNS.; 100% hồ sơ công trình ảnh hưởng CNS được đánh giá đúng hạn và có kết luận rõ.; Dựa trên số liệu đo đạc, mô hình kỹ thuật, tiêu chuẩn ICAO/được phê duyệt.; Báo cáo đánh giá theo từng hồ sơ; danh mục cơ sở CNS cần bảo vệ.</x:v>
      </x:c>
      <x:c r="R599" s="14" t="str"/>
      <x:c r="S599" s="14" t="str">
        <x:v>Ban Kỹ thuật - CNS/IT/Môi trường</x:v>
      </x:c>
      <x:c r="T599" s="14" t="str">
        <x:v>Các Công ty Quản lý bay khu vực Bắc/Trung/Nam; Ban Kỹ thuật - CNS/IT/Môi trường</x:v>
      </x:c>
      <x:c r="U599" s="14" t="str">
        <x:v>CAAV, Cục Tác chiến, địa phương, chủ đầu tư</x:v>
      </x:c>
      <x:c r="V599" s="14" t="str">
        <x:v>Bắt đầu: 07/2026; Hoàn thành: 2028</x:v>
      </x:c>
      <x:c r="W599" s="14" t="str">
        <x:v>Rất cao</x:v>
      </x:c>
      <x:c r="X599" s="14" t="str"/>
      <x:c r="Y599" s="14" t="str">
        <x:v>Chưa bắt đầu</x:v>
      </x:c>
      <x:c r="Z599" s="14" t="str"/>
      <x:c r="AA599" s="14" t="str">
        <x:v>https://thuvienphapluat.vn/van-ban/Giao-thong-Van-tai/Luat-Hang-khong-dan-dung-Viet-Nam-2025-so-130-2025-QH15-687674.aspx</x:v>
      </x:c>
      <x:c r="AB599" s="14" t="str">
        <x:v>ans; cns</x:v>
      </x:c>
    </x:row>
    <x:row r="600">
      <x:c r="A600" s="14" t="str">
        <x:v>VATM-0599</x:v>
      </x:c>
      <x:c r="B600" s="14" t="str">
        <x:v>CNS-04</x:v>
      </x:c>
      <x:c r="C600" s="14" t="str">
        <x:v>Luật HKDD Việt Nam số 130/2025/QH15</x:v>
      </x:c>
      <x:c r="D600" s="14" t="str">
        <x:v>VATM_Ra_soat_Luat_HKDD_130_2025_QH15_nhiem_vu_01072026.xlsx</x:v>
      </x:c>
      <x:c r="E600" s="14" t="str">
        <x:v>Nhiem_vu_VATM</x:v>
      </x:c>
      <x:c r="F600" s="56" t="n">
        <x:v>21</x:v>
      </x:c>
      <x:c r="G600" s="14" t="str">
        <x:v>Điều 47</x:v>
      </x:c>
      <x:c r="H600" s="14" t="str">
        <x:v>ANS - CNS/IT/Kỹ thuật</x:v>
      </x:c>
      <x:c r="I600" s="14" t="str">
        <x:v>CNS, trang thiết bị và bảo trì kỹ thuật</x:v>
      </x:c>
      <x:c r="J600" s="14" t="str">
        <x:v>CNS/Tần số</x:v>
      </x:c>
      <x:c r="K600" s="14" t="str">
        <x:v>Trực tiếp</x:v>
      </x:c>
      <x:c r="L600" s="14" t="str">
        <x:v>Báo cáo/điều tra/khắc phục</x:v>
      </x:c>
      <x:c r="M600" s="14" t="str"/>
      <x:c r="N600" s="14" t="str">
        <x:v>Rà soát khả năng dự phòng/continuity của hệ thống CNS/ATM, trung tâm dữ liệu, nguồn điện, truyền dẫn, cybersecurity.</x:v>
      </x:c>
      <x:c r="O600" s="14" t="str"/>
      <x:c r="P600" s="14" t="str">
        <x:v>Báo cáo resilience CNS/ATM; kế hoạch nâng cấp dự phòng.; Đạt mục tiêu availability/continuity được phê chuẩn; giảm rủi ro single point of failure.; Ưu tiên hệ thống critical; có BCP/DRP được diễn tập.; 01 báo cáo toàn quốc; 01 kế hoạch đầu tư dự phòng giai đoạn 2026-2030.</x:v>
      </x:c>
      <x:c r="Q600" s="14" t="str">
        <x:v>Báo cáo resilience CNS/ATM; kế hoạch nâng cấp dự phòng.; Đạt mục tiêu availability/continuity được phê chuẩn; giảm rủi ro single point of failure.; Ưu tiên hệ thống critical; có BCP/DRP được diễn tập.; 01 báo cáo toàn quốc; 01 kế hoạch đầu tư dự phòng giai đoạn 2026-2030.</x:v>
      </x:c>
      <x:c r="R600" s="14" t="str"/>
      <x:c r="S600" s="14" t="str">
        <x:v>Ban Kỹ thuật - CNS/IT/Môi trường; Ban Kế hoạch doanh nghiệp - Chuyển đổi số</x:v>
      </x:c>
      <x:c r="T600" s="14" t="str">
        <x:v>Các Công ty Quản lý bay khu vực Bắc/Trung/Nam; Ban Kỹ thuật - CNS/IT/Môi trường</x:v>
      </x:c>
      <x:c r="U600" s="14" t="str">
        <x:v>An ninh mạng, Không lưu, Tài chính</x:v>
      </x:c>
      <x:c r="V600" s="14" t="str">
        <x:v>Bắt đầu: 07/2026; Hoàn thành: 2027</x:v>
      </x:c>
      <x:c r="W600" s="14" t="str">
        <x:v>Rất cao</x:v>
      </x:c>
      <x:c r="X600" s="14" t="str"/>
      <x:c r="Y600" s="14" t="str">
        <x:v>Chưa bắt đầu</x:v>
      </x:c>
      <x:c r="Z600" s="14" t="str"/>
      <x:c r="AA600" s="14" t="str">
        <x:v>https://thuvienphapluat.vn/van-ban/Giao-thong-Van-tai/Luat-Hang-khong-dan-dung-Viet-Nam-2025-so-130-2025-QH15-687674.aspx</x:v>
      </x:c>
      <x:c r="AB600" s="14" t="str">
        <x:v>ans; cns; atm; du lieu</x:v>
      </x:c>
    </x:row>
    <x:row r="601">
      <x:c r="A601" s="14" t="str">
        <x:v>VATM-0600</x:v>
      </x:c>
      <x:c r="B601" s="14" t="str">
        <x:v>AIM-01</x:v>
      </x:c>
      <x:c r="C601" s="14" t="str">
        <x:v>Luật HKDD Việt Nam số 130/2025/QH15</x:v>
      </x:c>
      <x:c r="D601" s="14" t="str">
        <x:v>VATM_Ra_soat_Luat_HKDD_130_2025_QH15_nhiem_vu_01072026.xlsx</x:v>
      </x:c>
      <x:c r="E601" s="14" t="str">
        <x:v>Nhiem_vu_VATM</x:v>
      </x:c>
      <x:c r="F601" s="56" t="n">
        <x:v>22</x:v>
      </x:c>
      <x:c r="G601" s="14" t="str">
        <x:v>Điều 8, 46, 47</x:v>
      </x:c>
      <x:c r="H601" s="14" t="str">
        <x:v>ANS - AIS/AIM/Tin tức HK</x:v>
      </x:c>
      <x:c r="I601" s="14" t="str">
        <x:v>AIP/NOTAM/dữ liệu hàng không</x:v>
      </x:c>
      <x:c r="J601" s="14" t="str">
        <x:v>AIS/AIM/Dữ liệu</x:v>
      </x:c>
      <x:c r="K601" s="14" t="str">
        <x:v>Trực tiếp</x:v>
      </x:c>
      <x:c r="L601" s="14" t="str">
        <x:v>Dữ liệu/số hóa</x:v>
      </x:c>
      <x:c r="M601" s="14" t="str"/>
      <x:c r="N601" s="14" t="str">
        <x:v>Xây dựng dây chuyền dữ liệu hàng không từ người khởi tạo đến kiểm tra, phê chuẩn, công bố và lưu trữ.</x:v>
      </x:c>
      <x:c r="O601" s="14" t="str"/>
      <x:c r="P601" s="14" t="str">
        <x:v>Data chain procedure; danh mục người khởi tạo dữ liệu; SLA dữ liệu.; Dữ liệu chính xác, đầy đủ, kịp thời, truy xuất nguồn gốc.; Chuẩn hóa định dạng, WGS-84, toàn vẹn, bảo mật, kiểm soát phiên bản.; 01 quy trình toàn VATM; 100% data originators liên quan có thỏa thuận chính thức.</x:v>
      </x:c>
      <x:c r="Q601" s="14" t="str">
        <x:v>Data chain procedure; danh mục người khởi tạo dữ liệu; SLA dữ liệu.; Dữ liệu chính xác, đầy đủ, kịp thời, truy xuất nguồn gốc.; Chuẩn hóa định dạng, WGS-84, toàn vẹn, bảo mật, kiểm soát phiên bản.; 01 quy trình toàn VATM; 100% data originators liên quan có thỏa thuận chính thức.</x:v>
      </x:c>
      <x:c r="R601" s="14" t="str"/>
      <x:c r="S601" s="14" t="str">
        <x:v>Trung tâm Thông báo tin tức hàng không</x:v>
      </x:c>
      <x:c r="T601" s="14" t="str">
        <x:v>Các Công ty Quản lý bay khu vực Bắc/Trung/Nam; Trung tâm Thông báo tin tức hàng không</x:v>
      </x:c>
      <x:c r="U601" s="14" t="str">
        <x:v>CAAV, cảng hàng không, quân đội, địa phương, CNS/MET</x:v>
      </x:c>
      <x:c r="V601" s="14" t="str">
        <x:v>Bắt đầu: 06/2026; Hoàn thành: 06/2027</x:v>
      </x:c>
      <x:c r="W601" s="14" t="str">
        <x:v>Rất cao</x:v>
      </x:c>
      <x:c r="X601" s="14" t="str"/>
      <x:c r="Y601" s="14" t="str">
        <x:v>Chưa bắt đầu</x:v>
      </x:c>
      <x:c r="Z601" s="14" t="str"/>
      <x:c r="AA601" s="14" t="str">
        <x:v>https://thuvienphapluat.vn/van-ban/Giao-thong-Van-tai/Luat-Hang-khong-dan-dung-Viet-Nam-2025-so-130-2025-QH15-687674.aspx</x:v>
      </x:c>
      <x:c r="AB601" s="14" t="str">
        <x:v>ans; ais; aim; du lieu; phe chuan</x:v>
      </x:c>
    </x:row>
    <x:row r="602">
      <x:c r="A602" s="14" t="str">
        <x:v>VATM-0601</x:v>
      </x:c>
      <x:c r="B602" s="14" t="str">
        <x:v>AIM-02</x:v>
      </x:c>
      <x:c r="C602" s="14" t="str">
        <x:v>Luật HKDD Việt Nam số 130/2025/QH15</x:v>
      </x:c>
      <x:c r="D602" s="14" t="str">
        <x:v>VATM_Ra_soat_Luat_HKDD_130_2025_QH15_nhiem_vu_01072026.xlsx</x:v>
      </x:c>
      <x:c r="E602" s="14" t="str">
        <x:v>Nhiem_vu_VATM</x:v>
      </x:c>
      <x:c r="F602" s="56" t="n">
        <x:v>23</x:v>
      </x:c>
      <x:c r="G602" s="14" t="str">
        <x:v>Điều 46, 47</x:v>
      </x:c>
      <x:c r="H602" s="14" t="str">
        <x:v>ANS - AIS/AIM/Tin tức HK</x:v>
      </x:c>
      <x:c r="I602" s="14" t="str">
        <x:v>AIP/NOTAM/dữ liệu hàng không</x:v>
      </x:c>
      <x:c r="J602" s="14" t="str">
        <x:v>AIS/AIM/Dữ liệu</x:v>
      </x:c>
      <x:c r="K602" s="14" t="str">
        <x:v>Trực tiếp</x:v>
      </x:c>
      <x:c r="L602" s="14" t="str">
        <x:v>Báo cáo/điều tra/khắc phục</x:v>
      </x:c>
      <x:c r="M602" s="14" t="str"/>
      <x:c r="N602" s="14" t="str">
        <x:v>Đảm bảo AIP, AIC, NOTAM, AIRAC, sơ đồ/bản đồ và các bộ dữ liệu số được công bố đúng chu kỳ, đúng phê chuẩn.</x:v>
      </x:c>
      <x:c r="O602" s="14" t="str"/>
      <x:c r="P602" s="14" t="str">
        <x:v>AIM publication calendar; checklist AIRAC; dashboard lỗi dữ liệu.; AIRAC đúng hạn ≥98%; lỗi dữ liệu nghiêm trọng bằng 0.; Có kiểm tra 2 cấp, phân quyền phê chuẩn, lưu vết thay đổi.; Lịch AIRAC cả năm; báo cáo chất lượng dữ liệu hằng quý.</x:v>
      </x:c>
      <x:c r="Q602" s="14" t="str">
        <x:v>AIM publication calendar; checklist AIRAC; dashboard lỗi dữ liệu.; AIRAC đúng hạn ≥98%; lỗi dữ liệu nghiêm trọng bằng 0.; Có kiểm tra 2 cấp, phân quyền phê chuẩn, lưu vết thay đổi.; Lịch AIRAC cả năm; báo cáo chất lượng dữ liệu hằng quý.</x:v>
      </x:c>
      <x:c r="R602" s="14" t="str"/>
      <x:c r="S602" s="14" t="str">
        <x:v>Trung tâm Thông báo tin tức hàng không</x:v>
      </x:c>
      <x:c r="T602" s="14" t="str">
        <x:v>Các Công ty Quản lý bay khu vực Bắc/Trung/Nam; Trung tâm Thông báo tin tức hàng không</x:v>
      </x:c>
      <x:c r="U602" s="14" t="str">
        <x:v>CAAV, người khởi tạo dữ liệu</x:v>
      </x:c>
      <x:c r="V602" s="14" t="str">
        <x:v>Bắt đầu: 07/2026; Hoàn thành: Duy trì</x:v>
      </x:c>
      <x:c r="W602" s="14" t="str">
        <x:v>Rất cao</x:v>
      </x:c>
      <x:c r="X602" s="14" t="str"/>
      <x:c r="Y602" s="14" t="str">
        <x:v>Chưa bắt đầu</x:v>
      </x:c>
      <x:c r="Z602" s="14" t="str"/>
      <x:c r="AA602" s="14" t="str">
        <x:v>https://thuvienphapluat.vn/van-ban/Giao-thong-Van-tai/Luat-Hang-khong-dan-dung-Viet-Nam-2025-so-130-2025-QH15-687674.aspx</x:v>
      </x:c>
      <x:c r="AB602" s="14" t="str">
        <x:v>ans; ais; aim; du lieu; phe chuan</x:v>
      </x:c>
    </x:row>
    <x:row r="603">
      <x:c r="A603" s="14" t="str">
        <x:v>VATM-0602</x:v>
      </x:c>
      <x:c r="B603" s="14" t="str">
        <x:v>AIM-03</x:v>
      </x:c>
      <x:c r="C603" s="14" t="str">
        <x:v>Luật HKDD Việt Nam số 130/2025/QH15</x:v>
      </x:c>
      <x:c r="D603" s="14" t="str">
        <x:v>VATM_Ra_soat_Luat_HKDD_130_2025_QH15_nhiem_vu_01072026.xlsx</x:v>
      </x:c>
      <x:c r="E603" s="14" t="str">
        <x:v>Nhiem_vu_VATM</x:v>
      </x:c>
      <x:c r="F603" s="56" t="n">
        <x:v>24</x:v>
      </x:c>
      <x:c r="G603" s="14" t="str">
        <x:v>Điều 43, 46</x:v>
      </x:c>
      <x:c r="H603" s="14" t="str">
        <x:v>ANS - AIS/AIM/Tin tức HK</x:v>
      </x:c>
      <x:c r="I603" s="14" t="str">
        <x:v>AIP/NOTAM/dữ liệu hàng không</x:v>
      </x:c>
      <x:c r="J603" s="14" t="str">
        <x:v>AIS/AIM/Dữ liệu</x:v>
      </x:c>
      <x:c r="K603" s="14" t="str">
        <x:v>Trực tiếp</x:v>
      </x:c>
      <x:c r="L603" s="14" t="str">
        <x:v>Dữ liệu/số hóa</x:v>
      </x:c>
      <x:c r="M603" s="14" t="str"/>
      <x:c r="N603" s="14" t="str">
        <x:v>Thiết lập/cập nhật eTOD và dữ liệu chướng ngại vật phục vụ AIP, thiết kế phương thức bay, đánh giá an toàn.</x:v>
      </x:c>
      <x:c r="O603" s="14" t="str"/>
      <x:c r="P603" s="14" t="str">
        <x:v>CSDL eTOD/obstacles; biểu mẫu cập nhật; quy trình kiểm tra chất lượng.; Dữ liệu chướng ngại vật có độ chính xác và toàn vẹn phù hợp quy định.; Có nguồn gốc rõ, cập nhật khi công trình hoàn thành/thay đổi/dỡ bỏ.; CSDL cho các cảng hàng không/sân bay có hoạt động dân dụng; ưu tiên sân bay trọng điểm trước.</x:v>
      </x:c>
      <x:c r="Q603" s="14" t="str">
        <x:v>CSDL eTOD/obstacles; biểu mẫu cập nhật; quy trình kiểm tra chất lượng.; Dữ liệu chướng ngại vật có độ chính xác và toàn vẹn phù hợp quy định.; Có nguồn gốc rõ, cập nhật khi công trình hoàn thành/thay đổi/dỡ bỏ.; CSDL cho các cảng hàng không/sân bay có hoạt động dân dụng; ưu tiên sân bay trọng điểm trước.</x:v>
      </x:c>
      <x:c r="R603" s="14" t="str"/>
      <x:c r="S603" s="14" t="str">
        <x:v>Trung tâm Thông báo tin tức hàng không</x:v>
      </x:c>
      <x:c r="T603" s="14" t="str">
        <x:v>Các Công ty Quản lý bay khu vực Bắc/Trung/Nam; Trung tâm Thông báo tin tức hàng không</x:v>
      </x:c>
      <x:c r="U603" s="14" t="str">
        <x:v>CAAV, địa phương, cảng hàng không, chủ công trình</x:v>
      </x:c>
      <x:c r="V603" s="14" t="str">
        <x:v>Bắt đầu: 07/2026; Hoàn thành: 06/2028</x:v>
      </x:c>
      <x:c r="W603" s="14" t="str">
        <x:v>Rất cao</x:v>
      </x:c>
      <x:c r="X603" s="14" t="str"/>
      <x:c r="Y603" s="14" t="str">
        <x:v>Chưa bắt đầu</x:v>
      </x:c>
      <x:c r="Z603" s="14" t="str"/>
      <x:c r="AA603" s="14" t="str">
        <x:v>https://thuvienphapluat.vn/van-ban/Giao-thong-Van-tai/Luat-Hang-khong-dan-dung-Viet-Nam-2025-so-130-2025-QH15-687674.aspx</x:v>
      </x:c>
      <x:c r="AB603" s="14" t="str">
        <x:v>ans; ais; aim; du lieu; an toan</x:v>
      </x:c>
    </x:row>
    <x:row r="604">
      <x:c r="A604" s="14" t="str">
        <x:v>VATM-0603</x:v>
      </x:c>
      <x:c r="B604" s="14" t="str">
        <x:v>AIM-04</x:v>
      </x:c>
      <x:c r="C604" s="14" t="str">
        <x:v>Luật HKDD Việt Nam số 130/2025/QH15</x:v>
      </x:c>
      <x:c r="D604" s="14" t="str">
        <x:v>VATM_Ra_soat_Luat_HKDD_130_2025_QH15_nhiem_vu_01072026.xlsx</x:v>
      </x:c>
      <x:c r="E604" s="14" t="str">
        <x:v>Nhiem_vu_VATM</x:v>
      </x:c>
      <x:c r="F604" s="56" t="n">
        <x:v>25</x:v>
      </x:c>
      <x:c r="G604" s="14" t="str">
        <x:v>Điều 8, 82</x:v>
      </x:c>
      <x:c r="H604" s="14" t="str">
        <x:v>ANS - AIS/AIM/Tin tức HK</x:v>
      </x:c>
      <x:c r="I604" s="14" t="str">
        <x:v>AIP/NOTAM/dữ liệu hàng không</x:v>
      </x:c>
      <x:c r="J604" s="14" t="str">
        <x:v>AIS/AIM/Dữ liệu</x:v>
      </x:c>
      <x:c r="K604" s="14" t="str">
        <x:v>Trực tiếp</x:v>
      </x:c>
      <x:c r="L604" s="14" t="str">
        <x:v>Dữ liệu/số hóa</x:v>
      </x:c>
      <x:c r="M604" s="14" t="str"/>
      <x:c r="N604" s="14" t="str">
        <x:v>Kết nối dữ liệu AIM/ANS với cơ sở dữ liệu hàng không dân dụng và trung tâm dữ liệu an toàn khi có nền tảng chính thức.</x:v>
      </x:c>
      <x:c r="O604" s="14" t="str"/>
      <x:c r="P604" s="14" t="str">
        <x:v>Giao diện kết nối/API hoặc quy trình trao đổi; data mapping; quy chế bảo mật.; Dữ liệu được chia sẻ đúng quyền, đúng mục đích, đúng tần suất.; Bảo vệ dữ liệu cá nhân/an toàn; không chia sẻ vượt thẩm quyền.; 01 kế hoạch kết nối; thử nghiệm kỹ thuật theo giai đoạn.</x:v>
      </x:c>
      <x:c r="Q604" s="14" t="str">
        <x:v>Giao diện kết nối/API hoặc quy trình trao đổi; data mapping; quy chế bảo mật.; Dữ liệu được chia sẻ đúng quyền, đúng mục đích, đúng tần suất.; Bảo vệ dữ liệu cá nhân/an toàn; không chia sẻ vượt thẩm quyền.; 01 kế hoạch kết nối; thử nghiệm kỹ thuật theo giai đoạn.</x:v>
      </x:c>
      <x:c r="R604" s="14" t="str"/>
      <x:c r="S604" s="14" t="str">
        <x:v>Trung tâm Thông báo tin tức hàng không; Ban Kế hoạch doanh nghiệp - Chuyển đổi số; Ban Kỹ thuật - CNS/IT/Môi trường</x:v>
      </x:c>
      <x:c r="T604" s="14" t="str">
        <x:v>Các Công ty Quản lý bay khu vực Bắc/Trung/Nam; Trung tâm Thông báo tin tức hàng không</x:v>
      </x:c>
      <x:c r="U604" s="14" t="str">
        <x:v>CAAV, Bộ Xây dựng, Ban An toàn</x:v>
      </x:c>
      <x:c r="V604" s="14" t="str">
        <x:v>Bắt đầu: 2026; Hoàn thành: 2028</x:v>
      </x:c>
      <x:c r="W604" s="14" t="str">
        <x:v>Cao</x:v>
      </x:c>
      <x:c r="X604" s="14" t="str"/>
      <x:c r="Y604" s="14" t="str">
        <x:v>Chưa bắt đầu</x:v>
      </x:c>
      <x:c r="Z604" s="14" t="str"/>
      <x:c r="AA604" s="14" t="str">
        <x:v>https://thuvienphapluat.vn/van-ban/Giao-thong-Van-tai/Luat-Hang-khong-dan-dung-Viet-Nam-2025-so-130-2025-QH15-687674.aspx</x:v>
      </x:c>
      <x:c r="AB604" s="14" t="str">
        <x:v>ans; ais; aim; du lieu; an toan; cns</x:v>
      </x:c>
    </x:row>
    <x:row r="605">
      <x:c r="A605" s="14" t="str">
        <x:v>VATM-0604</x:v>
      </x:c>
      <x:c r="B605" s="14" t="str">
        <x:v>PANS-01</x:v>
      </x:c>
      <x:c r="C605" s="14" t="str">
        <x:v>Luật HKDD Việt Nam số 130/2025/QH15</x:v>
      </x:c>
      <x:c r="D605" s="14" t="str">
        <x:v>VATM_Ra_soat_Luat_HKDD_130_2025_QH15_nhiem_vu_01072026.xlsx</x:v>
      </x:c>
      <x:c r="E605" s="14" t="str">
        <x:v>Nhiem_vu_VATM</x:v>
      </x:c>
      <x:c r="F605" s="56" t="n">
        <x:v>26</x:v>
      </x:c>
      <x:c r="G605" s="14" t="str">
        <x:v>Điều 43, 46, 47</x:v>
      </x:c>
      <x:c r="H605" s="14" t="str">
        <x:v>ANS - ATM/ATS/ATFM</x:v>
      </x:c>
      <x:c r="I605" s="14" t="str">
        <x:v>Vùng trời, phương thức bay và ASM</x:v>
      </x:c>
      <x:c r="J605" s="14" t="str">
        <x:v>Phương thức bay/Sơ đồ</x:v>
      </x:c>
      <x:c r="K605" s="14" t="str">
        <x:v>Trực tiếp</x:v>
      </x:c>
      <x:c r="L605" s="14" t="str">
        <x:v>Dữ liệu/số hóa</x:v>
      </x:c>
      <x:c r="M605" s="14" t="str"/>
      <x:c r="N605" s="14" t="str">
        <x:v>Rà soát phương thức bay, sơ đồ/bản đồ hàng không, obstacle assessment khi có thay đổi vùng trời, công trình, sân bay, thiết bị CNS.</x:v>
      </x:c>
      <x:c r="O605" s="14" t="str"/>
      <x:c r="P605" s="14" t="str">
        <x:v>Danh mục phương thức/sơ đồ cần cập nhật; hồ sơ thiết kế/kiểm tra/phê chuẩn.; Không công bố phương thức/sơ đồ thiếu dữ liệu hoặc chưa phê chuẩn.; Tuân thủ ICAO PANS-OPS/Annex 4 và quy định Bộ Xây dựng.; Rà soát toàn bộ sân bay trọng điểm trước các thay đổi lớn; cập nhật AIRAC đúng hạn.</x:v>
      </x:c>
      <x:c r="Q605" s="14" t="str">
        <x:v>Danh mục phương thức/sơ đồ cần cập nhật; hồ sơ thiết kế/kiểm tra/phê chuẩn.; Không công bố phương thức/sơ đồ thiếu dữ liệu hoặc chưa phê chuẩn.; Tuân thủ ICAO PANS-OPS/Annex 4 và quy định Bộ Xây dựng.; Rà soát toàn bộ sân bay trọng điểm trước các thay đổi lớn; cập nhật AIRAC đúng hạn.</x:v>
      </x:c>
      <x:c r="R605" s="14" t="str"/>
      <x:c r="S605" s="14" t="str">
        <x:v>Ban Không lưu</x:v>
      </x:c>
      <x:c r="T605" s="14" t="str">
        <x:v>Các Công ty Quản lý bay khu vực Bắc/Trung/Nam; Ban Không lưu</x:v>
      </x:c>
      <x:c r="U605" s="14" t="str">
        <x:v>CAAV, AIM, CNS, cảng hàng không</x:v>
      </x:c>
      <x:c r="V605" s="14" t="str">
        <x:v>Bắt đầu: 07/2026; Hoàn thành: Duy trì</x:v>
      </x:c>
      <x:c r="W605" s="14" t="str">
        <x:v>Rất cao</x:v>
      </x:c>
      <x:c r="X605" s="14" t="str"/>
      <x:c r="Y605" s="14" t="str">
        <x:v>Chưa bắt đầu</x:v>
      </x:c>
      <x:c r="Z605" s="14" t="str"/>
      <x:c r="AA605" s="14" t="str">
        <x:v>https://thuvienphapluat.vn/van-ban/Giao-thong-Van-tai/Luat-Hang-khong-dan-dung-Viet-Nam-2025-so-130-2025-QH15-687674.aspx</x:v>
      </x:c>
      <x:c r="AB605" s="14" t="str">
        <x:v>ans; atm; ats; atfm; cns; san bay</x:v>
      </x:c>
    </x:row>
    <x:row r="606">
      <x:c r="A606" s="14" t="str">
        <x:v>VATM-0605</x:v>
      </x:c>
      <x:c r="B606" s="14" t="str">
        <x:v>MET-01</x:v>
      </x:c>
      <x:c r="C606" s="14" t="str">
        <x:v>Luật HKDD Việt Nam số 130/2025/QH15</x:v>
      </x:c>
      <x:c r="D606" s="14" t="str">
        <x:v>VATM_Ra_soat_Luat_HKDD_130_2025_QH15_nhiem_vu_01072026.xlsx</x:v>
      </x:c>
      <x:c r="E606" s="14" t="str">
        <x:v>Nhiem_vu_VATM</x:v>
      </x:c>
      <x:c r="F606" s="56" t="n">
        <x:v>27</x:v>
      </x:c>
      <x:c r="G606" s="14" t="str">
        <x:v>Điều 47</x:v>
      </x:c>
      <x:c r="H606" s="14" t="str">
        <x:v>ANS - MET/Khí tượng hàng không</x:v>
      </x:c>
      <x:c r="I606" s="14" t="str">
        <x:v>Quan trắc, dự báo và cảnh báo MET</x:v>
      </x:c>
      <x:c r="J606" s="14" t="str">
        <x:v>MET</x:v>
      </x:c>
      <x:c r="K606" s="14" t="str">
        <x:v>Trực tiếp</x:v>
      </x:c>
      <x:c r="L606" s="14" t="str">
        <x:v>Báo cáo/điều tra/khắc phục</x:v>
      </x:c>
      <x:c r="M606" s="14" t="str"/>
      <x:c r="N606" s="14" t="str">
        <x:v>Rà soát dịch vụ khí tượng hàng không VATM/đơn vị cung cấp: sản phẩm, trang thiết bị, giấy phép/phê chuẩn, dữ liệu đầu vào.</x:v>
      </x:c>
      <x:c r="O606" s="14" t="str"/>
      <x:c r="P606" s="14" t="str">
        <x:v>MET service catalogue; register hệ thống MET; quy trình phối hợp dữ liệu khí tượng.; Sản phẩm MET đáp ứng nhu cầu ATS, người khai thác và tiêu chuẩn ICAO.; Chính xác, kịp thời, có kiểm soát chất lượng và dự phòng.; 01 danh mục sản phẩm MET; báo cáo chất lượng MET hằng quý.</x:v>
      </x:c>
      <x:c r="Q606" s="14" t="str">
        <x:v>MET service catalogue; register hệ thống MET; quy trình phối hợp dữ liệu khí tượng.; Sản phẩm MET đáp ứng nhu cầu ATS, người khai thác và tiêu chuẩn ICAO.; Chính xác, kịp thời, có kiểm soát chất lượng và dự phòng.; 01 danh mục sản phẩm MET; báo cáo chất lượng MET hằng quý.</x:v>
      </x:c>
      <x:c r="R606" s="14" t="str"/>
      <x:c r="S606" s="14" t="str">
        <x:v>Trung tâm Khí tượng hàng không; Ban Kỹ thuật - CNS/IT/Môi trường</x:v>
      </x:c>
      <x:c r="T606" s="14" t="str">
        <x:v>Các Công ty Quản lý bay khu vực Bắc/Trung/Nam; Trung tâm Khí tượng hàng không</x:v>
      </x:c>
      <x:c r="U606" s="14" t="str">
        <x:v>Cơ quan khí tượng thủy văn, CAAV, ATS, hãng bay</x:v>
      </x:c>
      <x:c r="V606" s="14" t="str">
        <x:v>Bắt đầu: 07/2026; Hoàn thành: 2027</x:v>
      </x:c>
      <x:c r="W606" s="14" t="str">
        <x:v>Cao</x:v>
      </x:c>
      <x:c r="X606" s="14" t="str"/>
      <x:c r="Y606" s="14" t="str">
        <x:v>Chưa bắt đầu</x:v>
      </x:c>
      <x:c r="Z606" s="14" t="str"/>
      <x:c r="AA606" s="14" t="str">
        <x:v>https://thuvienphapluat.vn/van-ban/Giao-thong-Van-tai/Luat-Hang-khong-dan-dung-Viet-Nam-2025-so-130-2025-QH15-687674.aspx</x:v>
      </x:c>
      <x:c r="AB606" s="14" t="str">
        <x:v>ans; met; atm; du lieu; phe chuan; giay phep; cns</x:v>
      </x:c>
    </x:row>
    <x:row r="607">
      <x:c r="A607" s="14" t="str">
        <x:v>VATM-0606</x:v>
      </x:c>
      <x:c r="B607" s="14" t="str">
        <x:v>MET-02</x:v>
      </x:c>
      <x:c r="C607" s="14" t="str">
        <x:v>Luật HKDD Việt Nam số 130/2025/QH15</x:v>
      </x:c>
      <x:c r="D607" s="14" t="str">
        <x:v>VATM_Ra_soat_Luat_HKDD_130_2025_QH15_nhiem_vu_01072026.xlsx</x:v>
      </x:c>
      <x:c r="E607" s="14" t="str">
        <x:v>Nhiem_vu_VATM</x:v>
      </x:c>
      <x:c r="F607" s="56" t="n">
        <x:v>28</x:v>
      </x:c>
      <x:c r="G607" s="14" t="str">
        <x:v>Điều 9, 39, 47</x:v>
      </x:c>
      <x:c r="H607" s="14" t="str">
        <x:v>ANS - MET/Khí tượng hàng không</x:v>
      </x:c>
      <x:c r="I607" s="14" t="str">
        <x:v>Quan trắc, dự báo và cảnh báo MET</x:v>
      </x:c>
      <x:c r="J607" s="14" t="str">
        <x:v>MET</x:v>
      </x:c>
      <x:c r="K607" s="14" t="str">
        <x:v>Trực tiếp</x:v>
      </x:c>
      <x:c r="L607" s="14" t="str">
        <x:v>Dữ liệu/số hóa</x:v>
      </x:c>
      <x:c r="M607" s="14" t="str"/>
      <x:c r="N607" s="14" t="str">
        <x:v>Tích hợp MET vào ATFM/CDM, cảnh báo thời tiết nguy hiểm, năng lực sân bay/vùng trời và giảm chậm trễ.</x:v>
      </x:c>
      <x:c r="O607" s="14" t="str"/>
      <x:c r="P607" s="14" t="str">
        <x:v>Quy trình MET-ATFM; dashboard thời tiết-năng lực; bản tin phối hợp.; Quyết định ATFM có căn cứ thời tiết; giảm đột biến chậm trễ do thiếu thông tin.; Dữ liệu thống nhất, cập nhật kịp thời, truy xuất được nguồn.; Bản tin theo ngày/giờ trong giai đoạn thời tiết phức tạp.</x:v>
      </x:c>
      <x:c r="Q607" s="14" t="str">
        <x:v>Quy trình MET-ATFM; dashboard thời tiết-năng lực; bản tin phối hợp.; Quyết định ATFM có căn cứ thời tiết; giảm đột biến chậm trễ do thiếu thông tin.; Dữ liệu thống nhất, cập nhật kịp thời, truy xuất được nguồn.; Bản tin theo ngày/giờ trong giai đoạn thời tiết phức tạp.</x:v>
      </x:c>
      <x:c r="R607" s="14" t="str"/>
      <x:c r="S607" s="14" t="str">
        <x:v>Trung tâm Khí tượng hàng không; Trung tâm Quản lý luồng không lưu</x:v>
      </x:c>
      <x:c r="T607" s="14" t="str">
        <x:v>Các Công ty Quản lý bay khu vực Bắc/Trung/Nam; Trung tâm Khí tượng hàng không</x:v>
      </x:c>
      <x:c r="U607" s="14" t="str">
        <x:v>Cảng hàng không, hãng bay, ATS</x:v>
      </x:c>
      <x:c r="V607" s="14" t="str">
        <x:v>Bắt đầu: 2026; Hoàn thành: Duy trì</x:v>
      </x:c>
      <x:c r="W607" s="14" t="str">
        <x:v>Cao</x:v>
      </x:c>
      <x:c r="X607" s="14" t="str"/>
      <x:c r="Y607" s="14" t="str">
        <x:v>Chưa bắt đầu</x:v>
      </x:c>
      <x:c r="Z607" s="14" t="str"/>
      <x:c r="AA607" s="14" t="str">
        <x:v>https://thuvienphapluat.vn/van-ban/Giao-thong-Van-tai/Luat-Hang-khong-dan-dung-Viet-Nam-2025-so-130-2025-QH15-687674.aspx</x:v>
      </x:c>
      <x:c r="AB607" s="14" t="str">
        <x:v>ans; met; atfm; san bay</x:v>
      </x:c>
    </x:row>
    <x:row r="608">
      <x:c r="A608" s="14" t="str">
        <x:v>VATM-0607</x:v>
      </x:c>
      <x:c r="B608" s="14" t="str">
        <x:v>SAR-01</x:v>
      </x:c>
      <x:c r="C608" s="14" t="str">
        <x:v>Luật HKDD Việt Nam số 130/2025/QH15</x:v>
      </x:c>
      <x:c r="D608" s="14" t="str">
        <x:v>VATM_Ra_soat_Luat_HKDD_130_2025_QH15_nhiem_vu_01072026.xlsx</x:v>
      </x:c>
      <x:c r="E608" s="14" t="str">
        <x:v>Nhiem_vu_VATM</x:v>
      </x:c>
      <x:c r="F608" s="56" t="n">
        <x:v>29</x:v>
      </x:c>
      <x:c r="G608" s="14" t="str">
        <x:v>Điều 48</x:v>
      </x:c>
      <x:c r="H608" s="14" t="str">
        <x:v>ANS - Tìm kiếm cứu nạn &amp; khẩn nguy</x:v>
      </x:c>
      <x:c r="I608" s="14" t="str">
        <x:v>SAR, khẩn nguy và hiệp đồng</x:v>
      </x:c>
      <x:c r="J608" s="14" t="str">
        <x:v>SAR</x:v>
      </x:c>
      <x:c r="K608" s="14" t="str">
        <x:v>Trực tiếp</x:v>
      </x:c>
      <x:c r="L608" s="14" t="str">
        <x:v>Dữ liệu/số hóa</x:v>
      </x:c>
      <x:c r="M608" s="14" t="str"/>
      <x:c r="N608" s="14" t="str">
        <x:v>Rà soát tổ chức, trách nhiệm, vùng trách nhiệm, kênh liên lạc và SOP tìm kiếm cứu nạn hàng không.</x:v>
      </x:c>
      <x:c r="O608" s="14" t="str"/>
      <x:c r="P608" s="14" t="str">
        <x:v>Kế hoạch SAR; danh bạ phối hợp; SOP RCC/alerting.; Kích hoạt và phối hợp SAR kịp thời, đúng thẩm quyền, đúng vùng trách nhiệm.; Thông tin liên lạc và dữ liệu chuyến bay sẵn sàng 24/7.; 01 kế hoạch toàn quốc và kế hoạch khu vực; kiểm tra liên lạc định kỳ.</x:v>
      </x:c>
      <x:c r="Q608" s="14" t="str">
        <x:v>Kế hoạch SAR; danh bạ phối hợp; SOP RCC/alerting.; Kích hoạt và phối hợp SAR kịp thời, đúng thẩm quyền, đúng vùng trách nhiệm.; Thông tin liên lạc và dữ liệu chuyến bay sẵn sàng 24/7.; 01 kế hoạch toàn quốc và kế hoạch khu vực; kiểm tra liên lạc định kỳ.</x:v>
      </x:c>
      <x:c r="R608" s="14" t="str"/>
      <x:c r="S608" s="14" t="str">
        <x:v>Trung tâm Tìm kiếm cứu nạn hàng không</x:v>
      </x:c>
      <x:c r="T608" s="14" t="str">
        <x:v>Các Công ty Quản lý bay khu vực Bắc/Trung/Nam; Trung tâm Tìm kiếm cứu nạn hàng không</x:v>
      </x:c>
      <x:c r="U608" s="14" t="str">
        <x:v>Ủy ban/Ban chỉ đạo phòng thủ dân sự, Quân đội, địa phương, CAAV</x:v>
      </x:c>
      <x:c r="V608" s="14" t="str">
        <x:v>Bắt đầu: 07/2026; Hoàn thành: 12/2026</x:v>
      </x:c>
      <x:c r="W608" s="14" t="str">
        <x:v>Rất cao</x:v>
      </x:c>
      <x:c r="X608" s="14" t="str"/>
      <x:c r="Y608" s="14" t="str">
        <x:v>Chưa bắt đầu</x:v>
      </x:c>
      <x:c r="Z608" s="14" t="str"/>
      <x:c r="AA608" s="14" t="str">
        <x:v>https://thuvienphapluat.vn/van-ban/Giao-thong-Van-tai/Luat-Hang-khong-dan-dung-Viet-Nam-2025-so-130-2025-QH15-687674.aspx</x:v>
      </x:c>
      <x:c r="AB608" s="14" t="str">
        <x:v>ans; sar</x:v>
      </x:c>
    </x:row>
    <x:row r="609">
      <x:c r="A609" s="14" t="str">
        <x:v>VATM-0608</x:v>
      </x:c>
      <x:c r="B609" s="14" t="str">
        <x:v>SAR-02</x:v>
      </x:c>
      <x:c r="C609" s="14" t="str">
        <x:v>Luật HKDD Việt Nam số 130/2025/QH15</x:v>
      </x:c>
      <x:c r="D609" s="14" t="str">
        <x:v>VATM_Ra_soat_Luat_HKDD_130_2025_QH15_nhiem_vu_01072026.xlsx</x:v>
      </x:c>
      <x:c r="E609" s="14" t="str">
        <x:v>Nhiem_vu_VATM</x:v>
      </x:c>
      <x:c r="F609" s="56" t="n">
        <x:v>30</x:v>
      </x:c>
      <x:c r="G609" s="14" t="str">
        <x:v>Điều 48, 87</x:v>
      </x:c>
      <x:c r="H609" s="14" t="str">
        <x:v>ANS - Tìm kiếm cứu nạn &amp; khẩn nguy</x:v>
      </x:c>
      <x:c r="I609" s="14" t="str">
        <x:v>SAR, khẩn nguy và hiệp đồng</x:v>
      </x:c>
      <x:c r="J609" s="14" t="str">
        <x:v>SAR</x:v>
      </x:c>
      <x:c r="K609" s="14" t="str">
        <x:v>Trực tiếp</x:v>
      </x:c>
      <x:c r="L609" s="14" t="str">
        <x:v>Báo cáo/điều tra/khắc phục</x:v>
      </x:c>
      <x:c r="M609" s="14" t="str"/>
      <x:c r="N609" s="14" t="str">
        <x:v>Diễn tập SAR và bảo toàn dữ liệu liên quan sự cố/tai nạn; huấn luyện phối hợp quốc tế/khu vực khi cần.</x:v>
      </x:c>
      <x:c r="O609" s="14" t="str"/>
      <x:c r="P609" s="14" t="str">
        <x:v>Kịch bản diễn tập; biên bản đánh giá; danh mục lesson learned.; Nâng cao năng lực phối hợp, thông báo, xác định khu vực tìm kiếm ưu tiên.; An toàn cho lực lượng tham gia; bảo mật thông tin; đánh giá độc lập sau diễn tập.; Tối thiểu theo kế hoạch quốc gia/khu vực; bài học được đóng khắc phục.</x:v>
      </x:c>
      <x:c r="Q609" s="14" t="str">
        <x:v>Kịch bản diễn tập; biên bản đánh giá; danh mục lesson learned.; Nâng cao năng lực phối hợp, thông báo, xác định khu vực tìm kiếm ưu tiên.; An toàn cho lực lượng tham gia; bảo mật thông tin; đánh giá độc lập sau diễn tập.; Tối thiểu theo kế hoạch quốc gia/khu vực; bài học được đóng khắc phục.</x:v>
      </x:c>
      <x:c r="R609" s="14" t="str"/>
      <x:c r="S609" s="14" t="str">
        <x:v>Trung tâm Tìm kiếm cứu nạn hàng không; Ban An toàn - Chất lượng</x:v>
      </x:c>
      <x:c r="T609" s="14" t="str">
        <x:v>Các Công ty Quản lý bay khu vực Bắc/Trung/Nam; Trung tâm Tìm kiếm cứu nạn hàng không</x:v>
      </x:c>
      <x:c r="U609" s="14" t="str">
        <x:v>CAAV, Quân đội, địa phương, hãng bay</x:v>
      </x:c>
      <x:c r="V609" s="14" t="str">
        <x:v>Bắt đầu: 2026; Hoàn thành: Hằng năm/2 năm</x:v>
      </x:c>
      <x:c r="W609" s="14" t="str">
        <x:v>Cao</x:v>
      </x:c>
      <x:c r="X609" s="14" t="str"/>
      <x:c r="Y609" s="14" t="str">
        <x:v>Chưa bắt đầu</x:v>
      </x:c>
      <x:c r="Z609" s="14" t="str"/>
      <x:c r="AA609" s="14" t="str">
        <x:v>https://thuvienphapluat.vn/van-ban/Giao-thong-Van-tai/Luat-Hang-khong-dan-dung-Viet-Nam-2025-so-130-2025-QH15-687674.aspx</x:v>
      </x:c>
      <x:c r="AB609" s="14" t="str">
        <x:v>ans; sar; huan luyen; du lieu; an toan</x:v>
      </x:c>
    </x:row>
    <x:row r="610">
      <x:c r="A610" s="14" t="str">
        <x:v>VATM-0609</x:v>
      </x:c>
      <x:c r="B610" s="14" t="str">
        <x:v>SAF-01</x:v>
      </x:c>
      <x:c r="C610" s="14" t="str">
        <x:v>Luật HKDD Việt Nam số 130/2025/QH15</x:v>
      </x:c>
      <x:c r="D610" s="14" t="str">
        <x:v>VATM_Ra_soat_Luat_HKDD_130_2025_QH15_nhiem_vu_01072026.xlsx</x:v>
      </x:c>
      <x:c r="E610" s="14" t="str">
        <x:v>Nhiem_vu_VATM</x:v>
      </x:c>
      <x:c r="F610" s="56" t="n">
        <x:v>31</x:v>
      </x:c>
      <x:c r="G610" s="14" t="str">
        <x:v>Điều 79, 80, 81</x:v>
      </x:c>
      <x:c r="H610" s="14" t="str">
        <x:v>An toàn hàng không / SMS</x:v>
      </x:c>
      <x:c r="I610" s="14" t="str">
        <x:v>Khung SMS và quản trị an toàn</x:v>
      </x:c>
      <x:c r="J610" s="14" t="str">
        <x:v>SMS/An toàn</x:v>
      </x:c>
      <x:c r="K610" s="14" t="str">
        <x:v>Trực tiếp</x:v>
      </x:c>
      <x:c r="L610" s="14" t="str">
        <x:v>SMS/QLAT</x:v>
      </x:c>
      <x:c r="M610" s="14" t="str"/>
      <x:c r="N610" s="14" t="str">
        <x:v>Cập nhật SMS Manual theo Luật 130 và Chương trình an toàn hàng không dân dụng Việt Nam.</x:v>
      </x:c>
      <x:c r="O610" s="14" t="str"/>
      <x:c r="P610" s="14" t="str">
        <x:v>SMS Manual mới; quy trình SRM/SA/Promotion; danh mục SPI/SPT.; SMS phù hợp SSP, được CAAV giám sát và chứng minh hiệu lực.; Tài liệu có owner, kiểm soát phiên bản, đào tạo triển khai.; 01 SMS Manual toàn VATM và phụ lục đơn vị.</x:v>
      </x:c>
      <x:c r="Q610" s="14" t="str">
        <x:v>SMS Manual mới; quy trình SRM/SA/Promotion; danh mục SPI/SPT.; SMS phù hợp SSP, được CAAV giám sát và chứng minh hiệu lực.; Tài liệu có owner, kiểm soát phiên bản, đào tạo triển khai.; 01 SMS Manual toàn VATM và phụ lục đơn vị.</x:v>
      </x:c>
      <x:c r="R610" s="14" t="str"/>
      <x:c r="S610" s="14" t="str">
        <x:v>Ban An toàn - Chất lượng</x:v>
      </x:c>
      <x:c r="T610" s="14" t="str">
        <x:v>Các Công ty Quản lý bay khu vực Bắc/Trung/Nam; Ban An toàn - Chất lượng</x:v>
      </x:c>
      <x:c r="U610" s="14" t="str">
        <x:v>CAAV, các đơn vị</x:v>
      </x:c>
      <x:c r="V610" s="14" t="str">
        <x:v>Bắt đầu: 06/2026; Hoàn thành: 06/2027</x:v>
      </x:c>
      <x:c r="W610" s="14" t="str">
        <x:v>Rất cao</x:v>
      </x:c>
      <x:c r="X610" s="14" t="str"/>
      <x:c r="Y610" s="14" t="str">
        <x:v>Chưa bắt đầu</x:v>
      </x:c>
      <x:c r="Z610" s="14" t="str"/>
      <x:c r="AA610" s="14" t="str">
        <x:v>https://thuvienphapluat.vn/van-ban/Giao-thong-Van-tai/Luat-Hang-khong-dan-dung-Viet-Nam-2025-so-130-2025-QH15-687674.aspx</x:v>
      </x:c>
      <x:c r="AB610" s="14" t="str">
        <x:v>sms; an toan</x:v>
      </x:c>
    </x:row>
    <x:row r="611">
      <x:c r="A611" s="14" t="str">
        <x:v>VATM-0610</x:v>
      </x:c>
      <x:c r="B611" s="14" t="str">
        <x:v>SAF-02</x:v>
      </x:c>
      <x:c r="C611" s="14" t="str">
        <x:v>Luật HKDD Việt Nam số 130/2025/QH15</x:v>
      </x:c>
      <x:c r="D611" s="14" t="str">
        <x:v>VATM_Ra_soat_Luat_HKDD_130_2025_QH15_nhiem_vu_01072026.xlsx</x:v>
      </x:c>
      <x:c r="E611" s="14" t="str">
        <x:v>Nhiem_vu_VATM</x:v>
      </x:c>
      <x:c r="F611" s="56" t="n">
        <x:v>32</x:v>
      </x:c>
      <x:c r="G611" s="14" t="str">
        <x:v>Điều 81, 82</x:v>
      </x:c>
      <x:c r="H611" s="14" t="str">
        <x:v>An toàn hàng không / SMS</x:v>
      </x:c>
      <x:c r="I611" s="14" t="str">
        <x:v>Khung SMS và quản trị an toàn</x:v>
      </x:c>
      <x:c r="J611" s="14" t="str">
        <x:v>SMS/An toàn</x:v>
      </x:c>
      <x:c r="K611" s="14" t="str">
        <x:v>Trực tiếp</x:v>
      </x:c>
      <x:c r="L611" s="14" t="str">
        <x:v>Báo cáo/điều tra/khắc phục</x:v>
      </x:c>
      <x:c r="M611" s="14" t="str"/>
      <x:c r="N611" s="14" t="str">
        <x:v>Thiết lập hệ thống báo cáo, thu thập, phân loại, phân tích dữ liệu an toàn và chia sẻ với CAAV.</x:v>
      </x:c>
      <x:c r="O611" s="14" t="str"/>
      <x:c r="P611" s="14" t="str">
        <x:v>Safety reporting system; taxonomy; dashboard an toàn; quy chế bảo vệ dữ liệu.; Báo cáo đúng hạn, phân tích xu hướng, cảnh báo rủi ro sớm.; Bảo mật, bảo vệ dữ liệu cá nhân, khuyến khích báo cáo tự nguyện.; Báo cáo tháng/quý; dữ liệu theo nhóm ATM/CNS/MET/AIS/SAR.</x:v>
      </x:c>
      <x:c r="Q611" s="14" t="str">
        <x:v>Safety reporting system; taxonomy; dashboard an toàn; quy chế bảo vệ dữ liệu.; Báo cáo đúng hạn, phân tích xu hướng, cảnh báo rủi ro sớm.; Bảo mật, bảo vệ dữ liệu cá nhân, khuyến khích báo cáo tự nguyện.; Báo cáo tháng/quý; dữ liệu theo nhóm ATM/CNS/MET/AIS/SAR.</x:v>
      </x:c>
      <x:c r="R611" s="14" t="str"/>
      <x:c r="S611" s="14" t="str">
        <x:v>Ban An toàn - Chất lượng; Ban Kế hoạch doanh nghiệp - Chuyển đổi số; Ban Kỹ thuật - CNS/IT/Môi trường</x:v>
      </x:c>
      <x:c r="T611" s="14" t="str">
        <x:v>Các Công ty Quản lý bay khu vực Bắc/Trung/Nam; Ban An toàn - Chất lượng</x:v>
      </x:c>
      <x:c r="U611" s="14" t="str">
        <x:v>CAAV, các đơn vị</x:v>
      </x:c>
      <x:c r="V611" s="14" t="str">
        <x:v>Bắt đầu: 07/2026; Hoàn thành: 2027</x:v>
      </x:c>
      <x:c r="W611" s="14" t="str">
        <x:v>Rất cao</x:v>
      </x:c>
      <x:c r="X611" s="14" t="str"/>
      <x:c r="Y611" s="14" t="str">
        <x:v>Chưa bắt đầu</x:v>
      </x:c>
      <x:c r="Z611" s="14" t="str"/>
      <x:c r="AA611" s="14" t="str">
        <x:v>https://thuvienphapluat.vn/van-ban/Giao-thong-Van-tai/Luat-Hang-khong-dan-dung-Viet-Nam-2025-so-130-2025-QH15-687674.aspx</x:v>
      </x:c>
      <x:c r="AB611" s="14" t="str">
        <x:v>sms; an toan; du lieu; cns</x:v>
      </x:c>
    </x:row>
    <x:row r="612">
      <x:c r="A612" s="14" t="str">
        <x:v>VATM-0611</x:v>
      </x:c>
      <x:c r="B612" s="14" t="str">
        <x:v>SAF-03</x:v>
      </x:c>
      <x:c r="C612" s="14" t="str">
        <x:v>Luật HKDD Việt Nam số 130/2025/QH15</x:v>
      </x:c>
      <x:c r="D612" s="14" t="str">
        <x:v>VATM_Ra_soat_Luat_HKDD_130_2025_QH15_nhiem_vu_01072026.xlsx</x:v>
      </x:c>
      <x:c r="E612" s="14" t="str">
        <x:v>Nhiem_vu_VATM</x:v>
      </x:c>
      <x:c r="F612" s="56" t="n">
        <x:v>33</x:v>
      </x:c>
      <x:c r="G612" s="14" t="str">
        <x:v>Điều 83, 84</x:v>
      </x:c>
      <x:c r="H612" s="14" t="str">
        <x:v>An toàn hàng không / SMS</x:v>
      </x:c>
      <x:c r="I612" s="14" t="str">
        <x:v>Khung SMS và quản trị an toàn</x:v>
      </x:c>
      <x:c r="J612" s="14" t="str">
        <x:v>SMS/An toàn</x:v>
      </x:c>
      <x:c r="K612" s="14" t="str">
        <x:v>Trực tiếp</x:v>
      </x:c>
      <x:c r="L612" s="14" t="str">
        <x:v>Báo cáo/điều tra/khắc phục</x:v>
      </x:c>
      <x:c r="M612" s="14" t="str"/>
      <x:c r="N612" s="14" t="str">
        <x:v>Xây dựng cơ chế chia sẻ thông tin an toàn và văn hóa an toàn trong VATM.</x:v>
      </x:c>
      <x:c r="O612" s="14" t="str"/>
      <x:c r="P612" s="14" t="str">
        <x:v>Bản tin an toàn; chuẩn mực văn hóa an toàn; chương trình truyền thông.; Nhân sự hiểu và thực hành báo cáo, học hỏi, cải tiến an toàn.; Không quy chụp lỗi khi báo cáo thiện chí; tập trung phòng ngừa.; Tối thiểu 04 bản tin/năm; 01 khảo sát văn hóa an toàn/năm.</x:v>
      </x:c>
      <x:c r="Q612" s="14" t="str">
        <x:v>Bản tin an toàn; chuẩn mực văn hóa an toàn; chương trình truyền thông.; Nhân sự hiểu và thực hành báo cáo, học hỏi, cải tiến an toàn.; Không quy chụp lỗi khi báo cáo thiện chí; tập trung phòng ngừa.; Tối thiểu 04 bản tin/năm; 01 khảo sát văn hóa an toàn/năm.</x:v>
      </x:c>
      <x:c r="R612" s="14" t="str"/>
      <x:c r="S612" s="14" t="str">
        <x:v>Ban An toàn - Chất lượng</x:v>
      </x:c>
      <x:c r="T612" s="14" t="str">
        <x:v>Các Công ty Quản lý bay khu vực Bắc/Trung/Nam; Ban An toàn - Chất lượng</x:v>
      </x:c>
      <x:c r="U612" s="14" t="str">
        <x:v>Công đoàn, các đơn vị</x:v>
      </x:c>
      <x:c r="V612" s="14" t="str">
        <x:v>Bắt đầu: 2026; Hoàn thành: Duy trì</x:v>
      </x:c>
      <x:c r="W612" s="14" t="str">
        <x:v>Cao</x:v>
      </x:c>
      <x:c r="X612" s="14" t="str"/>
      <x:c r="Y612" s="14" t="str">
        <x:v>Chưa bắt đầu</x:v>
      </x:c>
      <x:c r="Z612" s="14" t="str"/>
      <x:c r="AA612" s="14" t="str">
        <x:v>https://thuvienphapluat.vn/van-ban/Giao-thong-Van-tai/Luat-Hang-khong-dan-dung-Viet-Nam-2025-so-130-2025-QH15-687674.aspx</x:v>
      </x:c>
      <x:c r="AB612" s="14" t="str">
        <x:v>sms; an toan; atm</x:v>
      </x:c>
    </x:row>
    <x:row r="613">
      <x:c r="A613" s="14" t="str">
        <x:v>VATM-0612</x:v>
      </x:c>
      <x:c r="B613" s="14" t="str">
        <x:v>SAF-04</x:v>
      </x:c>
      <x:c r="C613" s="14" t="str">
        <x:v>Luật HKDD Việt Nam số 130/2025/QH15</x:v>
      </x:c>
      <x:c r="D613" s="14" t="str">
        <x:v>VATM_Ra_soat_Luat_HKDD_130_2025_QH15_nhiem_vu_01072026.xlsx</x:v>
      </x:c>
      <x:c r="E613" s="14" t="str">
        <x:v>Nhiem_vu_VATM</x:v>
      </x:c>
      <x:c r="F613" s="56" t="n">
        <x:v>34</x:v>
      </x:c>
      <x:c r="G613" s="14" t="str">
        <x:v>Điều 85</x:v>
      </x:c>
      <x:c r="H613" s="14" t="str">
        <x:v>An toàn hàng không / SMS</x:v>
      </x:c>
      <x:c r="I613" s="14" t="str">
        <x:v>Khung SMS và quản trị an toàn</x:v>
      </x:c>
      <x:c r="J613" s="14" t="str">
        <x:v>SMS/An toàn</x:v>
      </x:c>
      <x:c r="K613" s="14" t="str">
        <x:v>Trực tiếp</x:v>
      </x:c>
      <x:c r="L613" s="14" t="str">
        <x:v>SMS/QLAT</x:v>
      </x:c>
      <x:c r="M613" s="14" t="str"/>
      <x:c r="N613" s="14" t="str">
        <x:v>Chuẩn bị năng lực hỗ trợ giám sát viên an toàn: dữ liệu, hồ sơ, cơ sở vật chất, đào tạo/huấn luyện theo thẩm quyền.</x:v>
      </x:c>
      <x:c r="O613" s="14" t="str"/>
      <x:c r="P613" s="14" t="str">
        <x:v>Audit support kit; register phát hiện/khắc phục.; Cuộc giám sát diễn ra đúng kế hoạch, hồ sơ đầy đủ, khắc phục hiệu quả.; Cung cấp tài liệu đúng thẩm quyền, bảo mật dữ liệu nhạy cảm.; 01 bộ audit readiness checklist cho từng đơn vị.</x:v>
      </x:c>
      <x:c r="Q613" s="14" t="str">
        <x:v>Audit support kit; register phát hiện/khắc phục.; Cuộc giám sát diễn ra đúng kế hoạch, hồ sơ đầy đủ, khắc phục hiệu quả.; Cung cấp tài liệu đúng thẩm quyền, bảo mật dữ liệu nhạy cảm.; 01 bộ audit readiness checklist cho từng đơn vị.</x:v>
      </x:c>
      <x:c r="R613" s="14" t="str"/>
      <x:c r="S613" s="14" t="str">
        <x:v>Ban An toàn - Chất lượng</x:v>
      </x:c>
      <x:c r="T613" s="14" t="str">
        <x:v>Các Công ty Quản lý bay khu vực Bắc/Trung/Nam; Ban An toàn - Chất lượng</x:v>
      </x:c>
      <x:c r="U613" s="14" t="str">
        <x:v>CAAV, các đơn vị</x:v>
      </x:c>
      <x:c r="V613" s="14" t="str">
        <x:v>Bắt đầu: 2026; Hoàn thành: Duy trì</x:v>
      </x:c>
      <x:c r="W613" s="14" t="str">
        <x:v>Trung bình</x:v>
      </x:c>
      <x:c r="X613" s="14" t="str"/>
      <x:c r="Y613" s="14" t="str">
        <x:v>Chưa bắt đầu</x:v>
      </x:c>
      <x:c r="Z613" s="14" t="str"/>
      <x:c r="AA613" s="14" t="str">
        <x:v>https://thuvienphapluat.vn/van-ban/Giao-thong-Van-tai/Luat-Hang-khong-dan-dung-Viet-Nam-2025-so-130-2025-QH15-687674.aspx</x:v>
      </x:c>
      <x:c r="AB613" s="14" t="str">
        <x:v>sms; an toan; huan luyen; du lieu</x:v>
      </x:c>
    </x:row>
    <x:row r="614">
      <x:c r="A614" s="14" t="str">
        <x:v>VATM-0613</x:v>
      </x:c>
      <x:c r="B614" s="14" t="str">
        <x:v>SAF-05</x:v>
      </x:c>
      <x:c r="C614" s="14" t="str">
        <x:v>Luật HKDD Việt Nam số 130/2025/QH15</x:v>
      </x:c>
      <x:c r="D614" s="14" t="str">
        <x:v>VATM_Ra_soat_Luat_HKDD_130_2025_QH15_nhiem_vu_01072026.xlsx</x:v>
      </x:c>
      <x:c r="E614" s="14" t="str">
        <x:v>Nhiem_vu_VATM</x:v>
      </x:c>
      <x:c r="F614" s="56" t="n">
        <x:v>35</x:v>
      </x:c>
      <x:c r="G614" s="14" t="str">
        <x:v>Điều 86, 87</x:v>
      </x:c>
      <x:c r="H614" s="14" t="str">
        <x:v>An toàn hàng không / SMS</x:v>
      </x:c>
      <x:c r="I614" s="14" t="str">
        <x:v>Khung SMS và quản trị an toàn</x:v>
      </x:c>
      <x:c r="J614" s="14" t="str">
        <x:v>SMS/An toàn</x:v>
      </x:c>
      <x:c r="K614" s="14" t="str">
        <x:v>Trực tiếp</x:v>
      </x:c>
      <x:c r="L614" s="14" t="str">
        <x:v>Báo cáo/điều tra/khắc phục</x:v>
      </x:c>
      <x:c r="M614" s="14" t="str"/>
      <x:c r="N614" s="14" t="str">
        <x:v>Xây dựng SOP bảo toàn chứng cứ và cung cấp hồ sơ ATS/CNS/MET/AIS/SAR khi có sự cố nghiêm trọng/tai nạn.</x:v>
      </x:c>
      <x:c r="O614" s="14" t="str"/>
      <x:c r="P614" s="14" t="str">
        <x:v>SOP bảo toàn chứng cứ; danh mục log/audio/radar/data; form bàn giao.; Dữ liệu được niêm phong/lưu vết, cung cấp đúng thẩm quyền và thời hạn.; Chain-of-custody rõ ràng, không sửa đổi dữ liệu gốc.; 01 SOP toàn VATM; huấn luyện cho 100% đơn vị có dữ liệu trọng yếu.</x:v>
      </x:c>
      <x:c r="Q614" s="14" t="str">
        <x:v>SOP bảo toàn chứng cứ; danh mục log/audio/radar/data; form bàn giao.; Dữ liệu được niêm phong/lưu vết, cung cấp đúng thẩm quyền và thời hạn.; Chain-of-custody rõ ràng, không sửa đổi dữ liệu gốc.; 01 SOP toàn VATM; huấn luyện cho 100% đơn vị có dữ liệu trọng yếu.</x:v>
      </x:c>
      <x:c r="R614" s="14" t="str"/>
      <x:c r="S614" s="14" t="str">
        <x:v>Ban An toàn - Chất lượng; Văn phòng - Pháp chế; Ban Kế hoạch doanh nghiệp - Chuyển đổi số; Ban Kỹ thuật - CNS/IT/Môi trường</x:v>
      </x:c>
      <x:c r="T614" s="14" t="str">
        <x:v>Các Công ty Quản lý bay khu vực Bắc/Trung/Nam; Ban An toàn - Chất lượng</x:v>
      </x:c>
      <x:c r="U614" s="14" t="str">
        <x:v>Cơ quan điều tra, CAAV, đơn vị kỹ thuật/ATS</x:v>
      </x:c>
      <x:c r="V614" s="14" t="str">
        <x:v>Bắt đầu: 06/2026; Hoàn thành: 09/2026</x:v>
      </x:c>
      <x:c r="W614" s="14" t="str">
        <x:v>Rất cao</x:v>
      </x:c>
      <x:c r="X614" s="14" t="str"/>
      <x:c r="Y614" s="14" t="str">
        <x:v>Chưa bắt đầu</x:v>
      </x:c>
      <x:c r="Z614" s="14" t="str"/>
      <x:c r="AA614" s="14" t="str">
        <x:v>https://thuvienphapluat.vn/van-ban/Giao-thong-Van-tai/Luat-Hang-khong-dan-dung-Viet-Nam-2025-so-130-2025-QH15-687674.aspx</x:v>
      </x:c>
      <x:c r="AB614" s="14" t="str">
        <x:v>sms; an toan; ats; cns; ais; met; sar; phap che</x:v>
      </x:c>
    </x:row>
    <x:row r="615">
      <x:c r="A615" s="14" t="str">
        <x:v>VATM-0614</x:v>
      </x:c>
      <x:c r="B615" s="14" t="str">
        <x:v>SEC-01</x:v>
      </x:c>
      <x:c r="C615" s="14" t="str">
        <x:v>Luật HKDD Việt Nam số 130/2025/QH15</x:v>
      </x:c>
      <x:c r="D615" s="14" t="str">
        <x:v>VATM_Ra_soat_Luat_HKDD_130_2025_QH15_nhiem_vu_01072026.xlsx</x:v>
      </x:c>
      <x:c r="E615" s="14" t="str">
        <x:v>Nhiem_vu_VATM</x:v>
      </x:c>
      <x:c r="F615" s="56" t="n">
        <x:v>36</x:v>
      </x:c>
      <x:c r="G615" s="14" t="str">
        <x:v>Điều 91-98</x:v>
      </x:c>
      <x:c r="H615" s="14" t="str">
        <x:v>An ninh hàng không</x:v>
      </x:c>
      <x:c r="I615" s="14" t="str">
        <x:v>Quản trị, phối hợp và giám sát ANHK</x:v>
      </x:c>
      <x:c r="J615" s="14" t="str">
        <x:v>An ninh hàng không</x:v>
      </x:c>
      <x:c r="K615" s="14" t="str">
        <x:v>Trực tiếp</x:v>
      </x:c>
      <x:c r="L615" s="14" t="str">
        <x:v>An ninh/bảo vệ</x:v>
      </x:c>
      <x:c r="M615" s="14" t="str"/>
      <x:c r="N615" s="14" t="str">
        <x:v>Rà soát, cập nhật Chương trình an ninh hàng không của VATM/doanh nghiệp cung cấp dịch vụ không lưu theo luật mới và hướng dẫn của Nhà chức trách an ninh.</x:v>
      </x:c>
      <x:c r="O615" s="14" t="str"/>
      <x:c r="P615" s="14" t="str">
        <x:v>Chương trình an ninh VATM; phụ lục cơ sở; hồ sơ trình phê duyệt.; Chương trình được phê duyệt và triển khai đầy đủ tại cơ sở ATS/CNS trọng yếu.; Phù hợp chương trình an ninh quốc gia, kiểm soát chất lượng và huấn luyện.; 01 chương trình cấp VATM; phụ lục cho cơ sở trọng yếu.</x:v>
      </x:c>
      <x:c r="Q615" s="14" t="str">
        <x:v>Chương trình an ninh VATM; phụ lục cơ sở; hồ sơ trình phê duyệt.; Chương trình được phê duyệt và triển khai đầy đủ tại cơ sở ATS/CNS trọng yếu.; Phù hợp chương trình an ninh quốc gia, kiểm soát chất lượng và huấn luyện.; 01 chương trình cấp VATM; phụ lục cho cơ sở trọng yếu.</x:v>
      </x:c>
      <x:c r="R615" s="14" t="str"/>
      <x:c r="S615" s="14" t="str">
        <x:v>Ban An ninh hàng không</x:v>
      </x:c>
      <x:c r="T615" s="14" t="str">
        <x:v>Các Công ty Quản lý bay khu vực Bắc/Trung/Nam; Ban An ninh hàng không</x:v>
      </x:c>
      <x:c r="U615" s="14" t="str">
        <x:v>Nhà chức trách an ninh, CAAV, đơn vị VATM</x:v>
      </x:c>
      <x:c r="V615" s="14" t="str">
        <x:v>Bắt đầu: 06/2026; Hoàn thành: Sau khi văn bản hướng dẫn</x:v>
      </x:c>
      <x:c r="W615" s="14" t="str">
        <x:v>Rất cao</x:v>
      </x:c>
      <x:c r="X615" s="14" t="str"/>
      <x:c r="Y615" s="14" t="str">
        <x:v>Chưa bắt đầu</x:v>
      </x:c>
      <x:c r="Z615" s="14" t="str"/>
      <x:c r="AA615" s="14" t="str">
        <x:v>https://thuvienphapluat.vn/van-ban/Giao-thong-Van-tai/Luat-Hang-khong-dan-dung-Viet-Nam-2025-so-130-2025-QH15-687674.aspx</x:v>
      </x:c>
      <x:c r="AB615" s="14" t="str">
        <x:v>an ninh; anhk; atm</x:v>
      </x:c>
    </x:row>
    <x:row r="616">
      <x:c r="A616" s="14" t="str">
        <x:v>VATM-0615</x:v>
      </x:c>
      <x:c r="B616" s="14" t="str">
        <x:v>SEC-02</x:v>
      </x:c>
      <x:c r="C616" s="14" t="str">
        <x:v>Luật HKDD Việt Nam số 130/2025/QH15</x:v>
      </x:c>
      <x:c r="D616" s="14" t="str">
        <x:v>VATM_Ra_soat_Luat_HKDD_130_2025_QH15_nhiem_vu_01072026.xlsx</x:v>
      </x:c>
      <x:c r="E616" s="14" t="str">
        <x:v>Nhiem_vu_VATM</x:v>
      </x:c>
      <x:c r="F616" s="56" t="n">
        <x:v>37</x:v>
      </x:c>
      <x:c r="G616" s="14" t="str">
        <x:v>Điều 12, 92, 98</x:v>
      </x:c>
      <x:c r="H616" s="14" t="str">
        <x:v>An ninh hàng không</x:v>
      </x:c>
      <x:c r="I616" s="14" t="str">
        <x:v>Quản trị, phối hợp và giám sát ANHK</x:v>
      </x:c>
      <x:c r="J616" s="14" t="str">
        <x:v>An ninh hàng không</x:v>
      </x:c>
      <x:c r="K616" s="14" t="str">
        <x:v>Trực tiếp</x:v>
      </x:c>
      <x:c r="L616" s="14" t="str">
        <x:v>An ninh/bảo vệ</x:v>
      </x:c>
      <x:c r="M616" s="14" t="str"/>
      <x:c r="N616" s="14" t="str">
        <x:v>Phân vùng bảo vệ công trình/cơ sở ATS/CNS/MET/AIS/SAR, kiểm soát ra vào, nhà thầu, thẻ/giấy phép, tài sản thông tin.</x:v>
      </x:c>
      <x:c r="O616" s="14" t="str"/>
      <x:c r="P616" s="14" t="str">
        <x:v>Danh mục khu vực hạn chế; quy trình access control; nhật ký kiểm tra.; Không có truy cập trái phép; hồ sơ ra/vào và nhà thầu rõ ràng.; Kết hợp bảo vệ vật lý và an ninh mạng; phân quyền theo nhiệm vụ.; 100% cơ sở trọng yếu có sơ đồ khu vực hạn chế và quy trình kiểm soát.</x:v>
      </x:c>
      <x:c r="Q616" s="14" t="str">
        <x:v>Danh mục khu vực hạn chế; quy trình access control; nhật ký kiểm tra.; Không có truy cập trái phép; hồ sơ ra/vào và nhà thầu rõ ràng.; Kết hợp bảo vệ vật lý và an ninh mạng; phân quyền theo nhiệm vụ.; 100% cơ sở trọng yếu có sơ đồ khu vực hạn chế và quy trình kiểm soát.</x:v>
      </x:c>
      <x:c r="R616" s="14" t="str"/>
      <x:c r="S616" s="14" t="str">
        <x:v>Ban An ninh hàng không</x:v>
      </x:c>
      <x:c r="T616" s="14" t="str">
        <x:v>Các Công ty Quản lý bay khu vực Bắc/Trung/Nam; Ban An ninh hàng không</x:v>
      </x:c>
      <x:c r="U616" s="14" t="str">
        <x:v>Nhà chức trách an ninh, Công an, cảng hàng không</x:v>
      </x:c>
      <x:c r="V616" s="14" t="str">
        <x:v>Bắt đầu: 07/2026; Hoàn thành: 12/2026</x:v>
      </x:c>
      <x:c r="W616" s="14" t="str">
        <x:v>Rất cao</x:v>
      </x:c>
      <x:c r="X616" s="14" t="str"/>
      <x:c r="Y616" s="14" t="str">
        <x:v>Chưa bắt đầu</x:v>
      </x:c>
      <x:c r="Z616" s="14" t="str"/>
      <x:c r="AA616" s="14" t="str">
        <x:v>https://thuvienphapluat.vn/van-ban/Giao-thong-Van-tai/Luat-Hang-khong-dan-dung-Viet-Nam-2025-so-130-2025-QH15-687674.aspx</x:v>
      </x:c>
      <x:c r="AB616" s="14" t="str">
        <x:v>an ninh; anhk; ats; cns; ais; met; sar; giay phep</x:v>
      </x:c>
    </x:row>
    <x:row r="617">
      <x:c r="A617" s="14" t="str">
        <x:v>VATM-0616</x:v>
      </x:c>
      <x:c r="B617" s="14" t="str">
        <x:v>SEC-03</x:v>
      </x:c>
      <x:c r="C617" s="14" t="str">
        <x:v>Luật HKDD Việt Nam số 130/2025/QH15</x:v>
      </x:c>
      <x:c r="D617" s="14" t="str">
        <x:v>VATM_Ra_soat_Luat_HKDD_130_2025_QH15_nhiem_vu_01072026.xlsx</x:v>
      </x:c>
      <x:c r="E617" s="14" t="str">
        <x:v>Nhiem_vu_VATM</x:v>
      </x:c>
      <x:c r="F617" s="56" t="n">
        <x:v>38</x:v>
      </x:c>
      <x:c r="G617" s="14" t="str">
        <x:v>Điều 94</x:v>
      </x:c>
      <x:c r="H617" s="14" t="str">
        <x:v>An ninh hàng không</x:v>
      </x:c>
      <x:c r="I617" s="14" t="str">
        <x:v>Quản trị, phối hợp và giám sát ANHK</x:v>
      </x:c>
      <x:c r="J617" s="14" t="str">
        <x:v>An ninh hàng không</x:v>
      </x:c>
      <x:c r="K617" s="14" t="str">
        <x:v>Trực tiếp</x:v>
      </x:c>
      <x:c r="L617" s="14" t="str">
        <x:v>An ninh/bảo vệ</x:v>
      </x:c>
      <x:c r="M617" s="14" t="str"/>
      <x:c r="N617" s="14" t="str">
        <x:v>Cập nhật quy trình ATC/an ninh đối phó can thiệp bất hợp pháp: ưu tiên điều hành bay, bảo mật thông tin, phối hợp cơ quan chức năng.</x:v>
      </x:c>
      <x:c r="O617" s="14" t="str"/>
      <x:c r="P617" s="14" t="str">
        <x:v>SOP can thiệp bất hợp pháp; kịch bản diễn tập; danh bạ bảo mật.; Tàu bay bị can thiệp bất hợp pháp được ưu tiên điều hành và trợ giúp.; Bảo mật, không làm lộ thông tin nhạy cảm, phối hợp đúng thẩm quyền.; 01 SOP; 01 diễn tập/tabletop/năm.</x:v>
      </x:c>
      <x:c r="Q617" s="14" t="str">
        <x:v>SOP can thiệp bất hợp pháp; kịch bản diễn tập; danh bạ bảo mật.; Tàu bay bị can thiệp bất hợp pháp được ưu tiên điều hành và trợ giúp.; Bảo mật, không làm lộ thông tin nhạy cảm, phối hợp đúng thẩm quyền.; 01 SOP; 01 diễn tập/tabletop/năm.</x:v>
      </x:c>
      <x:c r="R617" s="14" t="str"/>
      <x:c r="S617" s="14" t="str">
        <x:v>Ban An ninh hàng không; Ban Không lưu</x:v>
      </x:c>
      <x:c r="T617" s="14" t="str">
        <x:v>Các Công ty Quản lý bay khu vực Bắc/Trung/Nam; Ban An ninh hàng không</x:v>
      </x:c>
      <x:c r="U617" s="14" t="str">
        <x:v>Công an, Quân đội, CAAV, hãng bay</x:v>
      </x:c>
      <x:c r="V617" s="14" t="str">
        <x:v>Bắt đầu: 07/2026; Hoàn thành: Duy trì</x:v>
      </x:c>
      <x:c r="W617" s="14" t="str">
        <x:v>Rất cao</x:v>
      </x:c>
      <x:c r="X617" s="14" t="str"/>
      <x:c r="Y617" s="14" t="str">
        <x:v>Chưa bắt đầu</x:v>
      </x:c>
      <x:c r="Z617" s="14" t="str"/>
      <x:c r="AA617" s="14" t="str">
        <x:v>https://thuvienphapluat.vn/van-ban/Giao-thong-Van-tai/Luat-Hang-khong-dan-dung-Viet-Nam-2025-so-130-2025-QH15-687674.aspx</x:v>
      </x:c>
      <x:c r="AB617" s="14" t="str">
        <x:v>an ninh; anhk</x:v>
      </x:c>
    </x:row>
    <x:row r="618">
      <x:c r="A618" s="14" t="str">
        <x:v>VATM-0617</x:v>
      </x:c>
      <x:c r="B618" s="14" t="str">
        <x:v>SEC-04</x:v>
      </x:c>
      <x:c r="C618" s="14" t="str">
        <x:v>Luật HKDD Việt Nam số 130/2025/QH15</x:v>
      </x:c>
      <x:c r="D618" s="14" t="str">
        <x:v>VATM_Ra_soat_Luat_HKDD_130_2025_QH15_nhiem_vu_01072026.xlsx</x:v>
      </x:c>
      <x:c r="E618" s="14" t="str">
        <x:v>Nhiem_vu_VATM</x:v>
      </x:c>
      <x:c r="F618" s="56" t="n">
        <x:v>39</x:v>
      </x:c>
      <x:c r="G618" s="14" t="str">
        <x:v>Điều 95, 96</x:v>
      </x:c>
      <x:c r="H618" s="14" t="str">
        <x:v>An ninh hàng không</x:v>
      </x:c>
      <x:c r="I618" s="14" t="str">
        <x:v>Quản trị, phối hợp và giám sát ANHK</x:v>
      </x:c>
      <x:c r="J618" s="14" t="str">
        <x:v>An ninh hàng không</x:v>
      </x:c>
      <x:c r="K618" s="14" t="str">
        <x:v>Trực tiếp</x:v>
      </x:c>
      <x:c r="L618" s="14" t="str">
        <x:v>An ninh/bảo vệ</x:v>
      </x:c>
      <x:c r="M618" s="14" t="str"/>
      <x:c r="N618" s="14" t="str">
        <x:v>Thiết lập quy trình hỗ trợ giám sát viên an ninh hàng không và lực lượng kiểm soát an ninh khi kiểm tra cơ sở VATM.</x:v>
      </x:c>
      <x:c r="O618" s="14" t="str"/>
      <x:c r="P618" s="14" t="str">
        <x:v>Quy trình audit support; danh mục tài liệu cung cấp; biên bản làm việc.; Phối hợp đúng thẩm quyền, đầy đủ, không lộ dữ liệu vượt phạm vi.; Có đầu mối tiếp nhận, kiểm soát tài liệu, xử lý phát hiện.; 01 quy trình toàn VATM; hồ sơ kiểm tra theo từng vụ việc.</x:v>
      </x:c>
      <x:c r="Q618" s="14" t="str">
        <x:v>Quy trình audit support; danh mục tài liệu cung cấp; biên bản làm việc.; Phối hợp đúng thẩm quyền, đầy đủ, không lộ dữ liệu vượt phạm vi.; Có đầu mối tiếp nhận, kiểm soát tài liệu, xử lý phát hiện.; 01 quy trình toàn VATM; hồ sơ kiểm tra theo từng vụ việc.</x:v>
      </x:c>
      <x:c r="R618" s="14" t="str"/>
      <x:c r="S618" s="14" t="str">
        <x:v>Ban An ninh hàng không</x:v>
      </x:c>
      <x:c r="T618" s="14" t="str">
        <x:v>Các Công ty Quản lý bay khu vực Bắc/Trung/Nam; Ban An ninh hàng không</x:v>
      </x:c>
      <x:c r="U618" s="14" t="str">
        <x:v>Nhà chức trách an ninh, Công an</x:v>
      </x:c>
      <x:c r="V618" s="14" t="str">
        <x:v>Bắt đầu: 07/2026; Hoàn thành: Duy trì</x:v>
      </x:c>
      <x:c r="W618" s="14" t="str">
        <x:v>Trung bình</x:v>
      </x:c>
      <x:c r="X618" s="14" t="str"/>
      <x:c r="Y618" s="14" t="str">
        <x:v>Chưa bắt đầu</x:v>
      </x:c>
      <x:c r="Z618" s="14" t="str"/>
      <x:c r="AA618" s="14" t="str">
        <x:v>https://thuvienphapluat.vn/van-ban/Giao-thong-Van-tai/Luat-Hang-khong-dan-dung-Viet-Nam-2025-so-130-2025-QH15-687674.aspx</x:v>
      </x:c>
      <x:c r="AB618" s="14" t="str">
        <x:v>an ninh; anhk; atm</x:v>
      </x:c>
    </x:row>
    <x:row r="619">
      <x:c r="A619" s="14" t="str">
        <x:v>VATM-0618</x:v>
      </x:c>
      <x:c r="B619" s="14" t="str">
        <x:v>HR-01</x:v>
      </x:c>
      <x:c r="C619" s="14" t="str">
        <x:v>Luật HKDD Việt Nam số 130/2025/QH15</x:v>
      </x:c>
      <x:c r="D619" s="14" t="str">
        <x:v>VATM_Ra_soat_Luat_HKDD_130_2025_QH15_nhiem_vu_01072026.xlsx</x:v>
      </x:c>
      <x:c r="E619" s="14" t="str">
        <x:v>Nhiem_vu_VATM</x:v>
      </x:c>
      <x:c r="F619" s="56" t="n">
        <x:v>40</x:v>
      </x:c>
      <x:c r="G619" s="14" t="str">
        <x:v>Điều 88</x:v>
      </x:c>
      <x:c r="H619" s="14" t="str">
        <x:v>Huấn luyện đào tạo &amp; nhân viên HK</x:v>
      </x:c>
      <x:c r="I619" s="14" t="str">
        <x:v>Quản lý năng lực và hồ sơ đào tạo</x:v>
      </x:c>
      <x:c r="J619" s="14" t="str">
        <x:v>Nhân lực/Đào tạo</x:v>
      </x:c>
      <x:c r="K619" s="14" t="str">
        <x:v>Trực tiếp</x:v>
      </x:c>
      <x:c r="L619" s="14" t="str">
        <x:v>Huấn luyện/nhân sự</x:v>
      </x:c>
      <x:c r="M619" s="14" t="str"/>
      <x:c r="N619" s="14" t="str">
        <x:v>Kiểm kê giấy phép, chứng chỉ, năng định, sức khỏe, tiếng Anh ICAO của KSVKL và nhân viên hàng không VATM.</x:v>
      </x:c>
      <x:c r="O619" s="14" t="str"/>
      <x:c r="P619" s="14" t="str">
        <x:v>Competency/license dashboard; cảnh báo hết hạn; kế hoạch bù đắp nhân lực.; Không bố trí nhân viên thiếu điều kiện vào vị trí trực tiếp bảo đảm an toàn.; Dữ liệu cập nhật, có xác nhận đơn vị, tích hợp phân công ca trực.; 100% nhân viên hàng không vị trí trọng yếu được nhập hệ thống theo dõi.</x:v>
      </x:c>
      <x:c r="Q619" s="14" t="str">
        <x:v>Competency/license dashboard; cảnh báo hết hạn; kế hoạch bù đắp nhân lực.; Không bố trí nhân viên thiếu điều kiện vào vị trí trực tiếp bảo đảm an toàn.; Dữ liệu cập nhật, có xác nhận đơn vị, tích hợp phân công ca trực.; 100% nhân viên hàng không vị trí trọng yếu được nhập hệ thống theo dõi.</x:v>
      </x:c>
      <x:c r="R619" s="14" t="str"/>
      <x:c r="S619" s="14" t="str">
        <x:v>Trung tâm Huấn luyện đào tạo; Ban Tổ chức cán bộ</x:v>
      </x:c>
      <x:c r="T619" s="14" t="str">
        <x:v>Trung tâm Huấn luyện đào tạo; Ban Tổ chức cán bộ</x:v>
      </x:c>
      <x:c r="U619" s="14" t="str">
        <x:v>CAAV, Ban Không lưu/Kỹ thuật</x:v>
      </x:c>
      <x:c r="V619" s="14" t="str">
        <x:v>Bắt đầu: 06/2026; Hoàn thành: 09/2026</x:v>
      </x:c>
      <x:c r="W619" s="14" t="str">
        <x:v>Rất cao</x:v>
      </x:c>
      <x:c r="X619" s="14" t="str"/>
      <x:c r="Y619" s="14" t="str">
        <x:v>Chưa bắt đầu</x:v>
      </x:c>
      <x:c r="Z619" s="14" t="str"/>
      <x:c r="AA619" s="14" t="str">
        <x:v>https://thuvienphapluat.vn/van-ban/Giao-thong-Van-tai/Luat-Hang-khong-dan-dung-Viet-Nam-2025-so-130-2025-QH15-687674.aspx</x:v>
      </x:c>
      <x:c r="AB619" s="14" t="str">
        <x:v>huan luyen; atm; giay phep</x:v>
      </x:c>
    </x:row>
    <x:row r="620">
      <x:c r="A620" s="14" t="str">
        <x:v>VATM-0619</x:v>
      </x:c>
      <x:c r="B620" s="14" t="str">
        <x:v>HR-02</x:v>
      </x:c>
      <x:c r="C620" s="14" t="str">
        <x:v>Luật HKDD Việt Nam số 130/2025/QH15</x:v>
      </x:c>
      <x:c r="D620" s="14" t="str">
        <x:v>VATM_Ra_soat_Luat_HKDD_130_2025_QH15_nhiem_vu_01072026.xlsx</x:v>
      </x:c>
      <x:c r="E620" s="14" t="str">
        <x:v>Nhiem_vu_VATM</x:v>
      </x:c>
      <x:c r="F620" s="56" t="n">
        <x:v>41</x:v>
      </x:c>
      <x:c r="G620" s="14" t="str">
        <x:v>Điều 88; Điều 47</x:v>
      </x:c>
      <x:c r="H620" s="14" t="str">
        <x:v>Huấn luyện đào tạo &amp; nhân viên HK</x:v>
      </x:c>
      <x:c r="I620" s="14" t="str">
        <x:v>Quản lý năng lực và hồ sơ đào tạo</x:v>
      </x:c>
      <x:c r="J620" s="14" t="str">
        <x:v>Nhân lực/Đào tạo</x:v>
      </x:c>
      <x:c r="K620" s="14" t="str">
        <x:v>Trực tiếp</x:v>
      </x:c>
      <x:c r="L620" s="14" t="str">
        <x:v>Huấn luyện/nhân sự</x:v>
      </x:c>
      <x:c r="M620" s="14" t="str"/>
      <x:c r="N620" s="14" t="str">
        <x:v>Xây dựng chương trình đào tạo lại về Luật 130 và NĐ/TT mới cho KSVKL, ATSEP, AIS, MET, SAR, an ninh, pháp chế.</x:v>
      </x:c>
      <x:c r="O620" s="14" t="str"/>
      <x:c r="P620" s="14" t="str">
        <x:v>Chương trình đào tạo; tài liệu e-learning; danh sách hoàn thành.; Nhân sự hiểu thay đổi pháp lý ảnh hưởng vị trí công tác.; Nội dung theo chức danh, có kiểm tra cuối khóa và lưu chứng cứ.; Đào tạo 100% nhân sự quản lý và vị trí tác nghiệp trọng yếu trong 2026-2027.</x:v>
      </x:c>
      <x:c r="Q620" s="14" t="str">
        <x:v>Chương trình đào tạo; tài liệu e-learning; danh sách hoàn thành.; Nhân sự hiểu thay đổi pháp lý ảnh hưởng vị trí công tác.; Nội dung theo chức danh, có kiểm tra cuối khóa và lưu chứng cứ.; Đào tạo 100% nhân sự quản lý và vị trí tác nghiệp trọng yếu trong 2026-2027.</x:v>
      </x:c>
      <x:c r="R620" s="14" t="str"/>
      <x:c r="S620" s="14" t="str">
        <x:v>Trung tâm Huấn luyện đào tạo; Ban Tổ chức cán bộ</x:v>
      </x:c>
      <x:c r="T620" s="14" t="str">
        <x:v>Trung tâm Huấn luyện đào tạo; Ban Tổ chức cán bộ</x:v>
      </x:c>
      <x:c r="U620" s="14" t="str">
        <x:v>Pháp chế, An toàn, Không lưu, Kỹ thuật, An ninh</x:v>
      </x:c>
      <x:c r="V620" s="14" t="str">
        <x:v>Bắt đầu: 07/2026; Hoàn thành: 06/2027</x:v>
      </x:c>
      <x:c r="W620" s="14" t="str">
        <x:v>Cao</x:v>
      </x:c>
      <x:c r="X620" s="14" t="str"/>
      <x:c r="Y620" s="14" t="str">
        <x:v>Chưa bắt đầu</x:v>
      </x:c>
      <x:c r="Z620" s="14" t="str"/>
      <x:c r="AA620" s="14" t="str">
        <x:v>https://thuvienphapluat.vn/van-ban/Giao-thong-Van-tai/Luat-Hang-khong-dan-dung-Viet-Nam-2025-so-130-2025-QH15-687674.aspx</x:v>
      </x:c>
      <x:c r="AB620" s="14" t="str">
        <x:v>huan luyen; ats; ais; met; sar; an ninh; phap che</x:v>
      </x:c>
    </x:row>
    <x:row r="621">
      <x:c r="A621" s="14" t="str">
        <x:v>VATM-0620</x:v>
      </x:c>
      <x:c r="B621" s="14" t="str">
        <x:v>HR-03</x:v>
      </x:c>
      <x:c r="C621" s="14" t="str">
        <x:v>Luật HKDD Việt Nam số 130/2025/QH15</x:v>
      </x:c>
      <x:c r="D621" s="14" t="str">
        <x:v>VATM_Ra_soat_Luat_HKDD_130_2025_QH15_nhiem_vu_01072026.xlsx</x:v>
      </x:c>
      <x:c r="E621" s="14" t="str">
        <x:v>Nhiem_vu_VATM</x:v>
      </x:c>
      <x:c r="F621" s="56" t="n">
        <x:v>42</x:v>
      </x:c>
      <x:c r="G621" s="14" t="str">
        <x:v>Điều 88</x:v>
      </x:c>
      <x:c r="H621" s="14" t="str">
        <x:v>Huấn luyện đào tạo &amp; nhân viên HK</x:v>
      </x:c>
      <x:c r="I621" s="14" t="str">
        <x:v>Quản lý năng lực và hồ sơ đào tạo</x:v>
      </x:c>
      <x:c r="J621" s="14" t="str">
        <x:v>Nhân lực/Đào tạo</x:v>
      </x:c>
      <x:c r="K621" s="14" t="str">
        <x:v>Trực tiếp</x:v>
      </x:c>
      <x:c r="L621" s="14" t="str">
        <x:v>Báo cáo/điều tra/khắc phục</x:v>
      </x:c>
      <x:c r="M621" s="14" t="str"/>
      <x:c r="N621" s="14" t="str">
        <x:v>Củng cố hệ thống quản lý mệt mỏi/thời giờ làm việc, nghỉ ngơi đối với KSVKL và vị trí an toàn trọng yếu.</x:v>
      </x:c>
      <x:c r="O621" s="14" t="str"/>
      <x:c r="P621" s="14" t="str">
        <x:v>FRMS/fatigue management procedure; dashboard overtime/rest compliance.; Giảm rủi ro mệt mỏi; tuân thủ thời giờ làm việc/nghỉ ngơi.; Có phân tích dữ liệu ca trực, sự kiện an toàn liên quan mệt mỏi.; Báo cáo hằng quý; kiểm tra định kỳ từng cơ sở ATS.</x:v>
      </x:c>
      <x:c r="Q621" s="14" t="str">
        <x:v>FRMS/fatigue management procedure; dashboard overtime/rest compliance.; Giảm rủi ro mệt mỏi; tuân thủ thời giờ làm việc/nghỉ ngơi.; Có phân tích dữ liệu ca trực, sự kiện an toàn liên quan mệt mỏi.; Báo cáo hằng quý; kiểm tra định kỳ từng cơ sở ATS.</x:v>
      </x:c>
      <x:c r="R621" s="14" t="str"/>
      <x:c r="S621" s="14" t="str">
        <x:v>Trung tâm Huấn luyện đào tạo; Ban Tổ chức cán bộ; Ban Không lưu; Ban An toàn - Chất lượng</x:v>
      </x:c>
      <x:c r="T621" s="14" t="str">
        <x:v>Trung tâm Huấn luyện đào tạo; Ban Tổ chức cán bộ</x:v>
      </x:c>
      <x:c r="U621" s="14" t="str">
        <x:v>Công đoàn, các cơ sở ATS</x:v>
      </x:c>
      <x:c r="V621" s="14" t="str">
        <x:v>Bắt đầu: 2026; Hoàn thành: Duy trì</x:v>
      </x:c>
      <x:c r="W621" s="14" t="str">
        <x:v>Cao</x:v>
      </x:c>
      <x:c r="X621" s="14" t="str"/>
      <x:c r="Y621" s="14" t="str">
        <x:v>Chưa bắt đầu</x:v>
      </x:c>
      <x:c r="Z621" s="14" t="str"/>
      <x:c r="AA621" s="14" t="str">
        <x:v>https://thuvienphapluat.vn/van-ban/Giao-thong-Van-tai/Luat-Hang-khong-dan-dung-Viet-Nam-2025-so-130-2025-QH15-687674.aspx</x:v>
      </x:c>
      <x:c r="AB621" s="14" t="str">
        <x:v>huan luyen; met; an toan</x:v>
      </x:c>
    </x:row>
    <x:row r="622">
      <x:c r="A622" s="14" t="str">
        <x:v>VATM-0621</x:v>
      </x:c>
      <x:c r="B622" s="14" t="str">
        <x:v>FIN-01</x:v>
      </x:c>
      <x:c r="C622" s="14" t="str">
        <x:v>Luật HKDD Việt Nam số 130/2025/QH15</x:v>
      </x:c>
      <x:c r="D622" s="14" t="str">
        <x:v>VATM_Ra_soat_Luat_HKDD_130_2025_QH15_nhiem_vu_01072026.xlsx</x:v>
      </x:c>
      <x:c r="E622" s="14" t="str">
        <x:v>Nhiem_vu_VATM</x:v>
      </x:c>
      <x:c r="F622" s="56" t="n">
        <x:v>43</x:v>
      </x:c>
      <x:c r="G622" s="14" t="str">
        <x:v>Điều 103</x:v>
      </x:c>
      <x:c r="H622" s="14" t="str">
        <x:v>Tài chính - Kế hoạch đầu tư</x:v>
      </x:c>
      <x:c r="I622" s="14" t="str">
        <x:v>Kế hoạch vốn, đầu tư và mua sắm</x:v>
      </x:c>
      <x:c r="J622" s="14" t="str">
        <x:v>Tài chính/Đầu tư</x:v>
      </x:c>
      <x:c r="K622" s="14" t="str">
        <x:v>Trực tiếp</x:v>
      </x:c>
      <x:c r="L622" s="14" t="str">
        <x:v>Báo cáo/điều tra/khắc phục</x:v>
      </x:c>
      <x:c r="M622" s="14" t="str"/>
      <x:c r="N622" s="14" t="str">
        <x:v>Xây dựng phương án sử dụng nguồn phí được giữ lại theo quy định Chính phủ để đào tạo, hợp tác quốc tế, đầu tư hiện đại hóa, an toàn/an ninh.</x:v>
      </x:c>
      <x:c r="O622" s="14" t="str"/>
      <x:c r="P622" s="14" t="str">
        <x:v>Đề án tài chính; danh mục chi; quy trình hạch toán và báo cáo.; Nguồn phí sử dụng đúng mục đích, minh bạch, có kiểm soát nội bộ.; Tách rõ căn cứ Luật và căn cứ NĐ/TT về tỷ lệ, quy trình.; 01 đề án cấp Tổng công ty; báo cáo định kỳ theo quy định.</x:v>
      </x:c>
      <x:c r="Q622" s="14" t="str">
        <x:v>Đề án tài chính; danh mục chi; quy trình hạch toán và báo cáo.; Nguồn phí sử dụng đúng mục đích, minh bạch, có kiểm soát nội bộ.; Tách rõ căn cứ Luật và căn cứ NĐ/TT về tỷ lệ, quy trình.; 01 đề án cấp Tổng công ty; báo cáo định kỳ theo quy định.</x:v>
      </x:c>
      <x:c r="R622" s="14" t="str"/>
      <x:c r="S622" s="14" t="str">
        <x:v>Ban Kế hoạch - Đầu tư; Ban Tài chính</x:v>
      </x:c>
      <x:c r="T622" s="14" t="str">
        <x:v>Ban Tài chính; Ban Kế hoạch - Đầu tư</x:v>
      </x:c>
      <x:c r="U622" s="14" t="str">
        <x:v>Bộ Xây dựng, Bộ Tài chính, CAAV</x:v>
      </x:c>
      <x:c r="V622" s="14" t="str">
        <x:v>Bắt đầu: 07/2026; Hoàn thành: Sau NĐ/TT</x:v>
      </x:c>
      <x:c r="W622" s="14" t="str">
        <x:v>Rất cao</x:v>
      </x:c>
      <x:c r="X622" s="14" t="str"/>
      <x:c r="Y622" s="14" t="str">
        <x:v>Chưa bắt đầu</x:v>
      </x:c>
      <x:c r="Z622" s="14" t="str"/>
      <x:c r="AA622" s="14" t="str">
        <x:v>https://thuvienphapluat.vn/van-ban/Giao-thong-Van-tai/Luat-Hang-khong-dan-dung-Viet-Nam-2025-so-130-2025-QH15-687674.aspx</x:v>
      </x:c>
      <x:c r="AB622" s="14" t="str">
        <x:v>tai chinh; an ninh; an toan</x:v>
      </x:c>
    </x:row>
    <x:row r="623">
      <x:c r="A623" s="14" t="str">
        <x:v>VATM-0622</x:v>
      </x:c>
      <x:c r="B623" s="14" t="str">
        <x:v>FIN-02</x:v>
      </x:c>
      <x:c r="C623" s="14" t="str">
        <x:v>Luật HKDD Việt Nam số 130/2025/QH15</x:v>
      </x:c>
      <x:c r="D623" s="14" t="str">
        <x:v>VATM_Ra_soat_Luat_HKDD_130_2025_QH15_nhiem_vu_01072026.xlsx</x:v>
      </x:c>
      <x:c r="E623" s="14" t="str">
        <x:v>Nhiem_vu_VATM</x:v>
      </x:c>
      <x:c r="F623" s="56" t="n">
        <x:v>44</x:v>
      </x:c>
      <x:c r="G623" s="14" t="str">
        <x:v>Điều 5, 47, 103</x:v>
      </x:c>
      <x:c r="H623" s="14" t="str">
        <x:v>Tài chính - Kế hoạch đầu tư</x:v>
      </x:c>
      <x:c r="I623" s="14" t="str">
        <x:v>Kế hoạch vốn, đầu tư và mua sắm</x:v>
      </x:c>
      <x:c r="J623" s="14" t="str">
        <x:v>Tài chính/Đầu tư</x:v>
      </x:c>
      <x:c r="K623" s="14" t="str">
        <x:v>Trực tiếp</x:v>
      </x:c>
      <x:c r="L623" s="14" t="str">
        <x:v>SMS/QLAT</x:v>
      </x:c>
      <x:c r="M623" s="14" t="str"/>
      <x:c r="N623" s="14" t="str">
        <x:v>Ưu tiên danh mục đầu tư hiện đại hóa ANS: CNS/ATM, AIM số, ATFM, an ninh mạng, trung tâm dự phòng, eTOD/SWIM.</x:v>
      </x:c>
      <x:c r="O623" s="14" t="str"/>
      <x:c r="P623" s="14" t="str">
        <x:v>Portfolio dự án 2026-2030; business case; KPI sau đầu tư.; Đầu tư gắn với an toàn, năng lực, liên tục dịch vụ và tiêu chuẩn ICAO.; Có phân tích rủi ro, chi phí-vòng đời, interop và cybersecurity.; Danh mục dự án trung hạn; cập nhật hằng năm.</x:v>
      </x:c>
      <x:c r="Q623" s="14" t="str">
        <x:v>Portfolio dự án 2026-2030; business case; KPI sau đầu tư.; Đầu tư gắn với an toàn, năng lực, liên tục dịch vụ và tiêu chuẩn ICAO.; Có phân tích rủi ro, chi phí-vòng đời, interop và cybersecurity.; Danh mục dự án trung hạn; cập nhật hằng năm.</x:v>
      </x:c>
      <x:c r="R623" s="14" t="str"/>
      <x:c r="S623" s="14" t="str">
        <x:v>Ban Kế hoạch - Đầu tư; Ban Tài chính</x:v>
      </x:c>
      <x:c r="T623" s="14" t="str">
        <x:v>Ban Tài chính; Ban Kế hoạch - Đầu tư</x:v>
      </x:c>
      <x:c r="U623" s="14" t="str">
        <x:v>Tài chính, Kỹ thuật, Không lưu, AIM, An toàn</x:v>
      </x:c>
      <x:c r="V623" s="14" t="str">
        <x:v>Bắt đầu: 2026; Hoàn thành: 2030</x:v>
      </x:c>
      <x:c r="W623" s="14" t="str">
        <x:v>Cao</x:v>
      </x:c>
      <x:c r="X623" s="14" t="str"/>
      <x:c r="Y623" s="14" t="str">
        <x:v>Chưa bắt đầu</x:v>
      </x:c>
      <x:c r="Z623" s="14" t="str"/>
      <x:c r="AA623" s="14" t="str">
        <x:v>https://thuvienphapluat.vn/van-ban/Giao-thong-Van-tai/Luat-Hang-khong-dan-dung-Viet-Nam-2025-so-130-2025-QH15-687674.aspx</x:v>
      </x:c>
      <x:c r="AB623" s="14" t="str">
        <x:v>tai chinh; ans; atm; atfm; cns; aim; an ninh</x:v>
      </x:c>
    </x:row>
    <x:row r="624">
      <x:c r="A624" s="14" t="str">
        <x:v>VATM-0623</x:v>
      </x:c>
      <x:c r="B624" s="14" t="str">
        <x:v>FIN-03</x:v>
      </x:c>
      <x:c r="C624" s="14" t="str">
        <x:v>Luật HKDD Việt Nam số 130/2025/QH15</x:v>
      </x:c>
      <x:c r="D624" s="14" t="str">
        <x:v>VATM_Ra_soat_Luat_HKDD_130_2025_QH15_nhiem_vu_01072026.xlsx</x:v>
      </x:c>
      <x:c r="E624" s="14" t="str">
        <x:v>Nhiem_vu_VATM</x:v>
      </x:c>
      <x:c r="F624" s="56" t="n">
        <x:v>45</x:v>
      </x:c>
      <x:c r="G624" s="14" t="str">
        <x:v>Điều 32, 47, 107</x:v>
      </x:c>
      <x:c r="H624" s="14" t="str">
        <x:v>Tài chính - Kế hoạch đầu tư</x:v>
      </x:c>
      <x:c r="I624" s="14" t="str">
        <x:v>Kế hoạch vốn, đầu tư và mua sắm</x:v>
      </x:c>
      <x:c r="J624" s="14" t="str">
        <x:v>Tài chính/Đầu tư</x:v>
      </x:c>
      <x:c r="K624" s="14" t="str">
        <x:v>Trực tiếp</x:v>
      </x:c>
      <x:c r="L624" s="14" t="str">
        <x:v>Hồ sơ/phê duyệt/TTHC</x:v>
      </x:c>
      <x:c r="M624" s="14" t="str"/>
      <x:c r="N624" s="14" t="str">
        <x:v>Rà soát đất/công trình BĐHĐB tại cảng hàng không và ngoài cảng, hồ sơ chuyển tiếp, thuê đất, đầu tư nâng cấp.</x:v>
      </x:c>
      <x:c r="O624" s="14" t="str"/>
      <x:c r="P624" s="14" t="str">
        <x:v>Register công trình/đất/thuê đất; kế hoạch xử lý hồ sơ chuyển tiếp.; Tài sản/công trình ANS không rơi vào khoảng trống pháp lý sau 01/07/2026.; Khớp hồ sơ pháp lý, hiện trạng tài sản, giấy phép/phê chuẩn khai thác.; 100% công trình trọng yếu có hồ sơ trạng thái pháp lý.</x:v>
      </x:c>
      <x:c r="Q624" s="14" t="str">
        <x:v>Register công trình/đất/thuê đất; kế hoạch xử lý hồ sơ chuyển tiếp.; Tài sản/công trình ANS không rơi vào khoảng trống pháp lý sau 01/07/2026.; Khớp hồ sơ pháp lý, hiện trạng tài sản, giấy phép/phê chuẩn khai thác.; 100% công trình trọng yếu có hồ sơ trạng thái pháp lý.</x:v>
      </x:c>
      <x:c r="R624" s="14" t="str"/>
      <x:c r="S624" s="14" t="str">
        <x:v>Ban Kế hoạch - Đầu tư; Ban Tài chính; Văn phòng - Pháp chế</x:v>
      </x:c>
      <x:c r="T624" s="14" t="str">
        <x:v>Ban Tài chính; Ban Kế hoạch - Đầu tư</x:v>
      </x:c>
      <x:c r="U624" s="14" t="str">
        <x:v>Cảng vụ, cảng hàng không, địa phương, CAAV</x:v>
      </x:c>
      <x:c r="V624" s="14" t="str">
        <x:v>Bắt đầu: 06/2026; Hoàn thành: 12/2026</x:v>
      </x:c>
      <x:c r="W624" s="14" t="str">
        <x:v>Rất cao</x:v>
      </x:c>
      <x:c r="X624" s="14" t="str"/>
      <x:c r="Y624" s="14" t="str">
        <x:v>Chưa bắt đầu</x:v>
      </x:c>
      <x:c r="Z624" s="14" t="str"/>
      <x:c r="AA624" s="14" t="str">
        <x:v>https://thuvienphapluat.vn/van-ban/Giao-thong-Van-tai/Luat-Hang-khong-dan-dung-Viet-Nam-2025-so-130-2025-QH15-687674.aspx</x:v>
      </x:c>
      <x:c r="AB624" s="14" t="str">
        <x:v>tai chinh; cang; phap che</x:v>
      </x:c>
    </x:row>
    <x:row r="625">
      <x:c r="A625" s="14" t="str">
        <x:v>VATM-0624</x:v>
      </x:c>
      <x:c r="B625" s="14" t="str">
        <x:v>LOW-01</x:v>
      </x:c>
      <x:c r="C625" s="14" t="str">
        <x:v>Luật HKDD Việt Nam số 130/2025/QH15</x:v>
      </x:c>
      <x:c r="D625" s="14" t="str">
        <x:v>VATM_Ra_soat_Luat_HKDD_130_2025_QH15_nhiem_vu_01072026.xlsx</x:v>
      </x:c>
      <x:c r="E625" s="14" t="str">
        <x:v>Nhiem_vu_VATM</x:v>
      </x:c>
      <x:c r="F625" s="56" t="n">
        <x:v>46</x:v>
      </x:c>
      <x:c r="G625" s="14" t="str">
        <x:v>Điều 2, 105</x:v>
      </x:c>
      <x:c r="H625" s="14" t="str">
        <x:v>Tuân thủ, pháp chế &amp; quản trị</x:v>
      </x:c>
      <x:c r="I625" s="14" t="str">
        <x:v>Quản trị triển khai, RACI và báo cáo</x:v>
      </x:c>
      <x:c r="J625" s="14" t="str">
        <x:v>Vận tải hàng không tầm thấp</x:v>
      </x:c>
      <x:c r="K625" s="14" t="str">
        <x:v>Trực tiếp</x:v>
      </x:c>
      <x:c r="L625" s="14" t="str">
        <x:v>Báo cáo/điều tra/khắc phục</x:v>
      </x:c>
      <x:c r="M625" s="14" t="str"/>
      <x:c r="N625" s="14" t="str">
        <x:v>Theo dõi văn bản Chính phủ về vận tải hàng không tầm thấp/UAV và đánh giá tác động với ATS, vùng trời thấp, sân bay, CNS.</x:v>
      </x:c>
      <x:c r="O625" s="14" t="str"/>
      <x:c r="P625" s="14" t="str">
        <x:v>Báo cáo tác động UTM/ATM; concept of operations sơ bộ.; VATM sẵn sàng về phương án phối hợp nhưng không vượt thẩm quyền khi chưa có quy định.; Safety-first, không triển khai khai thác thử nếu chưa được phê duyệt.; 01 báo cáo concept; cập nhật khi có dự thảo/văn bản mới.</x:v>
      </x:c>
      <x:c r="Q625" s="14" t="str">
        <x:v>Báo cáo tác động UTM/ATM; concept of operations sơ bộ.; VATM sẵn sàng về phương án phối hợp nhưng không vượt thẩm quyền khi chưa có quy định.; Safety-first, không triển khai khai thác thử nếu chưa được phê duyệt.; 01 báo cáo concept; cập nhật khi có dự thảo/văn bản mới.</x:v>
      </x:c>
      <x:c r="R625" s="14" t="str"/>
      <x:c r="S625" s="14" t="str">
        <x:v>Văn phòng - Pháp chế; Ban Không lưu; Ban Kỹ thuật - CNS/IT/Môi trường; Ban An toàn - Chất lượng</x:v>
      </x:c>
      <x:c r="T625" s="14" t="str">
        <x:v>Văn phòng - Pháp chế</x:v>
      </x:c>
      <x:c r="U625" s="14" t="str">
        <x:v>CAAV, Quân đội, Công an, doanh nghiệp liên quan</x:v>
      </x:c>
      <x:c r="V625" s="14" t="str">
        <x:v>Bắt đầu: 2026; Hoàn thành: 2028</x:v>
      </x:c>
      <x:c r="W625" s="14" t="str">
        <x:v>Cao</x:v>
      </x:c>
      <x:c r="X625" s="14" t="str"/>
      <x:c r="Y625" s="14" t="str">
        <x:v>Chưa bắt đầu</x:v>
      </x:c>
      <x:c r="Z625" s="14" t="str"/>
      <x:c r="AA625" s="14" t="str">
        <x:v>https://thuvienphapluat.vn/van-ban/Giao-thong-Van-tai/Luat-Hang-khong-dan-dung-Viet-Nam-2025-so-130-2025-QH15-687674.aspx</x:v>
      </x:c>
      <x:c r="AB625" s="14" t="str">
        <x:v>phap che; ats; cns; san bay; an toan</x:v>
      </x:c>
    </x:row>
    <x:row r="626">
      <x:c r="A626" s="14" t="str">
        <x:v>VATM-0625</x:v>
      </x:c>
      <x:c r="B626" s="14" t="str">
        <x:v>COM-01</x:v>
      </x:c>
      <x:c r="C626" s="14" t="str">
        <x:v>Luật HKDD Việt Nam số 130/2025/QH15</x:v>
      </x:c>
      <x:c r="D626" s="14" t="str">
        <x:v>VATM_Ra_soat_Luat_HKDD_130_2025_QH15_nhiem_vu_01072026.xlsx</x:v>
      </x:c>
      <x:c r="E626" s="14" t="str">
        <x:v>Nhiem_vu_VATM</x:v>
      </x:c>
      <x:c r="F626" s="56" t="n">
        <x:v>47</x:v>
      </x:c>
      <x:c r="G626" s="14" t="str">
        <x:v>Điều 106; kế hoạch triển khai</x:v>
      </x:c>
      <x:c r="H626" s="14" t="str">
        <x:v>Tuân thủ, pháp chế &amp; quản trị</x:v>
      </x:c>
      <x:c r="I626" s="14" t="str">
        <x:v>Quản trị triển khai, RACI và báo cáo</x:v>
      </x:c>
      <x:c r="J626" s="14" t="str">
        <x:v>Truyền thông nội bộ</x:v>
      </x:c>
      <x:c r="K626" s="14" t="str">
        <x:v>Trực tiếp</x:v>
      </x:c>
      <x:c r="L626" s="14" t="str">
        <x:v>Quy trình/SOP/biểu mẫu</x:v>
      </x:c>
      <x:c r="M626" s="14" t="str"/>
      <x:c r="N626" s="14" t="str">
        <x:v>Tổ chức phổ biến Luật 130/2025 và nhiệm vụ VATM theo nhóm chức danh, đặc biệt thay đổi từ 01/07/2026.</x:v>
      </x:c>
      <x:c r="O626" s="14" t="str"/>
      <x:c r="P626" s="14" t="str">
        <x:v>Bản tin pháp lý; slide đào tạo; Q&amp;A nội bộ; checklist đơn vị.; Nhân sự nắm thay đổi ảnh hưởng công việc, không nhầm luật cũ/luật mới.; Thông điệp ngắn gọn, theo nghiệp vụ, có dẫn nguồn chính thức.; Tối thiểu 05 phiên phổ biến theo nhóm nghiệp vụ; lưu danh sách tham dự.</x:v>
      </x:c>
      <x:c r="Q626" s="14" t="str">
        <x:v>Bản tin pháp lý; slide đào tạo; Q&amp;A nội bộ; checklist đơn vị.; Nhân sự nắm thay đổi ảnh hưởng công việc, không nhầm luật cũ/luật mới.; Thông điệp ngắn gọn, theo nghiệp vụ, có dẫn nguồn chính thức.; Tối thiểu 05 phiên phổ biến theo nhóm nghiệp vụ; lưu danh sách tham dự.</x:v>
      </x:c>
      <x:c r="R626" s="14" t="str"/>
      <x:c r="S626" s="14" t="str">
        <x:v>Văn phòng - Pháp chế</x:v>
      </x:c>
      <x:c r="T626" s="14" t="str">
        <x:v>Văn phòng - Pháp chế</x:v>
      </x:c>
      <x:c r="U626" s="14" t="str">
        <x:v>Tất cả đơn vị</x:v>
      </x:c>
      <x:c r="V626" s="14" t="str">
        <x:v>Bắt đầu: 06/2026; Hoàn thành: 09/2026</x:v>
      </x:c>
      <x:c r="W626" s="14" t="str">
        <x:v>Cao</x:v>
      </x:c>
      <x:c r="X626" s="14" t="str"/>
      <x:c r="Y626" s="14" t="str">
        <x:v>Đang thực hiện</x:v>
      </x:c>
      <x:c r="Z626" s="14" t="str"/>
      <x:c r="AA626" s="14" t="str">
        <x:v>https://caa.gov.vn/hoat-dong-nganh/ke-hoach-trien-khai-thi-hanh-luat-hang-khong-dan-dung-viet-nam-nam-2025-20260120144224187.htm</x:v>
      </x:c>
      <x:c r="AB626" s="14" t="str">
        <x:v>phap che; atm</x:v>
      </x:c>
    </x:row>
    <x:row r="627">
      <x:c r="A627" s="14" t="str">
        <x:v>VATM-0626</x:v>
      </x:c>
      <x:c r="B627" s="14" t="str">
        <x:v>QMS-01</x:v>
      </x:c>
      <x:c r="C627" s="14" t="str">
        <x:v>Luật HKDD Việt Nam số 130/2025/QH15</x:v>
      </x:c>
      <x:c r="D627" s="14" t="str">
        <x:v>VATM_Ra_soat_Luat_HKDD_130_2025_QH15_nhiem_vu_01072026.xlsx</x:v>
      </x:c>
      <x:c r="E627" s="14" t="str">
        <x:v>Nhiem_vu_VATM</x:v>
      </x:c>
      <x:c r="F627" s="56" t="n">
        <x:v>48</x:v>
      </x:c>
      <x:c r="G627" s="14" t="str">
        <x:v>Điều 47, 46, 79</x:v>
      </x:c>
      <x:c r="H627" s="14" t="str">
        <x:v>Tuân thủ, pháp chế &amp; quản trị</x:v>
      </x:c>
      <x:c r="I627" s="14" t="str">
        <x:v>Quản trị triển khai, RACI và báo cáo</x:v>
      </x:c>
      <x:c r="J627" s="14" t="str">
        <x:v>Quản trị chất lượng</x:v>
      </x:c>
      <x:c r="K627" s="14" t="str">
        <x:v>Trực tiếp</x:v>
      </x:c>
      <x:c r="L627" s="14" t="str">
        <x:v>SMS/QLAT</x:v>
      </x:c>
      <x:c r="M627" s="14" t="str"/>
      <x:c r="N627" s="14" t="str">
        <x:v>Thiết lập/duy trì hệ thống quản lý chất lượng cho AIS/AIM, MET, CNS maintenance, service delivery và hồ sơ phê chuẩn.</x:v>
      </x:c>
      <x:c r="O627" s="14" t="str"/>
      <x:c r="P627" s="14" t="str">
        <x:v>QMS manual/quality procedures; audit plan; nonconformity register.; Quy trình quan trọng có tiêu chí chất lượng và bằng chứng kiểm soát.; Audit dựa trên rủi ro, có đóng khắc phục và kiểm tra hiệu lực.; Ít nhất 01 audit nội bộ/năm cho mỗi lĩnh vực ANS trọng yếu.</x:v>
      </x:c>
      <x:c r="Q627" s="14" t="str">
        <x:v>QMS manual/quality procedures; audit plan; nonconformity register.; Quy trình quan trọng có tiêu chí chất lượng và bằng chứng kiểm soát.; Audit dựa trên rủi ro, có đóng khắc phục và kiểm tra hiệu lực.; Ít nhất 01 audit nội bộ/năm cho mỗi lĩnh vực ANS trọng yếu.</x:v>
      </x:c>
      <x:c r="R627" s="14" t="str"/>
      <x:c r="S627" s="14" t="str">
        <x:v>Văn phòng - Pháp chế; Ban An toàn - Chất lượng</x:v>
      </x:c>
      <x:c r="T627" s="14" t="str">
        <x:v>Văn phòng - Pháp chế</x:v>
      </x:c>
      <x:c r="U627" s="14" t="str">
        <x:v>AIM, MET, CNS, ATM, SAR</x:v>
      </x:c>
      <x:c r="V627" s="14" t="str">
        <x:v>Bắt đầu: 2026; Hoàn thành: Duy trì</x:v>
      </x:c>
      <x:c r="W627" s="14" t="str">
        <x:v>Cao</x:v>
      </x:c>
      <x:c r="X627" s="14" t="str"/>
      <x:c r="Y627" s="14" t="str">
        <x:v>Chưa bắt đầu</x:v>
      </x:c>
      <x:c r="Z627" s="14" t="str"/>
      <x:c r="AA627" s="14" t="str">
        <x:v>https://thuvienphapluat.vn/van-ban/Giao-thong-Van-tai/Luat-Hang-khong-dan-dung-Viet-Nam-2025-so-130-2025-QH15-687674.aspx</x:v>
      </x:c>
      <x:c r="AB627" s="14" t="str">
        <x:v>phap che; cns; ais; aim; met; phe chuan; an toan</x:v>
      </x:c>
    </x:row>
    <x:row r="628">
      <x:c r="A628" s="14" t="str">
        <x:v>VATM-0627</x:v>
      </x:c>
      <x:c r="B628" s="14" t="str">
        <x:v>CHG-01</x:v>
      </x:c>
      <x:c r="C628" s="14" t="str">
        <x:v>Luật HKDD Việt Nam số 130/2025/QH15</x:v>
      </x:c>
      <x:c r="D628" s="14" t="str">
        <x:v>VATM_Ra_soat_Luat_HKDD_130_2025_QH15_nhiem_vu_01072026.xlsx</x:v>
      </x:c>
      <x:c r="E628" s="14" t="str">
        <x:v>Nhiem_vu_VATM</x:v>
      </x:c>
      <x:c r="F628" s="56" t="n">
        <x:v>49</x:v>
      </x:c>
      <x:c r="G628" s="14" t="str">
        <x:v>Điều 47, 80, 81</x:v>
      </x:c>
      <x:c r="H628" s="14" t="str">
        <x:v>Tuân thủ, pháp chế &amp; quản trị</x:v>
      </x:c>
      <x:c r="I628" s="14" t="str">
        <x:v>Quản trị triển khai, RACI và báo cáo</x:v>
      </x:c>
      <x:c r="J628" s="14" t="str">
        <x:v>Quản trị thay đổi</x:v>
      </x:c>
      <x:c r="K628" s="14" t="str">
        <x:v>Trực tiếp</x:v>
      </x:c>
      <x:c r="L628" s="14" t="str">
        <x:v>Dữ liệu/số hóa</x:v>
      </x:c>
      <x:c r="M628" s="14" t="str"/>
      <x:c r="N628" s="14" t="str">
        <x:v>Chuẩn hóa quy trình quản lý thay đổi đối với công trình, hệ thống CNS/ATM, phương thức bay, vùng trời, dữ liệu AIS/MET.</x:v>
      </x:c>
      <x:c r="O628" s="14" t="str"/>
      <x:c r="P628" s="14" t="str">
        <x:v>Change management procedure; safety assessment template; approval workflow.; Không đưa thay đổi vào khai thác khi chưa đánh giá an toàn/phê chuẩn.; Có tiêu chí phân loại thay đổi lớn/nhỏ, owner, risk acceptance.; 100% thay đổi lớn có hồ sơ safety assessment và quyết định phê duyệt.</x:v>
      </x:c>
      <x:c r="Q628" s="14" t="str">
        <x:v>Change management procedure; safety assessment template; approval workflow.; Không đưa thay đổi vào khai thác khi chưa đánh giá an toàn/phê chuẩn.; Có tiêu chí phân loại thay đổi lớn/nhỏ, owner, risk acceptance.; 100% thay đổi lớn có hồ sơ safety assessment và quyết định phê duyệt.</x:v>
      </x:c>
      <x:c r="R628" s="14" t="str"/>
      <x:c r="S628" s="14" t="str">
        <x:v>Văn phòng - Pháp chế; Ban An toàn - Chất lượng</x:v>
      </x:c>
      <x:c r="T628" s="14" t="str">
        <x:v>Văn phòng - Pháp chế</x:v>
      </x:c>
      <x:c r="U628" s="14" t="str">
        <x:v>Kỹ thuật, Không lưu, AIM, MET, CAAV</x:v>
      </x:c>
      <x:c r="V628" s="14" t="str">
        <x:v>Bắt đầu: 07/2026; Hoàn thành: 12/2026</x:v>
      </x:c>
      <x:c r="W628" s="14" t="str">
        <x:v>Rất cao</x:v>
      </x:c>
      <x:c r="X628" s="14" t="str"/>
      <x:c r="Y628" s="14" t="str">
        <x:v>Chưa bắt đầu</x:v>
      </x:c>
      <x:c r="Z628" s="14" t="str"/>
      <x:c r="AA628" s="14" t="str">
        <x:v>https://thuvienphapluat.vn/van-ban/Giao-thong-Van-tai/Luat-Hang-khong-dan-dung-Viet-Nam-2025-so-130-2025-QH15-687674.aspx</x:v>
      </x:c>
      <x:c r="AB628" s="14" t="str">
        <x:v>phap che; atm; cns; ais; met; du lieu; an toan</x:v>
      </x:c>
    </x:row>
    <x:row r="629">
      <x:c r="A629" s="14" t="str">
        <x:v>VATM-0628</x:v>
      </x:c>
      <x:c r="B629" s="14" t="str">
        <x:v>CYB-01</x:v>
      </x:c>
      <x:c r="C629" s="14" t="str">
        <x:v>Luật HKDD Việt Nam số 130/2025/QH15</x:v>
      </x:c>
      <x:c r="D629" s="14" t="str">
        <x:v>VATM_Ra_soat_Luat_HKDD_130_2025_QH15_nhiem_vu_01072026.xlsx</x:v>
      </x:c>
      <x:c r="E629" s="14" t="str">
        <x:v>Nhiem_vu_VATM</x:v>
      </x:c>
      <x:c r="F629" s="56" t="n">
        <x:v>50</x:v>
      </x:c>
      <x:c r="G629" s="14" t="str">
        <x:v>Điều 47, 82, 97, 98</x:v>
      </x:c>
      <x:c r="H629" s="14" t="str">
        <x:v>An ninh hàng không</x:v>
      </x:c>
      <x:c r="I629" s="14" t="str">
        <x:v>An ninh hệ thống CNS/ATM/CNTT</x:v>
      </x:c>
      <x:c r="J629" s="14" t="str">
        <x:v>An ninh mạng</x:v>
      </x:c>
      <x:c r="K629" s="14" t="str">
        <x:v>Trực tiếp</x:v>
      </x:c>
      <x:c r="L629" s="14" t="str">
        <x:v>An ninh/bảo vệ</x:v>
      </x:c>
      <x:c r="M629" s="14" t="str"/>
      <x:c r="N629" s="14" t="str">
        <x:v>Rà soát an ninh mạng đối với hệ thống CNS/ATM, AIM, MET, SAR, dữ liệu an toàn và hạ tầng kết nối.</x:v>
      </x:c>
      <x:c r="O629" s="14" t="str"/>
      <x:c r="P629" s="14" t="str">
        <x:v>Cybersecurity risk assessment; phương án bảo vệ; kế hoạch khắc phục.; Dữ liệu, hệ thống vận hành trọng yếu được bảo vệ theo mức độ rủi ro.; Không công khai thông tin nhạy cảm; kiểm soát truy cập và logging.; Rà soát tối thiểu hằng năm và khi có thay đổi hệ thống trọng yếu.</x:v>
      </x:c>
      <x:c r="Q629" s="14" t="str">
        <x:v>Cybersecurity risk assessment; phương án bảo vệ; kế hoạch khắc phục.; Dữ liệu, hệ thống vận hành trọng yếu được bảo vệ theo mức độ rủi ro.; Không công khai thông tin nhạy cảm; kiểm soát truy cập và logging.; Rà soát tối thiểu hằng năm và khi có thay đổi hệ thống trọng yếu.</x:v>
      </x:c>
      <x:c r="R629" s="14" t="str"/>
      <x:c r="S629" s="14" t="str">
        <x:v>Ban An ninh hàng không; Ban Kế hoạch doanh nghiệp - Chuyển đổi số; Ban Kỹ thuật - CNS/IT/Môi trường</x:v>
      </x:c>
      <x:c r="T629" s="14" t="str">
        <x:v>Các Công ty Quản lý bay khu vực Bắc/Trung/Nam; Ban An ninh hàng không</x:v>
      </x:c>
      <x:c r="U629" s="14" t="str">
        <x:v>CNS, An toàn, Nhà chức trách an ninh, CAAV</x:v>
      </x:c>
      <x:c r="V629" s="14" t="str">
        <x:v>Bắt đầu: 2026; Hoàn thành: Duy trì</x:v>
      </x:c>
      <x:c r="W629" s="14" t="str">
        <x:v>Rất cao</x:v>
      </x:c>
      <x:c r="X629" s="14" t="str"/>
      <x:c r="Y629" s="14" t="str">
        <x:v>Chưa bắt đầu</x:v>
      </x:c>
      <x:c r="Z629" s="14" t="str"/>
      <x:c r="AA629" s="14" t="str">
        <x:v>https://thuvienphapluat.vn/van-ban/Giao-thong-Van-tai/Luat-Hang-khong-dan-dung-Viet-Nam-2025-so-130-2025-QH15-687674.aspx</x:v>
      </x:c>
      <x:c r="AB629" s="14" t="str">
        <x:v>an ninh; atm; cns; aim; met; sar; an toan; du lieu</x:v>
      </x:c>
    </x:row>
    <x:row r="630">
      <x:c r="A630" s="14" t="str">
        <x:v>VATM-0629</x:v>
      </x:c>
      <x:c r="B630" s="14" t="str">
        <x:v>CYB-02</x:v>
      </x:c>
      <x:c r="C630" s="14" t="str">
        <x:v>Luật HKDD Việt Nam số 130/2025/QH15</x:v>
      </x:c>
      <x:c r="D630" s="14" t="str">
        <x:v>VATM_Ra_soat_Luat_HKDD_130_2025_QH15_nhiem_vu_01072026.xlsx</x:v>
      </x:c>
      <x:c r="E630" s="14" t="str">
        <x:v>Nhiem_vu_VATM</x:v>
      </x:c>
      <x:c r="F630" s="56" t="n">
        <x:v>51</x:v>
      </x:c>
      <x:c r="G630" s="14" t="str">
        <x:v>Điều 8, 47</x:v>
      </x:c>
      <x:c r="H630" s="14" t="str">
        <x:v>An ninh hàng không</x:v>
      </x:c>
      <x:c r="I630" s="14" t="str">
        <x:v>An ninh hệ thống CNS/ATM/CNTT</x:v>
      </x:c>
      <x:c r="J630" s="14" t="str">
        <x:v>An ninh mạng</x:v>
      </x:c>
      <x:c r="K630" s="14" t="str">
        <x:v>Trực tiếp</x:v>
      </x:c>
      <x:c r="L630" s="14" t="str">
        <x:v>An ninh/bảo vệ</x:v>
      </x:c>
      <x:c r="M630" s="14" t="str"/>
      <x:c r="N630" s="14" t="str">
        <x:v>Thiết lập phân quyền, logging, sao lưu và khôi phục thảm họa cho dữ liệu ANS/safety/AIM.</x:v>
      </x:c>
      <x:c r="O630" s="14" t="str"/>
      <x:c r="P630" s="14" t="str">
        <x:v>Data access matrix; backup/DRP; kết quả diễn tập khôi phục.; Khôi phục dữ liệu đúng RTO/RPO; truy cập trái phép được phát hiện.; Bảo vệ dữ liệu theo phân loại; kiểm tra restore định kỳ.; Tối thiểu 02 diễn tập DRP/năm cho hệ thống trọng yếu.</x:v>
      </x:c>
      <x:c r="Q630" s="14" t="str">
        <x:v>Data access matrix; backup/DRP; kết quả diễn tập khôi phục.; Khôi phục dữ liệu đúng RTO/RPO; truy cập trái phép được phát hiện.; Bảo vệ dữ liệu theo phân loại; kiểm tra restore định kỳ.; Tối thiểu 02 diễn tập DRP/năm cho hệ thống trọng yếu.</x:v>
      </x:c>
      <x:c r="R630" s="14" t="str"/>
      <x:c r="S630" s="14" t="str">
        <x:v>Ban An ninh hàng không; Ban Kế hoạch doanh nghiệp - Chuyển đổi số; Ban Kỹ thuật - CNS/IT/Môi trường</x:v>
      </x:c>
      <x:c r="T630" s="14" t="str">
        <x:v>Các Công ty Quản lý bay khu vực Bắc/Trung/Nam; Ban An ninh hàng không</x:v>
      </x:c>
      <x:c r="U630" s="14" t="str">
        <x:v>AIM, Safety, CNS, Security</x:v>
      </x:c>
      <x:c r="V630" s="14" t="str">
        <x:v>Bắt đầu: 2026; Hoàn thành: Duy trì</x:v>
      </x:c>
      <x:c r="W630" s="14" t="str">
        <x:v>Cao</x:v>
      </x:c>
      <x:c r="X630" s="14" t="str"/>
      <x:c r="Y630" s="14" t="str">
        <x:v>Chưa bắt đầu</x:v>
      </x:c>
      <x:c r="Z630" s="14" t="str"/>
      <x:c r="AA630" s="14" t="str">
        <x:v>https://thuvienphapluat.vn/van-ban/Giao-thong-Van-tai/Luat-Hang-khong-dan-dung-Viet-Nam-2025-so-130-2025-QH15-687674.aspx</x:v>
      </x:c>
      <x:c r="AB630" s="14" t="str">
        <x:v>an ninh; atm; cns; ans; aim; du lieu</x:v>
      </x:c>
    </x:row>
    <x:row r="631">
      <x:c r="A631" s="14" t="str">
        <x:v>VATM-0630</x:v>
      </x:c>
      <x:c r="B631" s="14" t="str">
        <x:v>INT-01</x:v>
      </x:c>
      <x:c r="C631" s="14" t="str">
        <x:v>Luật HKDD Việt Nam số 130/2025/QH15</x:v>
      </x:c>
      <x:c r="D631" s="14" t="str">
        <x:v>VATM_Ra_soat_Luat_HKDD_130_2025_QH15_nhiem_vu_01072026.xlsx</x:v>
      </x:c>
      <x:c r="E631" s="14" t="str">
        <x:v>Nhiem_vu_VATM</x:v>
      </x:c>
      <x:c r="F631" s="56" t="n">
        <x:v>52</x:v>
      </x:c>
      <x:c r="G631" s="14" t="str">
        <x:v>Điều 10, 39, 48</x:v>
      </x:c>
      <x:c r="H631" s="14" t="str">
        <x:v>Tuân thủ, pháp chế &amp; quản trị</x:v>
      </x:c>
      <x:c r="I631" s="14" t="str">
        <x:v>Hợp tác quốc tế/đối ngoại chuyên ngành</x:v>
      </x:c>
      <x:c r="J631" s="14" t="str">
        <x:v>Hợp tác quốc tế</x:v>
      </x:c>
      <x:c r="K631" s="14" t="str">
        <x:v>Trực tiếp</x:v>
      </x:c>
      <x:c r="L631" s="14" t="str">
        <x:v>Hồ sơ/phê duyệt/TTHC</x:v>
      </x:c>
      <x:c r="M631" s="14" t="str"/>
      <x:c r="N631" s="14" t="str">
        <x:v>Rà soát thỏa thuận phối hợp ATS/SAR/AIS/ATFM với ANSP và RCC quốc gia lân cận, ICAO khu vực.</x:v>
      </x:c>
      <x:c r="O631" s="14" t="str"/>
      <x:c r="P631" s="14" t="str">
        <x:v>Danh mục LOA quốc tế; kế hoạch cập nhật/đàm phán.; Phối hợp xuyên biên giới an toàn, thông suốt, hài hòa tiêu chuẩn ICAO.; Dùng phiên bản mới, có đầu mối, thông tin liên lạc, thủ tục thử định kỳ.; Rà soát tối thiểu 01 lần/năm toàn bộ LOA quốc tế.</x:v>
      </x:c>
      <x:c r="Q631" s="14" t="str">
        <x:v>Danh mục LOA quốc tế; kế hoạch cập nhật/đàm phán.; Phối hợp xuyên biên giới an toàn, thông suốt, hài hòa tiêu chuẩn ICAO.; Dùng phiên bản mới, có đầu mối, thông tin liên lạc, thủ tục thử định kỳ.; Rà soát tối thiểu 01 lần/năm toàn bộ LOA quốc tế.</x:v>
      </x:c>
      <x:c r="R631" s="14" t="str"/>
      <x:c r="S631" s="14" t="str">
        <x:v>Văn phòng - Pháp chế; Ban Không lưu; Trung tâm Tìm kiếm cứu nạn hàng không</x:v>
      </x:c>
      <x:c r="T631" s="14" t="str">
        <x:v>Văn phòng - Pháp chế</x:v>
      </x:c>
      <x:c r="U631" s="14" t="str">
        <x:v>ANSP/RCC nước ngoài, CAAV, ICAO</x:v>
      </x:c>
      <x:c r="V631" s="14" t="str">
        <x:v>Bắt đầu: 2026; Hoàn thành: Duy trì</x:v>
      </x:c>
      <x:c r="W631" s="14" t="str">
        <x:v>Cao</x:v>
      </x:c>
      <x:c r="X631" s="14" t="str"/>
      <x:c r="Y631" s="14" t="str">
        <x:v>Chưa bắt đầu</x:v>
      </x:c>
      <x:c r="Z631" s="14" t="str"/>
      <x:c r="AA631" s="14" t="str">
        <x:v>https://thuvienphapluat.vn/van-ban/Giao-thong-Van-tai/Luat-Hang-khong-dan-dung-Viet-Nam-2025-so-130-2025-QH15-687674.aspx</x:v>
      </x:c>
      <x:c r="AB631" s="14" t="str">
        <x:v>phap che; ans; ats; atfm; ais; sar</x:v>
      </x:c>
    </x:row>
    <x:row r="632">
      <x:c r="A632" s="14" t="str">
        <x:v>VATM-0631</x:v>
      </x:c>
      <x:c r="B632" s="14" t="str">
        <x:v>INT-02</x:v>
      </x:c>
      <x:c r="C632" s="14" t="str">
        <x:v>Luật HKDD Việt Nam số 130/2025/QH15</x:v>
      </x:c>
      <x:c r="D632" s="14" t="str">
        <x:v>VATM_Ra_soat_Luat_HKDD_130_2025_QH15_nhiem_vu_01072026.xlsx</x:v>
      </x:c>
      <x:c r="E632" s="14" t="str">
        <x:v>Nhiem_vu_VATM</x:v>
      </x:c>
      <x:c r="F632" s="56" t="n">
        <x:v>53</x:v>
      </x:c>
      <x:c r="G632" s="14" t="str">
        <x:v>Điều 47, 103</x:v>
      </x:c>
      <x:c r="H632" s="14" t="str">
        <x:v>Tuân thủ, pháp chế &amp; quản trị</x:v>
      </x:c>
      <x:c r="I632" s="14" t="str">
        <x:v>Hợp tác quốc tế/đối ngoại chuyên ngành</x:v>
      </x:c>
      <x:c r="J632" s="14" t="str">
        <x:v>Hợp tác quốc tế</x:v>
      </x:c>
      <x:c r="K632" s="14" t="str">
        <x:v>Trực tiếp</x:v>
      </x:c>
      <x:c r="L632" s="14" t="str">
        <x:v>Tuân thủ/quản trị</x:v>
      </x:c>
      <x:c r="M632" s="14" t="str"/>
      <x:c r="N632" s="14" t="str">
        <x:v>Lựa chọn chương trình hợp tác quốc tế phục vụ hiện đại hóa ANS, đào tạo KSVKL/ATSEP/AIM/MET/SAR và áp dụng ICAO ASBU.</x:v>
      </x:c>
      <x:c r="O632" s="14" t="str"/>
      <x:c r="P632" s="14" t="str">
        <x:v>Kế hoạch hợp tác quốc tế ANS; danh mục khóa/đề án.; Nâng cao năng lực nhân sự và tương thích hệ thống khu vực.; Có KPI sau đào tạo/chuyển giao công nghệ, tránh hình thức.; Tối thiểu 02 chương trình/năm hoặc theo kế hoạch nguồn lực.</x:v>
      </x:c>
      <x:c r="Q632" s="14" t="str">
        <x:v>Kế hoạch hợp tác quốc tế ANS; danh mục khóa/đề án.; Nâng cao năng lực nhân sự và tương thích hệ thống khu vực.; Có KPI sau đào tạo/chuyển giao công nghệ, tránh hình thức.; Tối thiểu 02 chương trình/năm hoặc theo kế hoạch nguồn lực.</x:v>
      </x:c>
      <x:c r="R632" s="14" t="str"/>
      <x:c r="S632" s="14" t="str">
        <x:v>Văn phòng - Pháp chế</x:v>
      </x:c>
      <x:c r="T632" s="14" t="str">
        <x:v>Văn phòng - Pháp chế</x:v>
      </x:c>
      <x:c r="U632" s="14" t="str">
        <x:v>ICAO, CANSO, ANSP, nhà cung cấp</x:v>
      </x:c>
      <x:c r="V632" s="14" t="str">
        <x:v>Bắt đầu: 2026; Hoàn thành: 2030</x:v>
      </x:c>
      <x:c r="W632" s="14" t="str">
        <x:v>Trung bình</x:v>
      </x:c>
      <x:c r="X632" s="14" t="str"/>
      <x:c r="Y632" s="14" t="str">
        <x:v>Chưa bắt đầu</x:v>
      </x:c>
      <x:c r="Z632" s="14" t="str"/>
      <x:c r="AA632" s="14" t="str">
        <x:v>https://thuvienphapluat.vn/van-ban/Giao-thong-Van-tai/Luat-Hang-khong-dan-dung-Viet-Nam-2025-so-130-2025-QH15-687674.aspx</x:v>
      </x:c>
      <x:c r="AB632" s="14" t="str">
        <x:v>phap che; ans; ats; aim; met; sar</x:v>
      </x:c>
    </x:row>
    <x:row r="633">
      <x:c r="A633" s="14" t="str">
        <x:v>VATM-0632</x:v>
      </x:c>
      <x:c r="B633" s="14" t="str">
        <x:v>LIC-01</x:v>
      </x:c>
      <x:c r="C633" s="14" t="str">
        <x:v>Luật HKDD Việt Nam số 130/2025/QH15</x:v>
      </x:c>
      <x:c r="D633" s="14" t="str">
        <x:v>VATM_Ra_soat_Luat_HKDD_130_2025_QH15_nhiem_vu_01072026.xlsx</x:v>
      </x:c>
      <x:c r="E633" s="14" t="str">
        <x:v>Nhiem_vu_VATM</x:v>
      </x:c>
      <x:c r="F633" s="56" t="n">
        <x:v>54</x:v>
      </x:c>
      <x:c r="G633" s="14" t="str">
        <x:v>Điều 47, 99, 100</x:v>
      </x:c>
      <x:c r="H633" s="14" t="str">
        <x:v>Quản lý khai thác cảng/sân bay</x:v>
      </x:c>
      <x:c r="I633" s="14" t="str">
        <x:v>Công trình, chướng ngại và thi công</x:v>
      </x:c>
      <x:c r="J633" s="14" t="str">
        <x:v>Công trình/giấy phép</x:v>
      </x:c>
      <x:c r="K633" s="14" t="str">
        <x:v>Trực tiếp</x:v>
      </x:c>
      <x:c r="L633" s="14" t="str">
        <x:v>Dữ liệu/số hóa</x:v>
      </x:c>
      <x:c r="M633" s="14" t="str"/>
      <x:c r="N633" s="14" t="str">
        <x:v>Lập register tình trạng cấp phép/phê chuẩn cơ sở BĐHĐB, công trình, hệ thống trang thiết bị, tài liệu khai thác, sơ đồ/bản đồ.</x:v>
      </x:c>
      <x:c r="O633" s="14" t="str"/>
      <x:c r="P633" s="14" t="str">
        <x:v>Licence &amp; approval register; cảnh báo hết hạn; hồ sơ chứng cứ.; Không cơ sở/hệ thống/tài liệu nào đưa vào khai thác thiếu giấy phép/phê chuẩn bắt buộc.; Dữ liệu register được xác nhận bởi owner và QA.; 100% cơ sở/trang thiết bị trọng yếu trong register; rà soát hằng quý.</x:v>
      </x:c>
      <x:c r="Q633" s="14" t="str">
        <x:v>Licence &amp; approval register; cảnh báo hết hạn; hồ sơ chứng cứ.; Không cơ sở/hệ thống/tài liệu nào đưa vào khai thác thiếu giấy phép/phê chuẩn bắt buộc.; Dữ liệu register được xác nhận bởi owner và QA.; 100% cơ sở/trang thiết bị trọng yếu trong register; rà soát hằng quý.</x:v>
      </x:c>
      <x:c r="R633" s="14" t="str"/>
      <x:c r="S633" s="14" t="str">
        <x:v>Ban Kế hoạch - Đầu tư; Ban Không lưu; Ban Kỹ thuật - CNS/IT/Môi trường; Văn phòng - Pháp chế; Ban An toàn - Chất lượng</x:v>
      </x:c>
      <x:c r="T633" s="14" t="str">
        <x:v>Các Công ty Quản lý bay khu vực Bắc/Trung/Nam; Ban Kế hoạch - Đầu tư; Ban Không lưu; Ban Kỹ thuật - CNS/IT/Môi trường</x:v>
      </x:c>
      <x:c r="U633" s="14" t="str">
        <x:v>CAAV, các đơn vị</x:v>
      </x:c>
      <x:c r="V633" s="14" t="str">
        <x:v>Bắt đầu: 06/2026; Hoàn thành: 09/2026</x:v>
      </x:c>
      <x:c r="W633" s="14" t="str">
        <x:v>Rất cao</x:v>
      </x:c>
      <x:c r="X633" s="14" t="str"/>
      <x:c r="Y633" s="14" t="str">
        <x:v>Chưa bắt đầu</x:v>
      </x:c>
      <x:c r="Z633" s="14" t="str"/>
      <x:c r="AA633" s="14" t="str">
        <x:v>https://thuvienphapluat.vn/van-ban/Giao-thong-Van-tai/Luat-Hang-khong-dan-dung-Viet-Nam-2025-so-130-2025-QH15-687674.aspx</x:v>
      </x:c>
      <x:c r="AB633" s="14" t="str">
        <x:v>cang; san bay; phe chuan; cns; an toan; phap che</x:v>
      </x:c>
    </x:row>
    <x:row r="634">
      <x:c r="A634" s="14" t="str">
        <x:v>VATM-0633</x:v>
      </x:c>
      <x:c r="B634" s="14" t="str">
        <x:v>LIC-02</x:v>
      </x:c>
      <x:c r="C634" s="14" t="str">
        <x:v>Luật HKDD Việt Nam số 130/2025/QH15</x:v>
      </x:c>
      <x:c r="D634" s="14" t="str">
        <x:v>VATM_Ra_soat_Luat_HKDD_130_2025_QH15_nhiem_vu_01072026.xlsx</x:v>
      </x:c>
      <x:c r="E634" s="14" t="str">
        <x:v>Nhiem_vu_VATM</x:v>
      </x:c>
      <x:c r="F634" s="56" t="n">
        <x:v>55</x:v>
      </x:c>
      <x:c r="G634" s="14" t="str">
        <x:v>Điều 32, 47, 107</x:v>
      </x:c>
      <x:c r="H634" s="14" t="str">
        <x:v>Quản lý khai thác cảng/sân bay</x:v>
      </x:c>
      <x:c r="I634" s="14" t="str">
        <x:v>Công trình, chướng ngại và thi công</x:v>
      </x:c>
      <x:c r="J634" s="14" t="str">
        <x:v>Công trình/giấy phép</x:v>
      </x:c>
      <x:c r="K634" s="14" t="str">
        <x:v>Trực tiếp</x:v>
      </x:c>
      <x:c r="L634" s="14" t="str">
        <x:v>Báo cáo/điều tra/khắc phục</x:v>
      </x:c>
      <x:c r="M634" s="14" t="str"/>
      <x:c r="N634" s="14" t="str">
        <x:v>Đánh giá hồ sơ chuyển tiếp của công trình BĐHĐB đang đầu tư/xây dựng/khai thác để đảm bảo không gián đoạn pháp lý sau ngày hiệu lực.</x:v>
      </x:c>
      <x:c r="O634" s="14" t="str"/>
      <x:c r="P634" s="14" t="str">
        <x:v>Transition dossier; danh sách rủi ro và kế hoạch khắc phục.; Tất cả công trình đang vận hành/đầu tư có căn cứ chuyển tiếp hoặc kế hoạch xin lại/cập nhật.; Ưu tiên công trình tại cảng, trung tâm kiểm soát, CNS trọng yếu.; 01 register công trình chuyển tiếp; báo cáo rủi ro hằng tháng đến khi đóng.</x:v>
      </x:c>
      <x:c r="Q634" s="14" t="str">
        <x:v>Transition dossier; danh sách rủi ro và kế hoạch khắc phục.; Tất cả công trình đang vận hành/đầu tư có căn cứ chuyển tiếp hoặc kế hoạch xin lại/cập nhật.; Ưu tiên công trình tại cảng, trung tâm kiểm soát, CNS trọng yếu.; 01 register công trình chuyển tiếp; báo cáo rủi ro hằng tháng đến khi đóng.</x:v>
      </x:c>
      <x:c r="R634" s="14" t="str"/>
      <x:c r="S634" s="14" t="str">
        <x:v>Ban Kế hoạch - Đầu tư; Ban Không lưu; Ban Kỹ thuật - CNS/IT/Môi trường; Văn phòng - Pháp chế</x:v>
      </x:c>
      <x:c r="T634" s="14" t="str">
        <x:v>Các Công ty Quản lý bay khu vực Bắc/Trung/Nam; Ban Kế hoạch - Đầu tư; Ban Không lưu; Ban Kỹ thuật - CNS/IT/Môi trường</x:v>
      </x:c>
      <x:c r="U634" s="14" t="str">
        <x:v>CAAV, Cảng vụ, địa phương</x:v>
      </x:c>
      <x:c r="V634" s="14" t="str">
        <x:v>Bắt đầu: 06/2026; Hoàn thành: 12/2026</x:v>
      </x:c>
      <x:c r="W634" s="14" t="str">
        <x:v>Rất cao</x:v>
      </x:c>
      <x:c r="X634" s="14" t="str"/>
      <x:c r="Y634" s="14" t="str">
        <x:v>Chưa bắt đầu</x:v>
      </x:c>
      <x:c r="Z634" s="14" t="str"/>
      <x:c r="AA634" s="14" t="str">
        <x:v>https://thuvienphapluat.vn/van-ban/Giao-thong-Van-tai/Luat-Hang-khong-dan-dung-Viet-Nam-2025-so-130-2025-QH15-687674.aspx</x:v>
      </x:c>
      <x:c r="AB634" s="14" t="str">
        <x:v>cang; san bay; phap che</x:v>
      </x:c>
    </x:row>
    <x:row r="635">
      <x:c r="A635" s="14" t="str">
        <x:v>VATM-0634</x:v>
      </x:c>
      <x:c r="B635" s="14" t="str">
        <x:v>APT-01</x:v>
      </x:c>
      <x:c r="C635" s="14" t="str">
        <x:v>Luật HKDD Việt Nam số 130/2025/QH15</x:v>
      </x:c>
      <x:c r="D635" s="14" t="str">
        <x:v>VATM_Ra_soat_Luat_HKDD_130_2025_QH15_nhiem_vu_01072026.xlsx</x:v>
      </x:c>
      <x:c r="E635" s="14" t="str">
        <x:v>Nhiem_vu_VATM</x:v>
      </x:c>
      <x:c r="F635" s="56" t="n">
        <x:v>56</x:v>
      </x:c>
      <x:c r="G635" s="14" t="str">
        <x:v>Điều 29-36, 43</x:v>
      </x:c>
      <x:c r="H635" s="14" t="str">
        <x:v>Quản lý khai thác cảng/sân bay</x:v>
      </x:c>
      <x:c r="I635" s="14" t="str">
        <x:v>Công trình, chướng ngại và thi công</x:v>
      </x:c>
      <x:c r="J635" s="14" t="str">
        <x:v>Cảng hàng không/địa phương</x:v>
      </x:c>
      <x:c r="K635" s="14" t="str">
        <x:v>Trực tiếp</x:v>
      </x:c>
      <x:c r="L635" s="14" t="str">
        <x:v>Quy trình/SOP/biểu mẫu</x:v>
      </x:c>
      <x:c r="M635" s="14" t="str"/>
      <x:c r="N635" s="14" t="str">
        <x:v>Thiết lập quy trình tham gia ý kiến VATM đối với quy hoạch, xây dựng, nâng cấp, dừng khai thác cảng/công trình ảnh hưởng ANS.</x:v>
      </x:c>
      <x:c r="O635" s="14" t="str"/>
      <x:c r="P635" s="14" t="str">
        <x:v>Mẫu phiếu ý kiến chuyên ngành ANS; quy trình SLA phản hồi hồ sơ.; Ý kiến VATM kịp thời, thống nhất, có cơ sở an toàn/kỹ thuật.; Phản hồi theo thẩm quyền, không vượt quá chức năng quản lý nhà nước.; 100% hồ sơ có ảnh hưởng ANS được giao xử lý có phản hồi đúng hạn.</x:v>
      </x:c>
      <x:c r="Q635" s="14" t="str">
        <x:v>Mẫu phiếu ý kiến chuyên ngành ANS; quy trình SLA phản hồi hồ sơ.; Ý kiến VATM kịp thời, thống nhất, có cơ sở an toàn/kỹ thuật.; Phản hồi theo thẩm quyền, không vượt quá chức năng quản lý nhà nước.; 100% hồ sơ có ảnh hưởng ANS được giao xử lý có phản hồi đúng hạn.</x:v>
      </x:c>
      <x:c r="R635" s="14" t="str"/>
      <x:c r="S635" s="14" t="str">
        <x:v>Ban Kế hoạch - Đầu tư; Ban Không lưu; Ban Kỹ thuật - CNS/IT/Môi trường</x:v>
      </x:c>
      <x:c r="T635" s="14" t="str">
        <x:v>Các Công ty Quản lý bay khu vực Bắc/Trung/Nam; Ban Kế hoạch - Đầu tư; Ban Không lưu; Ban Kỹ thuật - CNS/IT/Môi trường</x:v>
      </x:c>
      <x:c r="U635" s="14" t="str">
        <x:v>CAAV, Cảng vụ, cảng hàng không, địa phương</x:v>
      </x:c>
      <x:c r="V635" s="14" t="str">
        <x:v>Bắt đầu: 2026; Hoàn thành: Duy trì</x:v>
      </x:c>
      <x:c r="W635" s="14" t="str">
        <x:v>Cao</x:v>
      </x:c>
      <x:c r="X635" s="14" t="str"/>
      <x:c r="Y635" s="14" t="str">
        <x:v>Chưa bắt đầu</x:v>
      </x:c>
      <x:c r="Z635" s="14" t="str"/>
      <x:c r="AA635" s="14" t="str">
        <x:v>https://thuvienphapluat.vn/van-ban/Giao-thong-Van-tai/Luat-Hang-khong-dan-dung-Viet-Nam-2025-so-130-2025-QH15-687674.aspx</x:v>
      </x:c>
      <x:c r="AB635" s="14" t="str">
        <x:v>cang; san bay; ans; atm; cns</x:v>
      </x:c>
    </x:row>
    <x:row r="636">
      <x:c r="A636" s="14" t="str">
        <x:v>VATM-0635</x:v>
      </x:c>
      <x:c r="B636" s="14" t="str">
        <x:v>APT-02</x:v>
      </x:c>
      <x:c r="C636" s="14" t="str">
        <x:v>Luật HKDD Việt Nam số 130/2025/QH15</x:v>
      </x:c>
      <x:c r="D636" s="14" t="str">
        <x:v>VATM_Ra_soat_Luat_HKDD_130_2025_QH15_nhiem_vu_01072026.xlsx</x:v>
      </x:c>
      <x:c r="E636" s="14" t="str">
        <x:v>Nhiem_vu_VATM</x:v>
      </x:c>
      <x:c r="F636" s="56" t="n">
        <x:v>57</x:v>
      </x:c>
      <x:c r="G636" s="14" t="str">
        <x:v>Điều 43</x:v>
      </x:c>
      <x:c r="H636" s="14" t="str">
        <x:v>Quản lý khai thác cảng/sân bay</x:v>
      </x:c>
      <x:c r="I636" s="14" t="str">
        <x:v>Công trình, chướng ngại và thi công</x:v>
      </x:c>
      <x:c r="J636" s="14" t="str">
        <x:v>Cảng hàng không/địa phương</x:v>
      </x:c>
      <x:c r="K636" s="14" t="str">
        <x:v>Trực tiếp</x:v>
      </x:c>
      <x:c r="L636" s="14" t="str">
        <x:v>Dữ liệu/số hóa</x:v>
      </x:c>
      <x:c r="M636" s="14" t="str"/>
      <x:c r="N636" s="14" t="str">
        <x:v>Ký/cập nhật cơ chế nhận thông tin chướng ngại vật từ địa phương, cảng hàng không, chủ công trình phục vụ eTOD/AIP/NOTAM.</x:v>
      </x:c>
      <x:c r="O636" s="14" t="str"/>
      <x:c r="P636" s="14" t="str">
        <x:v>Quy trình tiếp nhận dữ liệu chướng ngại vật; đầu mối địa phương; mẫu dữ liệu.; Dữ liệu chướng ngại vật đến đúng địa chỉ, đúng thuộc tính, kịp thời.; Có xác nhận nguồn và kiểm tra chất lượng trước công bố/sử dụng.; Danh sách đầu mối 63 địa phương hoặc địa phương có sân bay/đài trạm trọng yếu.</x:v>
      </x:c>
      <x:c r="Q636" s="14" t="str">
        <x:v>Quy trình tiếp nhận dữ liệu chướng ngại vật; đầu mối địa phương; mẫu dữ liệu.; Dữ liệu chướng ngại vật đến đúng địa chỉ, đúng thuộc tính, kịp thời.; Có xác nhận nguồn và kiểm tra chất lượng trước công bố/sử dụng.; Danh sách đầu mối 63 địa phương hoặc địa phương có sân bay/đài trạm trọng yếu.</x:v>
      </x:c>
      <x:c r="R636" s="14" t="str"/>
      <x:c r="S636" s="14" t="str">
        <x:v>Ban Kế hoạch - Đầu tư; Ban Không lưu; Ban Kỹ thuật - CNS/IT/Môi trường; Trung tâm Thông báo tin tức hàng không</x:v>
      </x:c>
      <x:c r="T636" s="14" t="str">
        <x:v>Các Công ty Quản lý bay khu vực Bắc/Trung/Nam; Ban Kế hoạch - Đầu tư; Ban Không lưu; Ban Kỹ thuật - CNS/IT/Môi trường</x:v>
      </x:c>
      <x:c r="U636" s="14" t="str">
        <x:v>Địa phương, CAAV, Cảng vụ, Cục Tác chiến</x:v>
      </x:c>
      <x:c r="V636" s="14" t="str">
        <x:v>Bắt đầu: 2026; Hoàn thành: 2028</x:v>
      </x:c>
      <x:c r="W636" s="14" t="str">
        <x:v>Cao</x:v>
      </x:c>
      <x:c r="X636" s="14" t="str"/>
      <x:c r="Y636" s="14" t="str">
        <x:v>Chưa bắt đầu</x:v>
      </x:c>
      <x:c r="Z636" s="14" t="str"/>
      <x:c r="AA636" s="14" t="str">
        <x:v>https://thuvienphapluat.vn/van-ban/Giao-thong-Van-tai/Luat-Hang-khong-dan-dung-Viet-Nam-2025-so-130-2025-QH15-687674.aspx</x:v>
      </x:c>
      <x:c r="AB636" s="14" t="str">
        <x:v>cang; san bay; cns</x:v>
      </x:c>
    </x:row>
    <x:row r="637">
      <x:c r="A637" s="14" t="str">
        <x:v>VATM-0636</x:v>
      </x:c>
      <x:c r="B637" s="14" t="str">
        <x:v>LEG-01</x:v>
      </x:c>
      <x:c r="C637" s="14" t="str">
        <x:v>Luật HKDD Việt Nam số 130/2025/QH15</x:v>
      </x:c>
      <x:c r="D637" s="14" t="str">
        <x:v>VATM_Ra_soat_Luat_HKDD_130_2025_QH15_nhiem_vu_01072026.xlsx</x:v>
      </x:c>
      <x:c r="E637" s="14" t="str">
        <x:v>Nhiem_vu_VATM</x:v>
      </x:c>
      <x:c r="F637" s="56" t="n">
        <x:v>58</x:v>
      </x:c>
      <x:c r="G637" s="14" t="str">
        <x:v>Điều 2, 47, 103</x:v>
      </x:c>
      <x:c r="H637" s="14" t="str">
        <x:v>Tuân thủ, pháp chế &amp; quản trị</x:v>
      </x:c>
      <x:c r="I637" s="14" t="str">
        <x:v>Quản trị triển khai, RACI và báo cáo</x:v>
      </x:c>
      <x:c r="J637" s="14" t="str">
        <x:v>Pháp chế/hợp đồng</x:v>
      </x:c>
      <x:c r="K637" s="14" t="str">
        <x:v>Trực tiếp</x:v>
      </x:c>
      <x:c r="L637" s="14" t="str">
        <x:v>Dữ liệu/số hóa</x:v>
      </x:c>
      <x:c r="M637" s="14" t="str"/>
      <x:c r="N637" s="14" t="str">
        <x:v>Rà soát hợp đồng dịch vụ, thỏa thuận trao đổi dữ liệu, mua sắm/bảo trì CNS/ATM để cập nhật căn cứ Luật, tiêu chuẩn ICAO, bảo mật, dữ liệu.</x:v>
      </x:c>
      <x:c r="O637" s="14" t="str"/>
      <x:c r="P637" s="14" t="str">
        <x:v>Bộ điều khoản mẫu; danh mục hợp đồng cần sửa.; Hợp đồng phản ánh đúng trách nhiệm dịch vụ công ích, dữ liệu và an ninh an toàn.; Không đưa nghĩa vụ vượt luật/ngoài thẩm quyền; có điều khoản SLA và bảo mật.; Rà soát 100% hợp đồng trọng yếu trong 2026-2027.</x:v>
      </x:c>
      <x:c r="Q637" s="14" t="str">
        <x:v>Bộ điều khoản mẫu; danh mục hợp đồng cần sửa.; Hợp đồng phản ánh đúng trách nhiệm dịch vụ công ích, dữ liệu và an ninh an toàn.; Không đưa nghĩa vụ vượt luật/ngoài thẩm quyền; có điều khoản SLA và bảo mật.; Rà soát 100% hợp đồng trọng yếu trong 2026-2027.</x:v>
      </x:c>
      <x:c r="R637" s="14" t="str"/>
      <x:c r="S637" s="14" t="str">
        <x:v>Văn phòng - Pháp chế; Ban Tài chính; Ban Kỹ thuật - CNS/IT/Môi trường</x:v>
      </x:c>
      <x:c r="T637" s="14" t="str">
        <x:v>Văn phòng - Pháp chế</x:v>
      </x:c>
      <x:c r="U637" s="14" t="str">
        <x:v>Đơn vị mua sắm, nhà cung cấp</x:v>
      </x:c>
      <x:c r="V637" s="14" t="str">
        <x:v>Bắt đầu: 2026; Hoàn thành: 2027</x:v>
      </x:c>
      <x:c r="W637" s="14" t="str">
        <x:v>Trung bình</x:v>
      </x:c>
      <x:c r="X637" s="14" t="str"/>
      <x:c r="Y637" s="14" t="str">
        <x:v>Chưa bắt đầu</x:v>
      </x:c>
      <x:c r="Z637" s="14" t="str"/>
      <x:c r="AA637" s="14" t="str">
        <x:v>https://thuvienphapluat.vn/van-ban/Giao-thong-Van-tai/Luat-Hang-khong-dan-dung-Viet-Nam-2025-so-130-2025-QH15-687674.aspx</x:v>
      </x:c>
      <x:c r="AB637" s="14" t="str">
        <x:v>phap che; atm; cns; du lieu; tai chinh</x:v>
      </x:c>
    </x:row>
    <x:row r="638">
      <x:c r="A638" s="14" t="str">
        <x:v>VATM-0637</x:v>
      </x:c>
      <x:c r="B638" s="14" t="str">
        <x:v>LEG-02</x:v>
      </x:c>
      <x:c r="C638" s="14" t="str">
        <x:v>Luật HKDD Việt Nam số 130/2025/QH15</x:v>
      </x:c>
      <x:c r="D638" s="14" t="str">
        <x:v>VATM_Ra_soat_Luat_HKDD_130_2025_QH15_nhiem_vu_01072026.xlsx</x:v>
      </x:c>
      <x:c r="E638" s="14" t="str">
        <x:v>Nhiem_vu_VATM</x:v>
      </x:c>
      <x:c r="F638" s="56" t="n">
        <x:v>59</x:v>
      </x:c>
      <x:c r="G638" s="14" t="str">
        <x:v>Điều 12, 94-98</x:v>
      </x:c>
      <x:c r="H638" s="14" t="str">
        <x:v>Tuân thủ, pháp chế &amp; quản trị</x:v>
      </x:c>
      <x:c r="I638" s="14" t="str">
        <x:v>Quản trị triển khai, RACI và báo cáo</x:v>
      </x:c>
      <x:c r="J638" s="14" t="str">
        <x:v>Pháp chế/hợp đồng</x:v>
      </x:c>
      <x:c r="K638" s="14" t="str">
        <x:v>Trực tiếp</x:v>
      </x:c>
      <x:c r="L638" s="14" t="str">
        <x:v>Báo cáo/điều tra/khắc phục</x:v>
      </x:c>
      <x:c r="M638" s="14" t="str"/>
      <x:c r="N638" s="14" t="str">
        <x:v>Rà soát quy định nhà thầu/khách đến làm việc tại cơ sở VATM về an ninh, bảo mật, an toàn, truy cập hệ thống.</x:v>
      </x:c>
      <x:c r="O638" s="14" t="str"/>
      <x:c r="P638" s="14" t="str">
        <x:v>Phụ lục cam kết an ninh/an toàn; quy trình cấp quyền tạm thời.; Nhà thầu không tạo rủi ro an ninh/an toàn cho công trình/hệ thống ANS.; Có xác thực, giám sát, thu hồi quyền truy cập và báo cáo vi phạm.; Áp dụng cho 100% hợp đồng/nhà thầu tiếp cận khu vực/hệ thống trọng yếu.</x:v>
      </x:c>
      <x:c r="Q638" s="14" t="str">
        <x:v>Phụ lục cam kết an ninh/an toàn; quy trình cấp quyền tạm thời.; Nhà thầu không tạo rủi ro an ninh/an toàn cho công trình/hệ thống ANS.; Có xác thực, giám sát, thu hồi quyền truy cập và báo cáo vi phạm.; Áp dụng cho 100% hợp đồng/nhà thầu tiếp cận khu vực/hệ thống trọng yếu.</x:v>
      </x:c>
      <x:c r="R638" s="14" t="str"/>
      <x:c r="S638" s="14" t="str">
        <x:v>Văn phòng - Pháp chế; Ban Kế hoạch doanh nghiệp - Chuyển đổi số; Ban Kỹ thuật - CNS/IT/Môi trường; Ban An ninh hàng không</x:v>
      </x:c>
      <x:c r="T638" s="14" t="str">
        <x:v>Văn phòng - Pháp chế</x:v>
      </x:c>
      <x:c r="U638" s="14" t="str">
        <x:v>Các đơn vị, nhà thầu</x:v>
      </x:c>
      <x:c r="V638" s="14" t="str">
        <x:v>Bắt đầu: 2026; Hoàn thành: Duy trì</x:v>
      </x:c>
      <x:c r="W638" s="14" t="str">
        <x:v>Cao</x:v>
      </x:c>
      <x:c r="X638" s="14" t="str"/>
      <x:c r="Y638" s="14" t="str">
        <x:v>Chưa bắt đầu</x:v>
      </x:c>
      <x:c r="Z638" s="14" t="str"/>
      <x:c r="AA638" s="14" t="str">
        <x:v>https://thuvienphapluat.vn/van-ban/Giao-thong-Van-tai/Luat-Hang-khong-dan-dung-Viet-Nam-2025-so-130-2025-QH15-687674.aspx</x:v>
      </x:c>
      <x:c r="AB638" s="14" t="str">
        <x:v>phap che; atm; an ninh; an toan; cns</x:v>
      </x:c>
    </x:row>
    <x:row r="639">
      <x:c r="A639" s="14" t="str">
        <x:v>VATM-0638</x:v>
      </x:c>
      <x:c r="B639" s="14" t="str">
        <x:v>REP-01</x:v>
      </x:c>
      <x:c r="C639" s="14" t="str">
        <x:v>Luật HKDD Việt Nam số 130/2025/QH15</x:v>
      </x:c>
      <x:c r="D639" s="14" t="str">
        <x:v>VATM_Ra_soat_Luat_HKDD_130_2025_QH15_nhiem_vu_01072026.xlsx</x:v>
      </x:c>
      <x:c r="E639" s="14" t="str">
        <x:v>Nhiem_vu_VATM</x:v>
      </x:c>
      <x:c r="F639" s="56" t="n">
        <x:v>60</x:v>
      </x:c>
      <x:c r="G639" s="14" t="str">
        <x:v>Điều 8, 81, 82, 99</x:v>
      </x:c>
      <x:c r="H639" s="14" t="str">
        <x:v>Tuân thủ, pháp chế &amp; quản trị</x:v>
      </x:c>
      <x:c r="I639" s="14" t="str">
        <x:v>Quản trị triển khai, RACI và báo cáo</x:v>
      </x:c>
      <x:c r="J639" s="14" t="str">
        <x:v>Báo cáo quản trị</x:v>
      </x:c>
      <x:c r="K639" s="14" t="str">
        <x:v>Trực tiếp</x:v>
      </x:c>
      <x:c r="L639" s="14" t="str">
        <x:v>Báo cáo/điều tra/khắc phục</x:v>
      </x:c>
      <x:c r="M639" s="14" t="str"/>
      <x:c r="N639" s="14" t="str">
        <x:v>Thiết kế dashboard điều hành tuân thủ: nghĩa vụ pháp lý, an toàn, giấy phép, dữ liệu, an ninh, đầu tư, đào tạo.</x:v>
      </x:c>
      <x:c r="O639" s="14" t="str"/>
      <x:c r="P639" s="14" t="str">
        <x:v>Dashboard compliance &amp; safety; báo cáo lãnh đạo định kỳ.; Lãnh đạo VATM thấy rõ trạng thái tuân thủ và rủi ro ưu tiên.; Dữ liệu không thủ công quá mức, có owner, deadline, evidence link.; Báo cáo tháng giai đoạn 2026, quý từ 2027.</x:v>
      </x:c>
      <x:c r="Q639" s="14" t="str">
        <x:v>Dashboard compliance &amp; safety; báo cáo lãnh đạo định kỳ.; Lãnh đạo VATM thấy rõ trạng thái tuân thủ và rủi ro ưu tiên.; Dữ liệu không thủ công quá mức, có owner, deadline, evidence link.; Báo cáo tháng giai đoạn 2026, quý từ 2027.</x:v>
      </x:c>
      <x:c r="R639" s="14" t="str"/>
      <x:c r="S639" s="14" t="str">
        <x:v>Văn phòng - Pháp chế; Ban An toàn - Chất lượng</x:v>
      </x:c>
      <x:c r="T639" s="14" t="str">
        <x:v>Văn phòng - Pháp chế</x:v>
      </x:c>
      <x:c r="U639" s="14" t="str">
        <x:v>Tất cả ban</x:v>
      </x:c>
      <x:c r="V639" s="14" t="str">
        <x:v>Bắt đầu: 2026; Hoàn thành: Duy trì</x:v>
      </x:c>
      <x:c r="W639" s="14" t="str">
        <x:v>Cao</x:v>
      </x:c>
      <x:c r="X639" s="14" t="str"/>
      <x:c r="Y639" s="14" t="str">
        <x:v>Chưa bắt đầu</x:v>
      </x:c>
      <x:c r="Z639" s="14" t="str"/>
      <x:c r="AA639" s="14" t="str">
        <x:v>https://thuvienphapluat.vn/van-ban/Giao-thong-Van-tai/Luat-Hang-khong-dan-dung-Viet-Nam-2025-so-130-2025-QH15-687674.aspx</x:v>
      </x:c>
      <x:c r="AB639" s="14" t="str">
        <x:v>phap che; an ninh; an toan; du lieu; giay phep</x:v>
      </x:c>
    </x:row>
    <x:row r="640">
      <x:c r="A640" s="14" t="str">
        <x:v>VATM-0639</x:v>
      </x:c>
      <x:c r="B640" s="14" t="str">
        <x:v>REP-02</x:v>
      </x:c>
      <x:c r="C640" s="14" t="str">
        <x:v>Luật HKDD Việt Nam số 130/2025/QH15</x:v>
      </x:c>
      <x:c r="D640" s="14" t="str">
        <x:v>VATM_Ra_soat_Luat_HKDD_130_2025_QH15_nhiem_vu_01072026.xlsx</x:v>
      </x:c>
      <x:c r="E640" s="14" t="str">
        <x:v>Nhiem_vu_VATM</x:v>
      </x:c>
      <x:c r="F640" s="56" t="n">
        <x:v>61</x:v>
      </x:c>
      <x:c r="G640" s="14" t="str">
        <x:v>Điều 47, 103</x:v>
      </x:c>
      <x:c r="H640" s="14" t="str">
        <x:v>Tuân thủ, pháp chế &amp; quản trị</x:v>
      </x:c>
      <x:c r="I640" s="14" t="str">
        <x:v>Quản trị triển khai, RACI và báo cáo</x:v>
      </x:c>
      <x:c r="J640" s="14" t="str">
        <x:v>Báo cáo quản trị</x:v>
      </x:c>
      <x:c r="K640" s="14" t="str">
        <x:v>Trực tiếp</x:v>
      </x:c>
      <x:c r="L640" s="14" t="str">
        <x:v>Báo cáo/điều tra/khắc phục</x:v>
      </x:c>
      <x:c r="M640" s="14" t="str"/>
      <x:c r="N640" s="14" t="str">
        <x:v>Xây dựng bộ KPI dịch vụ ANS: an toàn, liên tục, điều hòa, hiệu quả, chất lượng dữ liệu, năng lực, tài chính đầu tư.</x:v>
      </x:c>
      <x:c r="O640" s="14" t="str"/>
      <x:c r="P640" s="14" t="str">
        <x:v>KPI dictionary; baseline; phương pháp tính; báo cáo kết quả.; KPI đo được, có nguồn dữ liệu, có mục tiêu cải tiến.; Tránh KPI hình thức; gắn trách nhiệm đơn vị và nguồn dữ liệu.; Tối thiểu 25 KPI cốt lõi, phân nhóm ATM/CNS/MET/AIM/SAR/Safety/Security.</x:v>
      </x:c>
      <x:c r="Q640" s="14" t="str">
        <x:v>KPI dictionary; baseline; phương pháp tính; báo cáo kết quả.; KPI đo được, có nguồn dữ liệu, có mục tiêu cải tiến.; Tránh KPI hình thức; gắn trách nhiệm đơn vị và nguồn dữ liệu.; Tối thiểu 25 KPI cốt lõi, phân nhóm ATM/CNS/MET/AIM/SAR/Safety/Security.</x:v>
      </x:c>
      <x:c r="R640" s="14" t="str"/>
      <x:c r="S640" s="14" t="str">
        <x:v>Văn phòng - Pháp chế; Ban Tài chính; Ban An toàn - Chất lượng</x:v>
      </x:c>
      <x:c r="T640" s="14" t="str">
        <x:v>Văn phòng - Pháp chế</x:v>
      </x:c>
      <x:c r="U640" s="14" t="str">
        <x:v>Các đơn vị nghiệp vụ</x:v>
      </x:c>
      <x:c r="V640" s="14" t="str">
        <x:v>Bắt đầu: 2026; Hoàn thành: 2027</x:v>
      </x:c>
      <x:c r="W640" s="14" t="str">
        <x:v>Cao</x:v>
      </x:c>
      <x:c r="X640" s="14" t="str"/>
      <x:c r="Y640" s="14" t="str">
        <x:v>Chưa bắt đầu</x:v>
      </x:c>
      <x:c r="Z640" s="14" t="str"/>
      <x:c r="AA640" s="14" t="str">
        <x:v>https://thuvienphapluat.vn/van-ban/Giao-thong-Van-tai/Luat-Hang-khong-dan-dung-Viet-Nam-2025-so-130-2025-QH15-687674.aspx</x:v>
      </x:c>
      <x:c r="AB640" s="14" t="str">
        <x:v>phap che; ans; an toan; du lieu; tai chinh</x:v>
      </x:c>
    </x:row>
    <x:row r="641">
      <x:c r="A641" s="14" t="str">
        <x:v>VATM-0640</x:v>
      </x:c>
      <x:c r="B641" s="14" t="str">
        <x:v>CUT-01</x:v>
      </x:c>
      <x:c r="C641" s="14" t="str">
        <x:v>Luật HKDD Việt Nam số 130/2025/QH15</x:v>
      </x:c>
      <x:c r="D641" s="14" t="str">
        <x:v>VATM_Ra_soat_Luat_HKDD_130_2025_QH15_nhiem_vu_01072026.xlsx</x:v>
      </x:c>
      <x:c r="E641" s="14" t="str">
        <x:v>Nhiem_vu_VATM</x:v>
      </x:c>
      <x:c r="F641" s="56" t="n">
        <x:v>62</x:v>
      </x:c>
      <x:c r="G641" s="14" t="str">
        <x:v>Điều 106</x:v>
      </x:c>
      <x:c r="H641" s="14" t="str">
        <x:v>Tuân thủ, pháp chế &amp; quản trị</x:v>
      </x:c>
      <x:c r="I641" s="14" t="str">
        <x:v>Quản trị triển khai, RACI và báo cáo</x:v>
      </x:c>
      <x:c r="J641" s="14" t="str">
        <x:v>Kiểm tra sẵn sàng 01/07</x:v>
      </x:c>
      <x:c r="K641" s="14" t="str">
        <x:v>Trực tiếp</x:v>
      </x:c>
      <x:c r="L641" s="14" t="str">
        <x:v>Quy trình/SOP/biểu mẫu</x:v>
      </x:c>
      <x:c r="M641" s="14" t="str"/>
      <x:c r="N641" s="14" t="str">
        <x:v>Thực hiện kiểm tra sẵn sàng trước ngày hiệu lực: thẩm quyền, quy trình khẩn nguy, giấy phép, đào tạo, thông báo văn bản mới.</x:v>
      </x:c>
      <x:c r="O641" s="14" t="str"/>
      <x:c r="P641" s="14" t="str">
        <x:v>Checklist cutover 01/07/2026; biên bản xác nhận đơn vị.; Không xảy ra khoảng trống áp dụng pháp luật vào ngày hiệu lực.; Ký xác nhận bởi từng đơn vị; issue có owner và deadline.; 01 checklist toàn Tổng công ty; 100% đơn vị trọng yếu phản hồi.</x:v>
      </x:c>
      <x:c r="Q641" s="14" t="str">
        <x:v>Checklist cutover 01/07/2026; biên bản xác nhận đơn vị.; Không xảy ra khoảng trống áp dụng pháp luật vào ngày hiệu lực.; Ký xác nhận bởi từng đơn vị; issue có owner và deadline.; 01 checklist toàn Tổng công ty; 100% đơn vị trọng yếu phản hồi.</x:v>
      </x:c>
      <x:c r="R641" s="14" t="str"/>
      <x:c r="S641" s="14" t="str">
        <x:v>Văn phòng - Pháp chế; Ban An toàn - Chất lượng</x:v>
      </x:c>
      <x:c r="T641" s="14" t="str">
        <x:v>Văn phòng - Pháp chế</x:v>
      </x:c>
      <x:c r="U641" s="14" t="str">
        <x:v>Tất cả đơn vị</x:v>
      </x:c>
      <x:c r="V641" s="14" t="str">
        <x:v>Bắt đầu: 06/2026; Hoàn thành: 01/07/2026</x:v>
      </x:c>
      <x:c r="W641" s="14" t="str">
        <x:v>Rất cao</x:v>
      </x:c>
      <x:c r="X641" s="14" t="str"/>
      <x:c r="Y641" s="14" t="str">
        <x:v>Đang thực hiện</x:v>
      </x:c>
      <x:c r="Z641" s="14" t="str"/>
      <x:c r="AA641" s="14" t="str">
        <x:v>https://thuvienphapluat.vn/van-ban/Giao-thong-Van-tai/Luat-Hang-khong-dan-dung-Viet-Nam-2025-so-130-2025-QH15-687674.aspx</x:v>
      </x:c>
      <x:c r="AB641" s="14" t="str">
        <x:v>phap che; giay phep; an toan</x:v>
      </x:c>
    </x:row>
    <x:row r="642">
      <x:c r="A642" s="14" t="str">
        <x:v>VATM-0641</x:v>
      </x:c>
      <x:c r="B642" s="14" t="str">
        <x:v>CUT-02</x:v>
      </x:c>
      <x:c r="C642" s="14" t="str">
        <x:v>Luật HKDD Việt Nam số 130/2025/QH15</x:v>
      </x:c>
      <x:c r="D642" s="14" t="str">
        <x:v>VATM_Ra_soat_Luat_HKDD_130_2025_QH15_nhiem_vu_01072026.xlsx</x:v>
      </x:c>
      <x:c r="E642" s="14" t="str">
        <x:v>Nhiem_vu_VATM</x:v>
      </x:c>
      <x:c r="F642" s="56" t="n">
        <x:v>63</x:v>
      </x:c>
      <x:c r="G642" s="14" t="str">
        <x:v>Điều 106, 107</x:v>
      </x:c>
      <x:c r="H642" s="14" t="str">
        <x:v>Tuân thủ, pháp chế &amp; quản trị</x:v>
      </x:c>
      <x:c r="I642" s="14" t="str">
        <x:v>Quản trị triển khai, RACI và báo cáo</x:v>
      </x:c>
      <x:c r="J642" s="14" t="str">
        <x:v>Kiểm tra sẵn sàng 01/07</x:v>
      </x:c>
      <x:c r="K642" s="14" t="str">
        <x:v>Trực tiếp</x:v>
      </x:c>
      <x:c r="L642" s="14" t="str">
        <x:v>Báo cáo/điều tra/khắc phục</x:v>
      </x:c>
      <x:c r="M642" s="14" t="str"/>
      <x:c r="N642" s="14" t="str">
        <x:v>Thiết lập kênh hỗ trợ pháp lý-vận hành trong 30 ngày đầu áp dụng Luật mới để xử lý vướng mắc.</x:v>
      </x:c>
      <x:c r="O642" s="14" t="str"/>
      <x:c r="P642" s="14" t="str">
        <x:v>Nhóm hỗ trợ nhanh; log câu hỏi; FAQ cập nhật.; Vướng mắc được trả lời nhất quán, đúng căn cứ, không làm gián đoạn vận hành.; Có phân cấp câu hỏi pháp lý/khai thác/an ninh/an toàn.; Báo cáo tuần trong tháng đầu hiệu lực.</x:v>
      </x:c>
      <x:c r="Q642" s="14" t="str">
        <x:v>Nhóm hỗ trợ nhanh; log câu hỏi; FAQ cập nhật.; Vướng mắc được trả lời nhất quán, đúng căn cứ, không làm gián đoạn vận hành.; Có phân cấp câu hỏi pháp lý/khai thác/an ninh/an toàn.; Báo cáo tuần trong tháng đầu hiệu lực.</x:v>
      </x:c>
      <x:c r="R642" s="14" t="str"/>
      <x:c r="S642" s="14" t="str">
        <x:v>Văn phòng - Pháp chế</x:v>
      </x:c>
      <x:c r="T642" s="14" t="str">
        <x:v>Văn phòng - Pháp chế</x:v>
      </x:c>
      <x:c r="U642" s="14" t="str">
        <x:v>Không lưu, Kỹ thuật, An toàn, An ninh, Tài chính</x:v>
      </x:c>
      <x:c r="V642" s="14" t="str">
        <x:v>Bắt đầu: 01/07/2026; Hoàn thành: 31/07/2026</x:v>
      </x:c>
      <x:c r="W642" s="14" t="str">
        <x:v>Cao</x:v>
      </x:c>
      <x:c r="X642" s="14" t="str"/>
      <x:c r="Y642" s="14" t="str">
        <x:v>Chưa bắt đầu</x:v>
      </x:c>
      <x:c r="Z642" s="14" t="str"/>
      <x:c r="AA642" s="14" t="str">
        <x:v>https://thuvienphapluat.vn/van-ban/Giao-thong-Van-tai/Luat-Hang-khong-dan-dung-Viet-Nam-2025-so-130-2025-QH15-687674.aspx</x:v>
      </x:c>
      <x:c r="AB642" s="14" t="str">
        <x:v>phap che</x:v>
      </x:c>
    </x:row>
  </x:sheetData>
  <x:conditionalFormatting sqref="W2:W642">
    <x:cfRule type="expression" dxfId="6" priority="1">
      <x:formula>OR(W2="P1",W2="Rất cao")</x:formula>
    </x:cfRule>
  </x:conditionalFormatting>
  <x:conditionalFormatting sqref="Y2:Y642">
    <x:cfRule type="expression" dxfId="7" priority="2">
      <x:formula>Y2="Đang thực hiện"</x:formula>
    </x:cfRule>
  </x:conditionalFormatting>
  <x:pageMargins left="0.7" right="0.7" top="0.75" bottom="0.75" header="0.3" footer="0.3"/>
  <x:tableParts count="1">
    <x:tablePart xmlns:r="http://schemas.openxmlformats.org/officeDocument/2006/relationships" r:id="R464cabcfa3c74469"/>
  </x:tableParts>
</x:worksheet>
</file>

<file path=xl/worksheets/sheet3.xml><?xml version="1.0" encoding="utf-8"?>
<x:worksheet xmlns:x="http://schemas.openxmlformats.org/spreadsheetml/2006/main">
  <x:sheetFormatPr defaultRowHeight="15"/>
  <x:cols>
    <x:col min="1" max="1" width="28" hidden="0" customWidth="1"/>
    <x:col min="2" max="2" width="32" hidden="0" customWidth="1"/>
    <x:col min="3" max="3" width="14" hidden="0" customWidth="1"/>
    <x:col min="4" max="4" width="14" hidden="0" customWidth="1"/>
    <x:col min="5" max="5" width="14" hidden="0" customWidth="1"/>
    <x:col min="6" max="6" width="16" hidden="0" customWidth="1"/>
    <x:col min="7" max="7" width="16" hidden="0" customWidth="1"/>
    <x:col min="8" max="8" width="14" hidden="0" customWidth="1"/>
    <x:col min="9" max="9" width="14" hidden="0" customWidth="1"/>
    <x:col min="10" max="10" width="42" hidden="0" customWidth="1"/>
    <x:col min="11" max="11" width="42" hidden="0" customWidth="1"/>
    <x:col min="12" max="12" width="34" hidden="0" customWidth="1"/>
    <x:col min="13" max="13" width="32" hidden="0" customWidth="1"/>
    <x:col min="14" max="14" width="34" hidden="0" customWidth="1"/>
  </x:cols>
  <x:sheetData>
    <x:row r="1">
      <x:c r="A1" s="6" t="str">
        <x:v>Nhóm lĩnh vực</x:v>
      </x:c>
      <x:c r="B1" s="6" t="str">
        <x:v>Tiểu nhóm</x:v>
      </x:c>
      <x:c r="C1" s="6" t="str">
        <x:v>Tổng nhiệm vụ</x:v>
      </x:c>
      <x:c r="D1" s="6" t="str">
        <x:v>Trực tiếp</x:v>
      </x:c>
      <x:c r="E1" s="6" t="str">
        <x:v>P1/Rất cao</x:v>
      </x:c>
      <x:c r="F1" s="6" t="str">
        <x:v>Chưa bắt đầu</x:v>
      </x:c>
      <x:c r="G1" s="6" t="str">
        <x:v>Đang thực hiện</x:v>
      </x:c>
      <x:c r="H1" s="6" t="str">
        <x:v>Hoàn thành</x:v>
      </x:c>
      <x:c r="I1" s="6" t="str">
        <x:v>% hoàn thành</x:v>
      </x:c>
      <x:c r="J1" s="6" t="str">
        <x:v>Đơn vị chủ trì trọng tâm</x:v>
      </x:c>
      <x:c r="K1" s="6" t="str">
        <x:v>Đơn vị phối hợp nội bộ trọng tâm</x:v>
      </x:c>
      <x:c r="L1" s="6" t="str">
        <x:v>Phối hợp ngoài VATM thường gặp</x:v>
      </x:c>
      <x:c r="M1" s="6" t="str">
        <x:v>Hồ sơ/bằng chứng trọng tâm</x:v>
      </x:c>
      <x:c r="N1" s="6" t="str">
        <x:v>Ghi chú đôn đốc</x:v>
      </x:c>
    </x:row>
    <x:row r="2">
      <x:c r="A2" s="12" t="str">
        <x:v>ANS - AIS/AIM/Tin tức HK</x:v>
      </x:c>
      <x:c r="B2" s="12" t="str">
        <x:v>AIP/NOTAM/dữ liệu hàng không</x:v>
      </x:c>
      <x:c r="C2" s="12" t="n">
        <x:f>COUNTIFS('02_Ma_tran_tuan_thu'!$H:$H,$A2,'02_Ma_tran_tuan_thu'!$I:$I,$B2)</x:f>
        <x:v>6</x:v>
      </x:c>
      <x:c r="D2" s="12" t="n">
        <x:f>COUNTIFS('02_Ma_tran_tuan_thu'!$H:$H,$A2,'02_Ma_tran_tuan_thu'!$I:$I,$B2,'02_Ma_tran_tuan_thu'!$K:$K,"Trực tiếp")</x:f>
        <x:v>6</x:v>
      </x:c>
      <x:c r="E2" s="12" t="n">
        <x:f>COUNTIFS('02_Ma_tran_tuan_thu'!$H:$H,$A2,'02_Ma_tran_tuan_thu'!$I:$I,$B2,'02_Ma_tran_tuan_thu'!$W:$W,"P1")+COUNTIFS('02_Ma_tran_tuan_thu'!$H:$H,$A2,'02_Ma_tran_tuan_thu'!$I:$I,$B2,'02_Ma_tran_tuan_thu'!$W:$W,"Rất cao")</x:f>
        <x:v>5</x:v>
      </x:c>
      <x:c r="F2" s="12" t="n">
        <x:f>COUNTIFS('05_Bao_cao_tinh_trang'!$B:$B,$A2,'05_Bao_cao_tinh_trang'!$C:$C,$B2,'05_Bao_cao_tinh_trang'!$H:$H,"Chưa bắt đầu")</x:f>
        <x:v>6</x:v>
      </x:c>
      <x:c r="G2" s="12" t="n">
        <x:f>COUNTIFS('05_Bao_cao_tinh_trang'!$B:$B,$A2,'05_Bao_cao_tinh_trang'!$C:$C,$B2,'05_Bao_cao_tinh_trang'!$H:$H,"Đang thực hiện")</x:f>
        <x:v>0</x:v>
      </x:c>
      <x:c r="H2" s="12" t="n">
        <x:f>COUNTIFS('05_Bao_cao_tinh_trang'!$B:$B,$A2,'05_Bao_cao_tinh_trang'!$C:$C,$B2,'05_Bao_cao_tinh_trang'!$H:$H,"Hoàn thành")</x:f>
        <x:v>0</x:v>
      </x:c>
      <x:c r="I2" s="18" t="n">
        <x:f>IFERROR(SUMIFS('05_Bao_cao_tinh_trang'!$I:$I,'05_Bao_cao_tinh_trang'!$B:$B,$A2,'05_Bao_cao_tinh_trang'!$C:$C,$B2)/COUNTIFS('05_Bao_cao_tinh_trang'!$B:$B,$A2,'05_Bao_cao_tinh_trang'!$C:$C,$B2),0)</x:f>
        <x:v>0</x:v>
      </x:c>
      <x:c r="J2" s="12" t="str">
        <x:v>Trung tâm Thông báo tin tức hàng không</x:v>
      </x:c>
      <x:c r="K2" s="12" t="str">
        <x:v>Các Công ty Quản lý bay khu vực Bắc/Trung/Nam; Trung tâm Thông báo tin tức hàng không</x:v>
      </x:c>
      <x:c r="L2" s="12" t="str">
        <x:v>Cảng vụ, người khai thác cảng, hãng bay, CHKVN</x:v>
      </x:c>
      <x:c r="M2" s="12" t="str">
        <x:v>Quy trình/SOP; Biểu mẫu/Checklist; Quyết định/Kế hoạch</x:v>
      </x:c>
      <x:c r="N2" s="12" t="str">
        <x:v>Theo dõi hàng tuần đối với P1/Rất cao.</x:v>
      </x:c>
    </x:row>
    <x:row r="3">
      <x:c r="A3" s="12" t="str">
        <x:v>ANS - AIS/AIM/Tin tức HK</x:v>
      </x:c>
      <x:c r="B3" s="12" t="str">
        <x:v>Dữ liệu địa hình/chướng ngại và bản đồ</x:v>
      </x:c>
      <x:c r="C3" s="12" t="n">
        <x:f>COUNTIFS('02_Ma_tran_tuan_thu'!$H:$H,$A3,'02_Ma_tran_tuan_thu'!$I:$I,$B3)</x:f>
        <x:v>6</x:v>
      </x:c>
      <x:c r="D3" s="12" t="n">
        <x:f>COUNTIFS('02_Ma_tran_tuan_thu'!$H:$H,$A3,'02_Ma_tran_tuan_thu'!$I:$I,$B3,'02_Ma_tran_tuan_thu'!$K:$K,"Trực tiếp")</x:f>
        <x:v>6</x:v>
      </x:c>
      <x:c r="E3" s="12" t="n">
        <x:f>COUNTIFS('02_Ma_tran_tuan_thu'!$H:$H,$A3,'02_Ma_tran_tuan_thu'!$I:$I,$B3,'02_Ma_tran_tuan_thu'!$W:$W,"P1")+COUNTIFS('02_Ma_tran_tuan_thu'!$H:$H,$A3,'02_Ma_tran_tuan_thu'!$I:$I,$B3,'02_Ma_tran_tuan_thu'!$W:$W,"Rất cao")</x:f>
        <x:v>5</x:v>
      </x:c>
      <x:c r="F3" s="12" t="n">
        <x:f>COUNTIFS('05_Bao_cao_tinh_trang'!$B:$B,$A3,'05_Bao_cao_tinh_trang'!$C:$C,$B3,'05_Bao_cao_tinh_trang'!$H:$H,"Chưa bắt đầu")</x:f>
        <x:v>6</x:v>
      </x:c>
      <x:c r="G3" s="12" t="n">
        <x:f>COUNTIFS('05_Bao_cao_tinh_trang'!$B:$B,$A3,'05_Bao_cao_tinh_trang'!$C:$C,$B3,'05_Bao_cao_tinh_trang'!$H:$H,"Đang thực hiện")</x:f>
        <x:v>0</x:v>
      </x:c>
      <x:c r="H3" s="12" t="n">
        <x:f>COUNTIFS('05_Bao_cao_tinh_trang'!$B:$B,$A3,'05_Bao_cao_tinh_trang'!$C:$C,$B3,'05_Bao_cao_tinh_trang'!$H:$H,"Hoàn thành")</x:f>
        <x:v>0</x:v>
      </x:c>
      <x:c r="I3" s="18" t="n">
        <x:f>IFERROR(SUMIFS('05_Bao_cao_tinh_trang'!$I:$I,'05_Bao_cao_tinh_trang'!$B:$B,$A3,'05_Bao_cao_tinh_trang'!$C:$C,$B3)/COUNTIFS('05_Bao_cao_tinh_trang'!$B:$B,$A3,'05_Bao_cao_tinh_trang'!$C:$C,$B3),0)</x:f>
        <x:v>0</x:v>
      </x:c>
      <x:c r="J3" s="12" t="str">
        <x:v>Trung tâm Thông báo tin tức hàng không; Ban Không lưu; Các Công ty Quản lý bay khu vực Bắc/Trung/Nam</x:v>
      </x:c>
      <x:c r="K3" s="12" t="str">
        <x:v>Các Công ty Quản lý bay khu vực Bắc/Trung/Nam; Trung tâm Thông báo tin tức hàng không</x:v>
      </x:c>
      <x:c r="L3" s="12" t="str"/>
      <x:c r="M3" s="12" t="str">
        <x:v>Quy trình/SOP; Quyết định/Kế hoạch; Biểu mẫu/Checklist</x:v>
      </x:c>
      <x:c r="N3" s="12" t="str">
        <x:v>Theo dõi hàng tuần đối với P1/Rất cao.</x:v>
      </x:c>
    </x:row>
    <x:row r="4">
      <x:c r="A4" s="12" t="str">
        <x:v>ANS - AIS/AIM/Tin tức HK</x:v>
      </x:c>
      <x:c r="B4" s="12" t="str">
        <x:v>Phương thức bay, sơ đồ và công bố AIS</x:v>
      </x:c>
      <x:c r="C4" s="12" t="n">
        <x:f>COUNTIFS('02_Ma_tran_tuan_thu'!$H:$H,$A4,'02_Ma_tran_tuan_thu'!$I:$I,$B4)</x:f>
        <x:v>2</x:v>
      </x:c>
      <x:c r="D4" s="12" t="n">
        <x:f>COUNTIFS('02_Ma_tran_tuan_thu'!$H:$H,$A4,'02_Ma_tran_tuan_thu'!$I:$I,$B4,'02_Ma_tran_tuan_thu'!$K:$K,"Trực tiếp")</x:f>
        <x:v>2</x:v>
      </x:c>
      <x:c r="E4" s="12" t="n">
        <x:f>COUNTIFS('02_Ma_tran_tuan_thu'!$H:$H,$A4,'02_Ma_tran_tuan_thu'!$I:$I,$B4,'02_Ma_tran_tuan_thu'!$W:$W,"P1")+COUNTIFS('02_Ma_tran_tuan_thu'!$H:$H,$A4,'02_Ma_tran_tuan_thu'!$I:$I,$B4,'02_Ma_tran_tuan_thu'!$W:$W,"Rất cao")</x:f>
        <x:v>2</x:v>
      </x:c>
      <x:c r="F4" s="12" t="n">
        <x:f>COUNTIFS('05_Bao_cao_tinh_trang'!$B:$B,$A4,'05_Bao_cao_tinh_trang'!$C:$C,$B4,'05_Bao_cao_tinh_trang'!$H:$H,"Chưa bắt đầu")</x:f>
        <x:v>2</x:v>
      </x:c>
      <x:c r="G4" s="12" t="n">
        <x:f>COUNTIFS('05_Bao_cao_tinh_trang'!$B:$B,$A4,'05_Bao_cao_tinh_trang'!$C:$C,$B4,'05_Bao_cao_tinh_trang'!$H:$H,"Đang thực hiện")</x:f>
        <x:v>0</x:v>
      </x:c>
      <x:c r="H4" s="12" t="n">
        <x:f>COUNTIFS('05_Bao_cao_tinh_trang'!$B:$B,$A4,'05_Bao_cao_tinh_trang'!$C:$C,$B4,'05_Bao_cao_tinh_trang'!$H:$H,"Hoàn thành")</x:f>
        <x:v>0</x:v>
      </x:c>
      <x:c r="I4" s="18" t="n">
        <x:f>IFERROR(SUMIFS('05_Bao_cao_tinh_trang'!$I:$I,'05_Bao_cao_tinh_trang'!$B:$B,$A4,'05_Bao_cao_tinh_trang'!$C:$C,$B4)/COUNTIFS('05_Bao_cao_tinh_trang'!$B:$B,$A4,'05_Bao_cao_tinh_trang'!$C:$C,$B4),0)</x:f>
        <x:v>0</x:v>
      </x:c>
      <x:c r="J4" s="12" t="str">
        <x:v>Trung tâm Thông báo tin tức hàng không; Ban Không lưu</x:v>
      </x:c>
      <x:c r="K4" s="12" t="str">
        <x:v>Các Công ty Quản lý bay khu vực Bắc/Trung/Nam; Trung tâm Thông báo tin tức hàng không</x:v>
      </x:c>
      <x:c r="L4" s="12" t="str"/>
      <x:c r="M4" s="12" t="str">
        <x:v>Quy trình/SOP; Quyết định/Kế hoạch</x:v>
      </x:c>
      <x:c r="N4" s="12" t="str">
        <x:v>Theo dõi hàng tuần đối với P1/Rất cao.</x:v>
      </x:c>
    </x:row>
    <x:row r="5">
      <x:c r="A5" s="12" t="str">
        <x:v>ANS - ATM/ATS/ATFM</x:v>
      </x:c>
      <x:c r="B5" s="12" t="str">
        <x:v>ATFM, năng lực và điều phối luồng</x:v>
      </x:c>
      <x:c r="C5" s="12" t="n">
        <x:f>COUNTIFS('02_Ma_tran_tuan_thu'!$H:$H,$A5,'02_Ma_tran_tuan_thu'!$I:$I,$B5)</x:f>
        <x:v>6</x:v>
      </x:c>
      <x:c r="D5" s="12" t="n">
        <x:f>COUNTIFS('02_Ma_tran_tuan_thu'!$H:$H,$A5,'02_Ma_tran_tuan_thu'!$I:$I,$B5,'02_Ma_tran_tuan_thu'!$K:$K,"Trực tiếp")</x:f>
        <x:v>6</x:v>
      </x:c>
      <x:c r="E5" s="12" t="n">
        <x:f>COUNTIFS('02_Ma_tran_tuan_thu'!$H:$H,$A5,'02_Ma_tran_tuan_thu'!$I:$I,$B5,'02_Ma_tran_tuan_thu'!$W:$W,"P1")+COUNTIFS('02_Ma_tran_tuan_thu'!$H:$H,$A5,'02_Ma_tran_tuan_thu'!$I:$I,$B5,'02_Ma_tran_tuan_thu'!$W:$W,"Rất cao")</x:f>
        <x:v>3</x:v>
      </x:c>
      <x:c r="F5" s="12" t="n">
        <x:f>COUNTIFS('05_Bao_cao_tinh_trang'!$B:$B,$A5,'05_Bao_cao_tinh_trang'!$C:$C,$B5,'05_Bao_cao_tinh_trang'!$H:$H,"Chưa bắt đầu")</x:f>
        <x:v>6</x:v>
      </x:c>
      <x:c r="G5" s="12" t="n">
        <x:f>COUNTIFS('05_Bao_cao_tinh_trang'!$B:$B,$A5,'05_Bao_cao_tinh_trang'!$C:$C,$B5,'05_Bao_cao_tinh_trang'!$H:$H,"Đang thực hiện")</x:f>
        <x:v>0</x:v>
      </x:c>
      <x:c r="H5" s="12" t="n">
        <x:f>COUNTIFS('05_Bao_cao_tinh_trang'!$B:$B,$A5,'05_Bao_cao_tinh_trang'!$C:$C,$B5,'05_Bao_cao_tinh_trang'!$H:$H,"Hoàn thành")</x:f>
        <x:v>0</x:v>
      </x:c>
      <x:c r="I5" s="18" t="n">
        <x:f>IFERROR(SUMIFS('05_Bao_cao_tinh_trang'!$I:$I,'05_Bao_cao_tinh_trang'!$B:$B,$A5,'05_Bao_cao_tinh_trang'!$C:$C,$B5)/COUNTIFS('05_Bao_cao_tinh_trang'!$B:$B,$A5,'05_Bao_cao_tinh_trang'!$C:$C,$B5),0)</x:f>
        <x:v>0</x:v>
      </x:c>
      <x:c r="J5" s="12" t="str">
        <x:v>Trung tâm Quản lý luồng không lưu; Ban Không lưu</x:v>
      </x:c>
      <x:c r="K5" s="12" t="str">
        <x:v>Các Công ty Quản lý bay khu vực Bắc/Trung/Nam; Trung tâm Quản lý luồng không lưu; Ban Không lưu</x:v>
      </x:c>
      <x:c r="L5" s="12" t="str">
        <x:v>CAAV, hãng bay, cảng hàng không, quân đội</x:v>
      </x:c>
      <x:c r="M5" s="12" t="str">
        <x:v>Quy trình/SOP; Báo cáo; Biểu mẫu/Checklist</x:v>
      </x:c>
      <x:c r="N5" s="12" t="str">
        <x:v>Theo dõi hàng tuần đối với P1/Rất cao.</x:v>
      </x:c>
    </x:row>
    <x:row r="6">
      <x:c r="A6" s="12" t="str">
        <x:v>ANS - ATM/ATS/ATFM</x:v>
      </x:c>
      <x:c r="B6" s="12" t="str">
        <x:v>Cung cấp ATS/điều hành bay</x:v>
      </x:c>
      <x:c r="C6" s="12" t="n">
        <x:f>COUNTIFS('02_Ma_tran_tuan_thu'!$H:$H,$A6,'02_Ma_tran_tuan_thu'!$I:$I,$B6)</x:f>
        <x:v>14</x:v>
      </x:c>
      <x:c r="D6" s="12" t="n">
        <x:f>COUNTIFS('02_Ma_tran_tuan_thu'!$H:$H,$A6,'02_Ma_tran_tuan_thu'!$I:$I,$B6,'02_Ma_tran_tuan_thu'!$K:$K,"Trực tiếp")</x:f>
        <x:v>14</x:v>
      </x:c>
      <x:c r="E6" s="12" t="n">
        <x:f>COUNTIFS('02_Ma_tran_tuan_thu'!$H:$H,$A6,'02_Ma_tran_tuan_thu'!$I:$I,$B6,'02_Ma_tran_tuan_thu'!$W:$W,"P1")+COUNTIFS('02_Ma_tran_tuan_thu'!$H:$H,$A6,'02_Ma_tran_tuan_thu'!$I:$I,$B6,'02_Ma_tran_tuan_thu'!$W:$W,"Rất cao")</x:f>
        <x:v>9</x:v>
      </x:c>
      <x:c r="F6" s="12" t="n">
        <x:f>COUNTIFS('05_Bao_cao_tinh_trang'!$B:$B,$A6,'05_Bao_cao_tinh_trang'!$C:$C,$B6,'05_Bao_cao_tinh_trang'!$H:$H,"Chưa bắt đầu")</x:f>
        <x:v>14</x:v>
      </x:c>
      <x:c r="G6" s="12" t="n">
        <x:f>COUNTIFS('05_Bao_cao_tinh_trang'!$B:$B,$A6,'05_Bao_cao_tinh_trang'!$C:$C,$B6,'05_Bao_cao_tinh_trang'!$H:$H,"Đang thực hiện")</x:f>
        <x:v>0</x:v>
      </x:c>
      <x:c r="H6" s="12" t="n">
        <x:f>COUNTIFS('05_Bao_cao_tinh_trang'!$B:$B,$A6,'05_Bao_cao_tinh_trang'!$C:$C,$B6,'05_Bao_cao_tinh_trang'!$H:$H,"Hoàn thành")</x:f>
        <x:v>0</x:v>
      </x:c>
      <x:c r="I6" s="18" t="n">
        <x:f>IFERROR(SUMIFS('05_Bao_cao_tinh_trang'!$I:$I,'05_Bao_cao_tinh_trang'!$B:$B,$A6,'05_Bao_cao_tinh_trang'!$C:$C,$B6)/COUNTIFS('05_Bao_cao_tinh_trang'!$B:$B,$A6,'05_Bao_cao_tinh_trang'!$C:$C,$B6),0)</x:f>
        <x:v>0</x:v>
      </x:c>
      <x:c r="J6" s="12" t="str">
        <x:v>Ban Không lưu; Trung tâm Quản lý luồng không lưu</x:v>
      </x:c>
      <x:c r="K6" s="12" t="str">
        <x:v>Các Công ty Quản lý bay khu vực Bắc/Trung/Nam; Ban Không lưu</x:v>
      </x:c>
      <x:c r="L6" s="12" t="str">
        <x:v>Quân đội, Công an, CAAV, ANSP lân cận</x:v>
      </x:c>
      <x:c r="M6" s="12" t="str">
        <x:v>Quy trình/SOP; Biểu mẫu/Checklist; Khác</x:v>
      </x:c>
      <x:c r="N6" s="12" t="str">
        <x:v>Theo dõi hàng tuần đối với P1/Rất cao.</x:v>
      </x:c>
    </x:row>
    <x:row r="7">
      <x:c r="A7" s="12" t="str">
        <x:v>ANS - ATM/ATS/ATFM</x:v>
      </x:c>
      <x:c r="B7" s="12" t="str">
        <x:v>Cấp phép bay, FPL và xử lý hồ sơ bay</x:v>
      </x:c>
      <x:c r="C7" s="12" t="n">
        <x:f>COUNTIFS('02_Ma_tran_tuan_thu'!$H:$H,$A7,'02_Ma_tran_tuan_thu'!$I:$I,$B7)</x:f>
        <x:v>5</x:v>
      </x:c>
      <x:c r="D7" s="12" t="n">
        <x:f>COUNTIFS('02_Ma_tran_tuan_thu'!$H:$H,$A7,'02_Ma_tran_tuan_thu'!$I:$I,$B7,'02_Ma_tran_tuan_thu'!$K:$K,"Trực tiếp")</x:f>
        <x:v>5</x:v>
      </x:c>
      <x:c r="E7" s="12" t="n">
        <x:f>COUNTIFS('02_Ma_tran_tuan_thu'!$H:$H,$A7,'02_Ma_tran_tuan_thu'!$I:$I,$B7,'02_Ma_tran_tuan_thu'!$W:$W,"P1")+COUNTIFS('02_Ma_tran_tuan_thu'!$H:$H,$A7,'02_Ma_tran_tuan_thu'!$I:$I,$B7,'02_Ma_tran_tuan_thu'!$W:$W,"Rất cao")</x:f>
        <x:v>4</x:v>
      </x:c>
      <x:c r="F7" s="12" t="n">
        <x:f>COUNTIFS('05_Bao_cao_tinh_trang'!$B:$B,$A7,'05_Bao_cao_tinh_trang'!$C:$C,$B7,'05_Bao_cao_tinh_trang'!$H:$H,"Chưa bắt đầu")</x:f>
        <x:v>5</x:v>
      </x:c>
      <x:c r="G7" s="12" t="n">
        <x:f>COUNTIFS('05_Bao_cao_tinh_trang'!$B:$B,$A7,'05_Bao_cao_tinh_trang'!$C:$C,$B7,'05_Bao_cao_tinh_trang'!$H:$H,"Đang thực hiện")</x:f>
        <x:v>0</x:v>
      </x:c>
      <x:c r="H7" s="12" t="n">
        <x:f>COUNTIFS('05_Bao_cao_tinh_trang'!$B:$B,$A7,'05_Bao_cao_tinh_trang'!$C:$C,$B7,'05_Bao_cao_tinh_trang'!$H:$H,"Hoàn thành")</x:f>
        <x:v>0</x:v>
      </x:c>
      <x:c r="I7" s="18" t="n">
        <x:f>IFERROR(SUMIFS('05_Bao_cao_tinh_trang'!$I:$I,'05_Bao_cao_tinh_trang'!$B:$B,$A7,'05_Bao_cao_tinh_trang'!$C:$C,$B7)/COUNTIFS('05_Bao_cao_tinh_trang'!$B:$B,$A7,'05_Bao_cao_tinh_trang'!$C:$C,$B7),0)</x:f>
        <x:v>0</x:v>
      </x:c>
      <x:c r="J7" s="12" t="str">
        <x:v>Ban Không lưu; Trung tâm Quản lý luồng không lưu</x:v>
      </x:c>
      <x:c r="K7" s="12" t="str">
        <x:v>Các Công ty Quản lý bay khu vực Bắc/Trung/Nam; Ban Tài chính; Ban Không lưu</x:v>
      </x:c>
      <x:c r="L7" s="12" t="str"/>
      <x:c r="M7" s="12" t="str">
        <x:v>Quy trình/SOP; Biểu mẫu/Checklist</x:v>
      </x:c>
      <x:c r="N7" s="12" t="str">
        <x:v>Theo dõi hàng tuần đối với P1/Rất cao.</x:v>
      </x:c>
    </x:row>
    <x:row r="8">
      <x:c r="A8" s="12" t="str">
        <x:v>ANS - ATM/ATS/ATFM</x:v>
      </x:c>
      <x:c r="B8" s="12" t="str">
        <x:v>Phối hợp ATS với cảng/sân bay</x:v>
      </x:c>
      <x:c r="C8" s="12" t="n">
        <x:f>COUNTIFS('02_Ma_tran_tuan_thu'!$H:$H,$A8,'02_Ma_tran_tuan_thu'!$I:$I,$B8)</x:f>
        <x:v>3</x:v>
      </x:c>
      <x:c r="D8" s="12" t="n">
        <x:f>COUNTIFS('02_Ma_tran_tuan_thu'!$H:$H,$A8,'02_Ma_tran_tuan_thu'!$I:$I,$B8,'02_Ma_tran_tuan_thu'!$K:$K,"Trực tiếp")</x:f>
        <x:v>3</x:v>
      </x:c>
      <x:c r="E8" s="12" t="n">
        <x:f>COUNTIFS('02_Ma_tran_tuan_thu'!$H:$H,$A8,'02_Ma_tran_tuan_thu'!$I:$I,$B8,'02_Ma_tran_tuan_thu'!$W:$W,"P1")+COUNTIFS('02_Ma_tran_tuan_thu'!$H:$H,$A8,'02_Ma_tran_tuan_thu'!$I:$I,$B8,'02_Ma_tran_tuan_thu'!$W:$W,"Rất cao")</x:f>
        <x:v>3</x:v>
      </x:c>
      <x:c r="F8" s="12" t="n">
        <x:f>COUNTIFS('05_Bao_cao_tinh_trang'!$B:$B,$A8,'05_Bao_cao_tinh_trang'!$C:$C,$B8,'05_Bao_cao_tinh_trang'!$H:$H,"Chưa bắt đầu")</x:f>
        <x:v>3</x:v>
      </x:c>
      <x:c r="G8" s="12" t="n">
        <x:f>COUNTIFS('05_Bao_cao_tinh_trang'!$B:$B,$A8,'05_Bao_cao_tinh_trang'!$C:$C,$B8,'05_Bao_cao_tinh_trang'!$H:$H,"Đang thực hiện")</x:f>
        <x:v>0</x:v>
      </x:c>
      <x:c r="H8" s="12" t="n">
        <x:f>COUNTIFS('05_Bao_cao_tinh_trang'!$B:$B,$A8,'05_Bao_cao_tinh_trang'!$C:$C,$B8,'05_Bao_cao_tinh_trang'!$H:$H,"Hoàn thành")</x:f>
        <x:v>0</x:v>
      </x:c>
      <x:c r="I8" s="18" t="n">
        <x:f>IFERROR(SUMIFS('05_Bao_cao_tinh_trang'!$I:$I,'05_Bao_cao_tinh_trang'!$B:$B,$A8,'05_Bao_cao_tinh_trang'!$C:$C,$B8)/COUNTIFS('05_Bao_cao_tinh_trang'!$B:$B,$A8,'05_Bao_cao_tinh_trang'!$C:$C,$B8),0)</x:f>
        <x:v>0</x:v>
      </x:c>
      <x:c r="J8" s="12" t="str">
        <x:v>Ban Không lưu</x:v>
      </x:c>
      <x:c r="K8" s="12" t="str">
        <x:v>Các Công ty Quản lý bay khu vực Bắc/Trung/Nam; Ban Không lưu</x:v>
      </x:c>
      <x:c r="L8" s="12" t="str">
        <x:v>Cảng vụ, người khai thác cảng, hãng bay, CHKVN</x:v>
      </x:c>
      <x:c r="M8" s="12" t="str">
        <x:v>Quy trình/SOP</x:v>
      </x:c>
      <x:c r="N8" s="12" t="str">
        <x:v>Theo dõi hàng tuần đối với P1/Rất cao.</x:v>
      </x:c>
    </x:row>
    <x:row r="9">
      <x:c r="A9" s="12" t="str">
        <x:v>ANS - ATM/ATS/ATFM</x:v>
      </x:c>
      <x:c r="B9" s="12" t="str">
        <x:v>Vùng trời, phương thức bay và ASM</x:v>
      </x:c>
      <x:c r="C9" s="12" t="n">
        <x:f>COUNTIFS('02_Ma_tran_tuan_thu'!$H:$H,$A9,'02_Ma_tran_tuan_thu'!$I:$I,$B9)</x:f>
        <x:v>1</x:v>
      </x:c>
      <x:c r="D9" s="12" t="n">
        <x:f>COUNTIFS('02_Ma_tran_tuan_thu'!$H:$H,$A9,'02_Ma_tran_tuan_thu'!$I:$I,$B9,'02_Ma_tran_tuan_thu'!$K:$K,"Trực tiếp")</x:f>
        <x:v>1</x:v>
      </x:c>
      <x:c r="E9" s="12" t="n">
        <x:f>COUNTIFS('02_Ma_tran_tuan_thu'!$H:$H,$A9,'02_Ma_tran_tuan_thu'!$I:$I,$B9,'02_Ma_tran_tuan_thu'!$W:$W,"P1")+COUNTIFS('02_Ma_tran_tuan_thu'!$H:$H,$A9,'02_Ma_tran_tuan_thu'!$I:$I,$B9,'02_Ma_tran_tuan_thu'!$W:$W,"Rất cao")</x:f>
        <x:v>1</x:v>
      </x:c>
      <x:c r="F9" s="12" t="n">
        <x:f>COUNTIFS('05_Bao_cao_tinh_trang'!$B:$B,$A9,'05_Bao_cao_tinh_trang'!$C:$C,$B9,'05_Bao_cao_tinh_trang'!$H:$H,"Chưa bắt đầu")</x:f>
        <x:v>1</x:v>
      </x:c>
      <x:c r="G9" s="12" t="n">
        <x:f>COUNTIFS('05_Bao_cao_tinh_trang'!$B:$B,$A9,'05_Bao_cao_tinh_trang'!$C:$C,$B9,'05_Bao_cao_tinh_trang'!$H:$H,"Đang thực hiện")</x:f>
        <x:v>0</x:v>
      </x:c>
      <x:c r="H9" s="12" t="n">
        <x:f>COUNTIFS('05_Bao_cao_tinh_trang'!$B:$B,$A9,'05_Bao_cao_tinh_trang'!$C:$C,$B9,'05_Bao_cao_tinh_trang'!$H:$H,"Hoàn thành")</x:f>
        <x:v>0</x:v>
      </x:c>
      <x:c r="I9" s="18" t="n">
        <x:f>IFERROR(SUMIFS('05_Bao_cao_tinh_trang'!$I:$I,'05_Bao_cao_tinh_trang'!$B:$B,$A9,'05_Bao_cao_tinh_trang'!$C:$C,$B9)/COUNTIFS('05_Bao_cao_tinh_trang'!$B:$B,$A9,'05_Bao_cao_tinh_trang'!$C:$C,$B9),0)</x:f>
        <x:v>0</x:v>
      </x:c>
      <x:c r="J9" s="12" t="str">
        <x:v>Ban Không lưu</x:v>
      </x:c>
      <x:c r="K9" s="12" t="str">
        <x:v>Các Công ty Quản lý bay khu vực Bắc/Trung/Nam; Ban Không lưu</x:v>
      </x:c>
      <x:c r="L9" s="12" t="str">
        <x:v>CAAV, AIM, CNS, cảng hàng không</x:v>
      </x:c>
      <x:c r="M9" s="12" t="str">
        <x:v>Dữ liệu hệ thống</x:v>
      </x:c>
      <x:c r="N9" s="12" t="str">
        <x:v>Theo dõi hàng tuần đối với P1/Rất cao.</x:v>
      </x:c>
    </x:row>
    <x:row r="10">
      <x:c r="A10" s="12" t="str">
        <x:v>ANS - CNS/IT/Kỹ thuật</x:v>
      </x:c>
      <x:c r="B10" s="12" t="str">
        <x:v>CNS, trang thiết bị và bảo trì kỹ thuật</x:v>
      </x:c>
      <x:c r="C10" s="12" t="n">
        <x:f>COUNTIFS('02_Ma_tran_tuan_thu'!$H:$H,$A10,'02_Ma_tran_tuan_thu'!$I:$I,$B10)</x:f>
        <x:v>8</x:v>
      </x:c>
      <x:c r="D10" s="12" t="n">
        <x:f>COUNTIFS('02_Ma_tran_tuan_thu'!$H:$H,$A10,'02_Ma_tran_tuan_thu'!$I:$I,$B10,'02_Ma_tran_tuan_thu'!$K:$K,"Trực tiếp")</x:f>
        <x:v>8</x:v>
      </x:c>
      <x:c r="E10" s="12" t="n">
        <x:f>COUNTIFS('02_Ma_tran_tuan_thu'!$H:$H,$A10,'02_Ma_tran_tuan_thu'!$I:$I,$B10,'02_Ma_tran_tuan_thu'!$W:$W,"P1")+COUNTIFS('02_Ma_tran_tuan_thu'!$H:$H,$A10,'02_Ma_tran_tuan_thu'!$I:$I,$B10,'02_Ma_tran_tuan_thu'!$W:$W,"Rất cao")</x:f>
        <x:v>6</x:v>
      </x:c>
      <x:c r="F10" s="12" t="n">
        <x:f>COUNTIFS('05_Bao_cao_tinh_trang'!$B:$B,$A10,'05_Bao_cao_tinh_trang'!$C:$C,$B10,'05_Bao_cao_tinh_trang'!$H:$H,"Chưa bắt đầu")</x:f>
        <x:v>8</x:v>
      </x:c>
      <x:c r="G10" s="12" t="n">
        <x:f>COUNTIFS('05_Bao_cao_tinh_trang'!$B:$B,$A10,'05_Bao_cao_tinh_trang'!$C:$C,$B10,'05_Bao_cao_tinh_trang'!$H:$H,"Đang thực hiện")</x:f>
        <x:v>0</x:v>
      </x:c>
      <x:c r="H10" s="12" t="n">
        <x:f>COUNTIFS('05_Bao_cao_tinh_trang'!$B:$B,$A10,'05_Bao_cao_tinh_trang'!$C:$C,$B10,'05_Bao_cao_tinh_trang'!$H:$H,"Hoàn thành")</x:f>
        <x:v>0</x:v>
      </x:c>
      <x:c r="I10" s="18" t="n">
        <x:f>IFERROR(SUMIFS('05_Bao_cao_tinh_trang'!$I:$I,'05_Bao_cao_tinh_trang'!$B:$B,$A10,'05_Bao_cao_tinh_trang'!$C:$C,$B10)/COUNTIFS('05_Bao_cao_tinh_trang'!$B:$B,$A10,'05_Bao_cao_tinh_trang'!$C:$C,$B10),0)</x:f>
        <x:v>0</x:v>
      </x:c>
      <x:c r="J10" s="12" t="str">
        <x:v>Ban Kỹ thuật - CNS/IT/Môi trường</x:v>
      </x:c>
      <x:c r="K10" s="12" t="str">
        <x:v>Các Công ty Quản lý bay khu vực Bắc/Trung/Nam; Ban Kỹ thuật - CNS/IT/Môi trường</x:v>
      </x:c>
      <x:c r="L10" s="12" t="str">
        <x:v>Cảng vụ, người khai thác cảng, hãng bay, CHKVN</x:v>
      </x:c>
      <x:c r="M10" s="12" t="str">
        <x:v>Quy trình/SOP; Quyết định/Kế hoạch; Hồ sơ phê duyệt</x:v>
      </x:c>
      <x:c r="N10" s="12" t="str">
        <x:v>Theo dõi hàng tuần đối với P1/Rất cao.</x:v>
      </x:c>
    </x:row>
    <x:row r="11">
      <x:c r="A11" s="12" t="str">
        <x:v>ANS - MET/Khí tượng hàng không</x:v>
      </x:c>
      <x:c r="B11" s="12" t="str">
        <x:v>Quan trắc, dự báo và cảnh báo MET</x:v>
      </x:c>
      <x:c r="C11" s="12" t="n">
        <x:f>COUNTIFS('02_Ma_tran_tuan_thu'!$H:$H,$A11,'02_Ma_tran_tuan_thu'!$I:$I,$B11)</x:f>
        <x:v>4</x:v>
      </x:c>
      <x:c r="D11" s="12" t="n">
        <x:f>COUNTIFS('02_Ma_tran_tuan_thu'!$H:$H,$A11,'02_Ma_tran_tuan_thu'!$I:$I,$B11,'02_Ma_tran_tuan_thu'!$K:$K,"Trực tiếp")</x:f>
        <x:v>4</x:v>
      </x:c>
      <x:c r="E11" s="12" t="n">
        <x:f>COUNTIFS('02_Ma_tran_tuan_thu'!$H:$H,$A11,'02_Ma_tran_tuan_thu'!$I:$I,$B11,'02_Ma_tran_tuan_thu'!$W:$W,"P1")+COUNTIFS('02_Ma_tran_tuan_thu'!$H:$H,$A11,'02_Ma_tran_tuan_thu'!$I:$I,$B11,'02_Ma_tran_tuan_thu'!$W:$W,"Rất cao")</x:f>
        <x:v>1</x:v>
      </x:c>
      <x:c r="F11" s="12" t="n">
        <x:f>COUNTIFS('05_Bao_cao_tinh_trang'!$B:$B,$A11,'05_Bao_cao_tinh_trang'!$C:$C,$B11,'05_Bao_cao_tinh_trang'!$H:$H,"Chưa bắt đầu")</x:f>
        <x:v>4</x:v>
      </x:c>
      <x:c r="G11" s="12" t="n">
        <x:f>COUNTIFS('05_Bao_cao_tinh_trang'!$B:$B,$A11,'05_Bao_cao_tinh_trang'!$C:$C,$B11,'05_Bao_cao_tinh_trang'!$H:$H,"Đang thực hiện")</x:f>
        <x:v>0</x:v>
      </x:c>
      <x:c r="H11" s="12" t="n">
        <x:f>COUNTIFS('05_Bao_cao_tinh_trang'!$B:$B,$A11,'05_Bao_cao_tinh_trang'!$C:$C,$B11,'05_Bao_cao_tinh_trang'!$H:$H,"Hoàn thành")</x:f>
        <x:v>0</x:v>
      </x:c>
      <x:c r="I11" s="18" t="n">
        <x:f>IFERROR(SUMIFS('05_Bao_cao_tinh_trang'!$I:$I,'05_Bao_cao_tinh_trang'!$B:$B,$A11,'05_Bao_cao_tinh_trang'!$C:$C,$B11)/COUNTIFS('05_Bao_cao_tinh_trang'!$B:$B,$A11,'05_Bao_cao_tinh_trang'!$C:$C,$B11),0)</x:f>
        <x:v>0</x:v>
      </x:c>
      <x:c r="J11" s="12" t="str">
        <x:v>Trung tâm Khí tượng hàng không</x:v>
      </x:c>
      <x:c r="K11" s="12" t="str">
        <x:v>Các Công ty Quản lý bay khu vực Bắc/Trung/Nam; Trung tâm Khí tượng hàng không</x:v>
      </x:c>
      <x:c r="L11" s="12" t="str">
        <x:v>Cảng vụ, người khai thác cảng, hãng bay, CHKVN</x:v>
      </x:c>
      <x:c r="M11" s="12" t="str">
        <x:v>Quy trình/SOP</x:v>
      </x:c>
      <x:c r="N11" s="12" t="str">
        <x:v>Theo dõi hàng tuần đối với P1/Rất cao.</x:v>
      </x:c>
    </x:row>
    <x:row r="12">
      <x:c r="A12" s="12" t="str">
        <x:v>ANS - Tìm kiếm cứu nạn &amp; khẩn nguy</x:v>
      </x:c>
      <x:c r="B12" s="12" t="str">
        <x:v>SAR, khẩn nguy và hiệp đồng</x:v>
      </x:c>
      <x:c r="C12" s="12" t="n">
        <x:f>COUNTIFS('02_Ma_tran_tuan_thu'!$H:$H,$A12,'02_Ma_tran_tuan_thu'!$I:$I,$B12)</x:f>
        <x:v>7</x:v>
      </x:c>
      <x:c r="D12" s="12" t="n">
        <x:f>COUNTIFS('02_Ma_tran_tuan_thu'!$H:$H,$A12,'02_Ma_tran_tuan_thu'!$I:$I,$B12,'02_Ma_tran_tuan_thu'!$K:$K,"Trực tiếp")</x:f>
        <x:v>7</x:v>
      </x:c>
      <x:c r="E12" s="12" t="n">
        <x:f>COUNTIFS('02_Ma_tran_tuan_thu'!$H:$H,$A12,'02_Ma_tran_tuan_thu'!$I:$I,$B12,'02_Ma_tran_tuan_thu'!$W:$W,"P1")+COUNTIFS('02_Ma_tran_tuan_thu'!$H:$H,$A12,'02_Ma_tran_tuan_thu'!$I:$I,$B12,'02_Ma_tran_tuan_thu'!$W:$W,"Rất cao")</x:f>
        <x:v>3</x:v>
      </x:c>
      <x:c r="F12" s="12" t="n">
        <x:f>COUNTIFS('05_Bao_cao_tinh_trang'!$B:$B,$A12,'05_Bao_cao_tinh_trang'!$C:$C,$B12,'05_Bao_cao_tinh_trang'!$H:$H,"Chưa bắt đầu")</x:f>
        <x:v>7</x:v>
      </x:c>
      <x:c r="G12" s="12" t="n">
        <x:f>COUNTIFS('05_Bao_cao_tinh_trang'!$B:$B,$A12,'05_Bao_cao_tinh_trang'!$C:$C,$B12,'05_Bao_cao_tinh_trang'!$H:$H,"Đang thực hiện")</x:f>
        <x:v>0</x:v>
      </x:c>
      <x:c r="H12" s="12" t="n">
        <x:f>COUNTIFS('05_Bao_cao_tinh_trang'!$B:$B,$A12,'05_Bao_cao_tinh_trang'!$C:$C,$B12,'05_Bao_cao_tinh_trang'!$H:$H,"Hoàn thành")</x:f>
        <x:v>0</x:v>
      </x:c>
      <x:c r="I12" s="18" t="n">
        <x:f>IFERROR(SUMIFS('05_Bao_cao_tinh_trang'!$I:$I,'05_Bao_cao_tinh_trang'!$B:$B,$A12,'05_Bao_cao_tinh_trang'!$C:$C,$B12)/COUNTIFS('05_Bao_cao_tinh_trang'!$B:$B,$A12,'05_Bao_cao_tinh_trang'!$C:$C,$B12),0)</x:f>
        <x:v>0</x:v>
      </x:c>
      <x:c r="J12" s="12" t="str">
        <x:v>Trung tâm Tìm kiếm cứu nạn hàng không</x:v>
      </x:c>
      <x:c r="K12" s="12" t="str">
        <x:v>Các Công ty Quản lý bay khu vực Bắc/Trung/Nam; Trung tâm Tìm kiếm cứu nạn hàng không</x:v>
      </x:c>
      <x:c r="L12" s="12" t="str">
        <x:v>Cảng vụ, người khai thác cảng, hãng bay, CHKVN</x:v>
      </x:c>
      <x:c r="M12" s="12" t="str">
        <x:v>Quyết định/Kế hoạch; Quy trình/SOP; Hồ sơ phê duyệt</x:v>
      </x:c>
      <x:c r="N12" s="12" t="str">
        <x:v>Theo dõi hàng tuần đối với P1/Rất cao.</x:v>
      </x:c>
    </x:row>
    <x:row r="13">
      <x:c r="A13" s="12" t="str">
        <x:v>An ninh hàng không</x:v>
      </x:c>
      <x:c r="B13" s="12" t="str">
        <x:v>An ninh hệ thống CNS/ATM/CNTT</x:v>
      </x:c>
      <x:c r="C13" s="12" t="n">
        <x:f>COUNTIFS('02_Ma_tran_tuan_thu'!$H:$H,$A13,'02_Ma_tran_tuan_thu'!$I:$I,$B13)</x:f>
        <x:v>21</x:v>
      </x:c>
      <x:c r="D13" s="12" t="n">
        <x:f>COUNTIFS('02_Ma_tran_tuan_thu'!$H:$H,$A13,'02_Ma_tran_tuan_thu'!$I:$I,$B13,'02_Ma_tran_tuan_thu'!$K:$K,"Trực tiếp")</x:f>
        <x:v>13</x:v>
      </x:c>
      <x:c r="E13" s="12" t="n">
        <x:f>COUNTIFS('02_Ma_tran_tuan_thu'!$H:$H,$A13,'02_Ma_tran_tuan_thu'!$I:$I,$B13,'02_Ma_tran_tuan_thu'!$W:$W,"P1")+COUNTIFS('02_Ma_tran_tuan_thu'!$H:$H,$A13,'02_Ma_tran_tuan_thu'!$I:$I,$B13,'02_Ma_tran_tuan_thu'!$W:$W,"Rất cao")</x:f>
        <x:v>18</x:v>
      </x:c>
      <x:c r="F13" s="12" t="n">
        <x:f>COUNTIFS('05_Bao_cao_tinh_trang'!$B:$B,$A13,'05_Bao_cao_tinh_trang'!$C:$C,$B13,'05_Bao_cao_tinh_trang'!$H:$H,"Chưa bắt đầu")</x:f>
        <x:v>21</x:v>
      </x:c>
      <x:c r="G13" s="12" t="n">
        <x:f>COUNTIFS('05_Bao_cao_tinh_trang'!$B:$B,$A13,'05_Bao_cao_tinh_trang'!$C:$C,$B13,'05_Bao_cao_tinh_trang'!$H:$H,"Đang thực hiện")</x:f>
        <x:v>0</x:v>
      </x:c>
      <x:c r="H13" s="12" t="n">
        <x:f>COUNTIFS('05_Bao_cao_tinh_trang'!$B:$B,$A13,'05_Bao_cao_tinh_trang'!$C:$C,$B13,'05_Bao_cao_tinh_trang'!$H:$H,"Hoàn thành")</x:f>
        <x:v>0</x:v>
      </x:c>
      <x:c r="I13" s="18" t="n">
        <x:f>IFERROR(SUMIFS('05_Bao_cao_tinh_trang'!$I:$I,'05_Bao_cao_tinh_trang'!$B:$B,$A13,'05_Bao_cao_tinh_trang'!$C:$C,$B13)/COUNTIFS('05_Bao_cao_tinh_trang'!$B:$B,$A13,'05_Bao_cao_tinh_trang'!$C:$C,$B13),0)</x:f>
        <x:v>0</x:v>
      </x:c>
      <x:c r="J13" s="12" t="str">
        <x:v>Ban An ninh hàng không</x:v>
      </x:c>
      <x:c r="K13" s="12" t="str">
        <x:v>Các Công ty Quản lý bay khu vực Bắc/Trung/Nam; Ban An ninh hàng không</x:v>
      </x:c>
      <x:c r="L13" s="12" t="str">
        <x:v>Cục QLXNC, CHKVN</x:v>
      </x:c>
      <x:c r="M13" s="12" t="str">
        <x:v>Báo cáo; Biên bản/nhật ký/log; Quyết định/Kế hoạch</x:v>
      </x:c>
      <x:c r="N13" s="12" t="str">
        <x:v>Theo dõi hàng tuần đối với P1/Rất cao.</x:v>
      </x:c>
    </x:row>
    <x:row r="14">
      <x:c r="A14" s="12" t="str">
        <x:v>An ninh hàng không</x:v>
      </x:c>
      <x:c r="B14" s="12" t="str">
        <x:v>Chương trình/kế hoạch ANHK VATM</x:v>
      </x:c>
      <x:c r="C14" s="12" t="n">
        <x:f>COUNTIFS('02_Ma_tran_tuan_thu'!$H:$H,$A14,'02_Ma_tran_tuan_thu'!$I:$I,$B14)</x:f>
        <x:v>6</x:v>
      </x:c>
      <x:c r="D14" s="12" t="n">
        <x:f>COUNTIFS('02_Ma_tran_tuan_thu'!$H:$H,$A14,'02_Ma_tran_tuan_thu'!$I:$I,$B14,'02_Ma_tran_tuan_thu'!$K:$K,"Trực tiếp")</x:f>
        <x:v>6</x:v>
      </x:c>
      <x:c r="E14" s="12" t="n">
        <x:f>COUNTIFS('02_Ma_tran_tuan_thu'!$H:$H,$A14,'02_Ma_tran_tuan_thu'!$I:$I,$B14,'02_Ma_tran_tuan_thu'!$W:$W,"P1")+COUNTIFS('02_Ma_tran_tuan_thu'!$H:$H,$A14,'02_Ma_tran_tuan_thu'!$I:$I,$B14,'02_Ma_tran_tuan_thu'!$W:$W,"Rất cao")</x:f>
        <x:v>6</x:v>
      </x:c>
      <x:c r="F14" s="12" t="n">
        <x:f>COUNTIFS('05_Bao_cao_tinh_trang'!$B:$B,$A14,'05_Bao_cao_tinh_trang'!$C:$C,$B14,'05_Bao_cao_tinh_trang'!$H:$H,"Chưa bắt đầu")</x:f>
        <x:v>6</x:v>
      </x:c>
      <x:c r="G14" s="12" t="n">
        <x:f>COUNTIFS('05_Bao_cao_tinh_trang'!$B:$B,$A14,'05_Bao_cao_tinh_trang'!$C:$C,$B14,'05_Bao_cao_tinh_trang'!$H:$H,"Đang thực hiện")</x:f>
        <x:v>0</x:v>
      </x:c>
      <x:c r="H14" s="12" t="n">
        <x:f>COUNTIFS('05_Bao_cao_tinh_trang'!$B:$B,$A14,'05_Bao_cao_tinh_trang'!$C:$C,$B14,'05_Bao_cao_tinh_trang'!$H:$H,"Hoàn thành")</x:f>
        <x:v>0</x:v>
      </x:c>
      <x:c r="I14" s="18" t="n">
        <x:f>IFERROR(SUMIFS('05_Bao_cao_tinh_trang'!$I:$I,'05_Bao_cao_tinh_trang'!$B:$B,$A14,'05_Bao_cao_tinh_trang'!$C:$C,$B14)/COUNTIFS('05_Bao_cao_tinh_trang'!$B:$B,$A14,'05_Bao_cao_tinh_trang'!$C:$C,$B14),0)</x:f>
        <x:v>0</x:v>
      </x:c>
      <x:c r="J14" s="12" t="str">
        <x:v>Ban An ninh hàng không; Văn phòng - Pháp chế</x:v>
      </x:c>
      <x:c r="K14" s="12" t="str">
        <x:v>Các Công ty Quản lý bay khu vực Bắc/Trung/Nam; Ban An ninh hàng không</x:v>
      </x:c>
      <x:c r="L14" s="12" t="str">
        <x:v>Cục QLXNC</x:v>
      </x:c>
      <x:c r="M14" s="12" t="str">
        <x:v>Quyết định/Kế hoạch; Khác; Báo cáo</x:v>
      </x:c>
      <x:c r="N14" s="12" t="str">
        <x:v>Theo dõi hàng tuần đối với P1/Rất cao.</x:v>
      </x:c>
    </x:row>
    <x:row r="15">
      <x:c r="A15" s="12" t="str">
        <x:v>An ninh hàng không</x:v>
      </x:c>
      <x:c r="B15" s="12" t="str">
        <x:v>Khu vực hạn chế/kiểm soát ra vào</x:v>
      </x:c>
      <x:c r="C15" s="12" t="n">
        <x:f>COUNTIFS('02_Ma_tran_tuan_thu'!$H:$H,$A15,'02_Ma_tran_tuan_thu'!$I:$I,$B15)</x:f>
        <x:v>40</x:v>
      </x:c>
      <x:c r="D15" s="12" t="n">
        <x:f>COUNTIFS('02_Ma_tran_tuan_thu'!$H:$H,$A15,'02_Ma_tran_tuan_thu'!$I:$I,$B15,'02_Ma_tran_tuan_thu'!$K:$K,"Trực tiếp")</x:f>
        <x:v>35</x:v>
      </x:c>
      <x:c r="E15" s="12" t="n">
        <x:f>COUNTIFS('02_Ma_tran_tuan_thu'!$H:$H,$A15,'02_Ma_tran_tuan_thu'!$I:$I,$B15,'02_Ma_tran_tuan_thu'!$W:$W,"P1")+COUNTIFS('02_Ma_tran_tuan_thu'!$H:$H,$A15,'02_Ma_tran_tuan_thu'!$I:$I,$B15,'02_Ma_tran_tuan_thu'!$W:$W,"Rất cao")</x:f>
        <x:v>39</x:v>
      </x:c>
      <x:c r="F15" s="12" t="n">
        <x:f>COUNTIFS('05_Bao_cao_tinh_trang'!$B:$B,$A15,'05_Bao_cao_tinh_trang'!$C:$C,$B15,'05_Bao_cao_tinh_trang'!$H:$H,"Chưa bắt đầu")</x:f>
        <x:v>40</x:v>
      </x:c>
      <x:c r="G15" s="12" t="n">
        <x:f>COUNTIFS('05_Bao_cao_tinh_trang'!$B:$B,$A15,'05_Bao_cao_tinh_trang'!$C:$C,$B15,'05_Bao_cao_tinh_trang'!$H:$H,"Đang thực hiện")</x:f>
        <x:v>0</x:v>
      </x:c>
      <x:c r="H15" s="12" t="n">
        <x:f>COUNTIFS('05_Bao_cao_tinh_trang'!$B:$B,$A15,'05_Bao_cao_tinh_trang'!$C:$C,$B15,'05_Bao_cao_tinh_trang'!$H:$H,"Hoàn thành")</x:f>
        <x:v>0</x:v>
      </x:c>
      <x:c r="I15" s="18" t="n">
        <x:f>IFERROR(SUMIFS('05_Bao_cao_tinh_trang'!$I:$I,'05_Bao_cao_tinh_trang'!$B:$B,$A15,'05_Bao_cao_tinh_trang'!$C:$C,$B15)/COUNTIFS('05_Bao_cao_tinh_trang'!$B:$B,$A15,'05_Bao_cao_tinh_trang'!$C:$C,$B15),0)</x:f>
        <x:v>0</x:v>
      </x:c>
      <x:c r="J15" s="12" t="str">
        <x:v>Ban An ninh hàng không</x:v>
      </x:c>
      <x:c r="K15" s="12" t="str">
        <x:v>Các Công ty Quản lý bay khu vực Bắc/Trung/Nam; Ban An ninh hàng không</x:v>
      </x:c>
      <x:c r="L15" s="12" t="str">
        <x:v>Ban AN-AT, CNS/CNTT, Công an/Cảng vụ</x:v>
      </x:c>
      <x:c r="M15" s="12" t="str">
        <x:v>Biên bản/nhật ký/log; Báo cáo; Khác</x:v>
      </x:c>
      <x:c r="N15" s="12" t="str">
        <x:v>Theo dõi hàng tuần đối với P1/Rất cao.</x:v>
      </x:c>
    </x:row>
    <x:row r="16">
      <x:c r="A16" s="12" t="str">
        <x:v>An ninh hàng không</x:v>
      </x:c>
      <x:c r="B16" s="12" t="str">
        <x:v>Quản trị, phối hợp và giám sát ANHK</x:v>
      </x:c>
      <x:c r="C16" s="12" t="n">
        <x:f>COUNTIFS('02_Ma_tran_tuan_thu'!$H:$H,$A16,'02_Ma_tran_tuan_thu'!$I:$I,$B16)</x:f>
        <x:v>10</x:v>
      </x:c>
      <x:c r="D16" s="12" t="n">
        <x:f>COUNTIFS('02_Ma_tran_tuan_thu'!$H:$H,$A16,'02_Ma_tran_tuan_thu'!$I:$I,$B16,'02_Ma_tran_tuan_thu'!$K:$K,"Trực tiếp")</x:f>
        <x:v>10</x:v>
      </x:c>
      <x:c r="E16" s="12" t="n">
        <x:f>COUNTIFS('02_Ma_tran_tuan_thu'!$H:$H,$A16,'02_Ma_tran_tuan_thu'!$I:$I,$B16,'02_Ma_tran_tuan_thu'!$W:$W,"P1")+COUNTIFS('02_Ma_tran_tuan_thu'!$H:$H,$A16,'02_Ma_tran_tuan_thu'!$I:$I,$B16,'02_Ma_tran_tuan_thu'!$W:$W,"Rất cao")</x:f>
        <x:v>9</x:v>
      </x:c>
      <x:c r="F16" s="12" t="n">
        <x:f>COUNTIFS('05_Bao_cao_tinh_trang'!$B:$B,$A16,'05_Bao_cao_tinh_trang'!$C:$C,$B16,'05_Bao_cao_tinh_trang'!$H:$H,"Chưa bắt đầu")</x:f>
        <x:v>10</x:v>
      </x:c>
      <x:c r="G16" s="12" t="n">
        <x:f>COUNTIFS('05_Bao_cao_tinh_trang'!$B:$B,$A16,'05_Bao_cao_tinh_trang'!$C:$C,$B16,'05_Bao_cao_tinh_trang'!$H:$H,"Đang thực hiện")</x:f>
        <x:v>0</x:v>
      </x:c>
      <x:c r="H16" s="12" t="n">
        <x:f>COUNTIFS('05_Bao_cao_tinh_trang'!$B:$B,$A16,'05_Bao_cao_tinh_trang'!$C:$C,$B16,'05_Bao_cao_tinh_trang'!$H:$H,"Hoàn thành")</x:f>
        <x:v>0</x:v>
      </x:c>
      <x:c r="I16" s="18" t="n">
        <x:f>IFERROR(SUMIFS('05_Bao_cao_tinh_trang'!$I:$I,'05_Bao_cao_tinh_trang'!$B:$B,$A16,'05_Bao_cao_tinh_trang'!$C:$C,$B16)/COUNTIFS('05_Bao_cao_tinh_trang'!$B:$B,$A16,'05_Bao_cao_tinh_trang'!$C:$C,$B16),0)</x:f>
        <x:v>0</x:v>
      </x:c>
      <x:c r="J16" s="12" t="str">
        <x:v>Ban An ninh hàng không</x:v>
      </x:c>
      <x:c r="K16" s="12" t="str">
        <x:v>Các Công ty Quản lý bay khu vực Bắc/Trung/Nam; Ban An ninh hàng không</x:v>
      </x:c>
      <x:c r="L16" s="12" t="str">
        <x:v>Cục QLXNC, CHKVN, Cảng vụ, ACV</x:v>
      </x:c>
      <x:c r="M16" s="12" t="str">
        <x:v>Biên bản/nhật ký/log; Quy trình/SOP; Báo cáo</x:v>
      </x:c>
      <x:c r="N16" s="12" t="str">
        <x:v>Theo dõi hàng tuần đối với P1/Rất cao.</x:v>
      </x:c>
    </x:row>
    <x:row r="17">
      <x:c r="A17" s="12" t="str">
        <x:v>An ninh hàng không</x:v>
      </x:c>
      <x:c r="B17" s="12" t="str">
        <x:v>Đào tạo/nhận thức an ninh</x:v>
      </x:c>
      <x:c r="C17" s="12" t="n">
        <x:f>COUNTIFS('02_Ma_tran_tuan_thu'!$H:$H,$A17,'02_Ma_tran_tuan_thu'!$I:$I,$B17)</x:f>
        <x:v>1</x:v>
      </x:c>
      <x:c r="D17" s="12" t="n">
        <x:f>COUNTIFS('02_Ma_tran_tuan_thu'!$H:$H,$A17,'02_Ma_tran_tuan_thu'!$I:$I,$B17,'02_Ma_tran_tuan_thu'!$K:$K,"Trực tiếp")</x:f>
        <x:v>0</x:v>
      </x:c>
      <x:c r="E17" s="12" t="n">
        <x:f>COUNTIFS('02_Ma_tran_tuan_thu'!$H:$H,$A17,'02_Ma_tran_tuan_thu'!$I:$I,$B17,'02_Ma_tran_tuan_thu'!$W:$W,"P1")+COUNTIFS('02_Ma_tran_tuan_thu'!$H:$H,$A17,'02_Ma_tran_tuan_thu'!$I:$I,$B17,'02_Ma_tran_tuan_thu'!$W:$W,"Rất cao")</x:f>
        <x:v>1</x:v>
      </x:c>
      <x:c r="F17" s="12" t="n">
        <x:f>COUNTIFS('05_Bao_cao_tinh_trang'!$B:$B,$A17,'05_Bao_cao_tinh_trang'!$C:$C,$B17,'05_Bao_cao_tinh_trang'!$H:$H,"Chưa bắt đầu")</x:f>
        <x:v>1</x:v>
      </x:c>
      <x:c r="G17" s="12" t="n">
        <x:f>COUNTIFS('05_Bao_cao_tinh_trang'!$B:$B,$A17,'05_Bao_cao_tinh_trang'!$C:$C,$B17,'05_Bao_cao_tinh_trang'!$H:$H,"Đang thực hiện")</x:f>
        <x:v>0</x:v>
      </x:c>
      <x:c r="H17" s="12" t="n">
        <x:f>COUNTIFS('05_Bao_cao_tinh_trang'!$B:$B,$A17,'05_Bao_cao_tinh_trang'!$C:$C,$B17,'05_Bao_cao_tinh_trang'!$H:$H,"Hoàn thành")</x:f>
        <x:v>0</x:v>
      </x:c>
      <x:c r="I17" s="18" t="n">
        <x:f>IFERROR(SUMIFS('05_Bao_cao_tinh_trang'!$I:$I,'05_Bao_cao_tinh_trang'!$B:$B,$A17,'05_Bao_cao_tinh_trang'!$C:$C,$B17)/COUNTIFS('05_Bao_cao_tinh_trang'!$B:$B,$A17,'05_Bao_cao_tinh_trang'!$C:$C,$B17),0)</x:f>
        <x:v>0</x:v>
      </x:c>
      <x:c r="J17" s="12" t="str">
        <x:v>Ban An ninh hàng không</x:v>
      </x:c>
      <x:c r="K17" s="12" t="str">
        <x:v>Các Công ty Quản lý bay khu vực Bắc/Trung/Nam; Ban An ninh hàng không</x:v>
      </x:c>
      <x:c r="L17" s="12" t="str">
        <x:v>Cục QLXNC</x:v>
      </x:c>
      <x:c r="M17" s="12" t="str">
        <x:v>Báo cáo</x:v>
      </x:c>
      <x:c r="N17" s="12" t="str">
        <x:v>Theo dõi hàng tuần đối với P1/Rất cao.</x:v>
      </x:c>
    </x:row>
    <x:row r="18">
      <x:c r="A18" s="12" t="str">
        <x:v>An ninh hàng không</x:v>
      </x:c>
      <x:c r="B18" s="12" t="str">
        <x:v>Ứng phó sự cố/diễn tập ANHK</x:v>
      </x:c>
      <x:c r="C18" s="12" t="n">
        <x:f>COUNTIFS('02_Ma_tran_tuan_thu'!$H:$H,$A18,'02_Ma_tran_tuan_thu'!$I:$I,$B18)</x:f>
        <x:v>12</x:v>
      </x:c>
      <x:c r="D18" s="12" t="n">
        <x:f>COUNTIFS('02_Ma_tran_tuan_thu'!$H:$H,$A18,'02_Ma_tran_tuan_thu'!$I:$I,$B18,'02_Ma_tran_tuan_thu'!$K:$K,"Trực tiếp")</x:f>
        <x:v>10</x:v>
      </x:c>
      <x:c r="E18" s="12" t="n">
        <x:f>COUNTIFS('02_Ma_tran_tuan_thu'!$H:$H,$A18,'02_Ma_tran_tuan_thu'!$I:$I,$B18,'02_Ma_tran_tuan_thu'!$W:$W,"P1")+COUNTIFS('02_Ma_tran_tuan_thu'!$H:$H,$A18,'02_Ma_tran_tuan_thu'!$I:$I,$B18,'02_Ma_tran_tuan_thu'!$W:$W,"Rất cao")</x:f>
        <x:v>12</x:v>
      </x:c>
      <x:c r="F18" s="12" t="n">
        <x:f>COUNTIFS('05_Bao_cao_tinh_trang'!$B:$B,$A18,'05_Bao_cao_tinh_trang'!$C:$C,$B18,'05_Bao_cao_tinh_trang'!$H:$H,"Chưa bắt đầu")</x:f>
        <x:v>12</x:v>
      </x:c>
      <x:c r="G18" s="12" t="n">
        <x:f>COUNTIFS('05_Bao_cao_tinh_trang'!$B:$B,$A18,'05_Bao_cao_tinh_trang'!$C:$C,$B18,'05_Bao_cao_tinh_trang'!$H:$H,"Đang thực hiện")</x:f>
        <x:v>0</x:v>
      </x:c>
      <x:c r="H18" s="12" t="n">
        <x:f>COUNTIFS('05_Bao_cao_tinh_trang'!$B:$B,$A18,'05_Bao_cao_tinh_trang'!$C:$C,$B18,'05_Bao_cao_tinh_trang'!$H:$H,"Hoàn thành")</x:f>
        <x:v>0</x:v>
      </x:c>
      <x:c r="I18" s="18" t="n">
        <x:f>IFERROR(SUMIFS('05_Bao_cao_tinh_trang'!$I:$I,'05_Bao_cao_tinh_trang'!$B:$B,$A18,'05_Bao_cao_tinh_trang'!$C:$C,$B18)/COUNTIFS('05_Bao_cao_tinh_trang'!$B:$B,$A18,'05_Bao_cao_tinh_trang'!$C:$C,$B18),0)</x:f>
        <x:v>0</x:v>
      </x:c>
      <x:c r="J18" s="12" t="str">
        <x:v>Ban An ninh hàng không</x:v>
      </x:c>
      <x:c r="K18" s="12" t="str">
        <x:v>Các Công ty Quản lý bay khu vực Bắc/Trung/Nam; Ban An ninh hàng không</x:v>
      </x:c>
      <x:c r="L18" s="12" t="str">
        <x:v>Công an, Quân đội, Cảng vụ, ACV</x:v>
      </x:c>
      <x:c r="M18" s="12" t="str">
        <x:v>Biên bản/nhật ký/log; Báo cáo; Quy trình/SOP</x:v>
      </x:c>
      <x:c r="N18" s="12" t="str">
        <x:v>Theo dõi hàng tuần đối với P1/Rất cao.</x:v>
      </x:c>
    </x:row>
    <x:row r="19">
      <x:c r="A19" s="12" t="str">
        <x:v>An toàn hàng không / SMS</x:v>
      </x:c>
      <x:c r="B19" s="12" t="str">
        <x:v>Báo cáo MOR, sự cố và điều tra</x:v>
      </x:c>
      <x:c r="C19" s="12" t="n">
        <x:f>COUNTIFS('02_Ma_tran_tuan_thu'!$H:$H,$A19,'02_Ma_tran_tuan_thu'!$I:$I,$B19)</x:f>
        <x:v>144</x:v>
      </x:c>
      <x:c r="D19" s="12" t="n">
        <x:f>COUNTIFS('02_Ma_tran_tuan_thu'!$H:$H,$A19,'02_Ma_tran_tuan_thu'!$I:$I,$B19,'02_Ma_tran_tuan_thu'!$K:$K,"Trực tiếp")</x:f>
        <x:v>60</x:v>
      </x:c>
      <x:c r="E19" s="12" t="n">
        <x:f>COUNTIFS('02_Ma_tran_tuan_thu'!$H:$H,$A19,'02_Ma_tran_tuan_thu'!$I:$I,$B19,'02_Ma_tran_tuan_thu'!$W:$W,"P1")+COUNTIFS('02_Ma_tran_tuan_thu'!$H:$H,$A19,'02_Ma_tran_tuan_thu'!$I:$I,$B19,'02_Ma_tran_tuan_thu'!$W:$W,"Rất cao")</x:f>
        <x:v>4</x:v>
      </x:c>
      <x:c r="F19" s="12" t="n">
        <x:f>COUNTIFS('05_Bao_cao_tinh_trang'!$B:$B,$A19,'05_Bao_cao_tinh_trang'!$C:$C,$B19,'05_Bao_cao_tinh_trang'!$H:$H,"Chưa bắt đầu")</x:f>
        <x:v>144</x:v>
      </x:c>
      <x:c r="G19" s="12" t="n">
        <x:f>COUNTIFS('05_Bao_cao_tinh_trang'!$B:$B,$A19,'05_Bao_cao_tinh_trang'!$C:$C,$B19,'05_Bao_cao_tinh_trang'!$H:$H,"Đang thực hiện")</x:f>
        <x:v>0</x:v>
      </x:c>
      <x:c r="H19" s="12" t="n">
        <x:f>COUNTIFS('05_Bao_cao_tinh_trang'!$B:$B,$A19,'05_Bao_cao_tinh_trang'!$C:$C,$B19,'05_Bao_cao_tinh_trang'!$H:$H,"Hoàn thành")</x:f>
        <x:v>0</x:v>
      </x:c>
      <x:c r="I19" s="18" t="n">
        <x:f>IFERROR(SUMIFS('05_Bao_cao_tinh_trang'!$I:$I,'05_Bao_cao_tinh_trang'!$B:$B,$A19,'05_Bao_cao_tinh_trang'!$C:$C,$B19)/COUNTIFS('05_Bao_cao_tinh_trang'!$B:$B,$A19,'05_Bao_cao_tinh_trang'!$C:$C,$B19),0)</x:f>
        <x:v>0</x:v>
      </x:c>
      <x:c r="J19" s="12" t="str">
        <x:v>Ban An toàn - Chất lượng</x:v>
      </x:c>
      <x:c r="K19" s="12" t="str">
        <x:v>Các Công ty Quản lý bay khu vực Bắc/Trung/Nam; Ban An toàn - Chất lượng</x:v>
      </x:c>
      <x:c r="L19" s="12" t="str"/>
      <x:c r="M19" s="12" t="str">
        <x:v>Khác; Báo cáo; Quy trình/SOP</x:v>
      </x:c>
      <x:c r="N19" s="12" t="str">
        <x:v>Theo dõi hàng tuần đối với P1/Rất cao.</x:v>
      </x:c>
    </x:row>
    <x:row r="20">
      <x:c r="A20" s="12" t="str">
        <x:v>An toàn hàng không / SMS</x:v>
      </x:c>
      <x:c r="B20" s="12" t="str">
        <x:v>Bảo đảm an toàn, giám sát và audit</x:v>
      </x:c>
      <x:c r="C20" s="12" t="n">
        <x:f>COUNTIFS('02_Ma_tran_tuan_thu'!$H:$H,$A20,'02_Ma_tran_tuan_thu'!$I:$I,$B20)</x:f>
        <x:v>3</x:v>
      </x:c>
      <x:c r="D20" s="12" t="n">
        <x:f>COUNTIFS('02_Ma_tran_tuan_thu'!$H:$H,$A20,'02_Ma_tran_tuan_thu'!$I:$I,$B20,'02_Ma_tran_tuan_thu'!$K:$K,"Trực tiếp")</x:f>
        <x:v>3</x:v>
      </x:c>
      <x:c r="E20" s="12" t="n">
        <x:f>COUNTIFS('02_Ma_tran_tuan_thu'!$H:$H,$A20,'02_Ma_tran_tuan_thu'!$I:$I,$B20,'02_Ma_tran_tuan_thu'!$W:$W,"P1")+COUNTIFS('02_Ma_tran_tuan_thu'!$H:$H,$A20,'02_Ma_tran_tuan_thu'!$I:$I,$B20,'02_Ma_tran_tuan_thu'!$W:$W,"Rất cao")</x:f>
        <x:v>0</x:v>
      </x:c>
      <x:c r="F20" s="12" t="n">
        <x:f>COUNTIFS('05_Bao_cao_tinh_trang'!$B:$B,$A20,'05_Bao_cao_tinh_trang'!$C:$C,$B20,'05_Bao_cao_tinh_trang'!$H:$H,"Chưa bắt đầu")</x:f>
        <x:v>3</x:v>
      </x:c>
      <x:c r="G20" s="12" t="n">
        <x:f>COUNTIFS('05_Bao_cao_tinh_trang'!$B:$B,$A20,'05_Bao_cao_tinh_trang'!$C:$C,$B20,'05_Bao_cao_tinh_trang'!$H:$H,"Đang thực hiện")</x:f>
        <x:v>0</x:v>
      </x:c>
      <x:c r="H20" s="12" t="n">
        <x:f>COUNTIFS('05_Bao_cao_tinh_trang'!$B:$B,$A20,'05_Bao_cao_tinh_trang'!$C:$C,$B20,'05_Bao_cao_tinh_trang'!$H:$H,"Hoàn thành")</x:f>
        <x:v>0</x:v>
      </x:c>
      <x:c r="I20" s="18" t="n">
        <x:f>IFERROR(SUMIFS('05_Bao_cao_tinh_trang'!$I:$I,'05_Bao_cao_tinh_trang'!$B:$B,$A20,'05_Bao_cao_tinh_trang'!$C:$C,$B20)/COUNTIFS('05_Bao_cao_tinh_trang'!$B:$B,$A20,'05_Bao_cao_tinh_trang'!$C:$C,$B20),0)</x:f>
        <x:v>0</x:v>
      </x:c>
      <x:c r="J20" s="12" t="str">
        <x:v>Ban An toàn - Chất lượng</x:v>
      </x:c>
      <x:c r="K20" s="12" t="str">
        <x:v>Các Công ty Quản lý bay khu vực Bắc/Trung/Nam; Ban An toàn - Chất lượng</x:v>
      </x:c>
      <x:c r="L20" s="12" t="str"/>
      <x:c r="M20" s="12" t="str">
        <x:v>Quy trình/SOP; Quyết định/Kế hoạch</x:v>
      </x:c>
      <x:c r="N20" s="12" t="str">
        <x:v>Theo dõi hàng tuần đối với P1/Rất cao.</x:v>
      </x:c>
    </x:row>
    <x:row r="21">
      <x:c r="A21" s="12" t="str">
        <x:v>An toàn hàng không / SMS</x:v>
      </x:c>
      <x:c r="B21" s="12" t="str">
        <x:v>Chính sách, mục tiêu và văn hóa an toàn</x:v>
      </x:c>
      <x:c r="C21" s="12" t="n">
        <x:f>COUNTIFS('02_Ma_tran_tuan_thu'!$H:$H,$A21,'02_Ma_tran_tuan_thu'!$I:$I,$B21)</x:f>
        <x:v>12</x:v>
      </x:c>
      <x:c r="D21" s="12" t="n">
        <x:f>COUNTIFS('02_Ma_tran_tuan_thu'!$H:$H,$A21,'02_Ma_tran_tuan_thu'!$I:$I,$B21,'02_Ma_tran_tuan_thu'!$K:$K,"Trực tiếp")</x:f>
        <x:v>12</x:v>
      </x:c>
      <x:c r="E21" s="12" t="n">
        <x:f>COUNTIFS('02_Ma_tran_tuan_thu'!$H:$H,$A21,'02_Ma_tran_tuan_thu'!$I:$I,$B21,'02_Ma_tran_tuan_thu'!$W:$W,"P1")+COUNTIFS('02_Ma_tran_tuan_thu'!$H:$H,$A21,'02_Ma_tran_tuan_thu'!$I:$I,$B21,'02_Ma_tran_tuan_thu'!$W:$W,"Rất cao")</x:f>
        <x:v>0</x:v>
      </x:c>
      <x:c r="F21" s="12" t="n">
        <x:f>COUNTIFS('05_Bao_cao_tinh_trang'!$B:$B,$A21,'05_Bao_cao_tinh_trang'!$C:$C,$B21,'05_Bao_cao_tinh_trang'!$H:$H,"Chưa bắt đầu")</x:f>
        <x:v>12</x:v>
      </x:c>
      <x:c r="G21" s="12" t="n">
        <x:f>COUNTIFS('05_Bao_cao_tinh_trang'!$B:$B,$A21,'05_Bao_cao_tinh_trang'!$C:$C,$B21,'05_Bao_cao_tinh_trang'!$H:$H,"Đang thực hiện")</x:f>
        <x:v>0</x:v>
      </x:c>
      <x:c r="H21" s="12" t="n">
        <x:f>COUNTIFS('05_Bao_cao_tinh_trang'!$B:$B,$A21,'05_Bao_cao_tinh_trang'!$C:$C,$B21,'05_Bao_cao_tinh_trang'!$H:$H,"Hoàn thành")</x:f>
        <x:v>0</x:v>
      </x:c>
      <x:c r="I21" s="18" t="n">
        <x:f>IFERROR(SUMIFS('05_Bao_cao_tinh_trang'!$I:$I,'05_Bao_cao_tinh_trang'!$B:$B,$A21,'05_Bao_cao_tinh_trang'!$C:$C,$B21)/COUNTIFS('05_Bao_cao_tinh_trang'!$B:$B,$A21,'05_Bao_cao_tinh_trang'!$C:$C,$B21),0)</x:f>
        <x:v>0</x:v>
      </x:c>
      <x:c r="J21" s="12" t="str">
        <x:v>Ban An toàn - Chất lượng</x:v>
      </x:c>
      <x:c r="K21" s="12" t="str">
        <x:v>Các Công ty Quản lý bay khu vực Bắc/Trung/Nam; Ban An toàn - Chất lượng</x:v>
      </x:c>
      <x:c r="L21" s="12" t="str"/>
      <x:c r="M21" s="12" t="str">
        <x:v>Quy trình/SOP; Báo cáo; Dữ liệu hệ thống</x:v>
      </x:c>
      <x:c r="N21" s="12" t="str">
        <x:v>Theo dõi hàng tuần đối với P1/Rất cao.</x:v>
      </x:c>
    </x:row>
    <x:row r="22">
      <x:c r="A22" s="12" t="str">
        <x:v>An toàn hàng không / SMS</x:v>
      </x:c>
      <x:c r="B22" s="12" t="str">
        <x:v>Khung SMS và quản trị an toàn</x:v>
      </x:c>
      <x:c r="C22" s="12" t="n">
        <x:f>COUNTIFS('02_Ma_tran_tuan_thu'!$H:$H,$A22,'02_Ma_tran_tuan_thu'!$I:$I,$B22)</x:f>
        <x:v>47</x:v>
      </x:c>
      <x:c r="D22" s="12" t="n">
        <x:f>COUNTIFS('02_Ma_tran_tuan_thu'!$H:$H,$A22,'02_Ma_tran_tuan_thu'!$I:$I,$B22,'02_Ma_tran_tuan_thu'!$K:$K,"Trực tiếp")</x:f>
        <x:v>47</x:v>
      </x:c>
      <x:c r="E22" s="12" t="n">
        <x:f>COUNTIFS('02_Ma_tran_tuan_thu'!$H:$H,$A22,'02_Ma_tran_tuan_thu'!$I:$I,$B22,'02_Ma_tran_tuan_thu'!$W:$W,"P1")+COUNTIFS('02_Ma_tran_tuan_thu'!$H:$H,$A22,'02_Ma_tran_tuan_thu'!$I:$I,$B22,'02_Ma_tran_tuan_thu'!$W:$W,"Rất cao")</x:f>
        <x:v>11</x:v>
      </x:c>
      <x:c r="F22" s="12" t="n">
        <x:f>COUNTIFS('05_Bao_cao_tinh_trang'!$B:$B,$A22,'05_Bao_cao_tinh_trang'!$C:$C,$B22,'05_Bao_cao_tinh_trang'!$H:$H,"Chưa bắt đầu")</x:f>
        <x:v>47</x:v>
      </x:c>
      <x:c r="G22" s="12" t="n">
        <x:f>COUNTIFS('05_Bao_cao_tinh_trang'!$B:$B,$A22,'05_Bao_cao_tinh_trang'!$C:$C,$B22,'05_Bao_cao_tinh_trang'!$H:$H,"Đang thực hiện")</x:f>
        <x:v>0</x:v>
      </x:c>
      <x:c r="H22" s="12" t="n">
        <x:f>COUNTIFS('05_Bao_cao_tinh_trang'!$B:$B,$A22,'05_Bao_cao_tinh_trang'!$C:$C,$B22,'05_Bao_cao_tinh_trang'!$H:$H,"Hoàn thành")</x:f>
        <x:v>0</x:v>
      </x:c>
      <x:c r="I22" s="18" t="n">
        <x:f>IFERROR(SUMIFS('05_Bao_cao_tinh_trang'!$I:$I,'05_Bao_cao_tinh_trang'!$B:$B,$A22,'05_Bao_cao_tinh_trang'!$C:$C,$B22)/COUNTIFS('05_Bao_cao_tinh_trang'!$B:$B,$A22,'05_Bao_cao_tinh_trang'!$C:$C,$B22),0)</x:f>
        <x:v>0</x:v>
      </x:c>
      <x:c r="J22" s="12" t="str">
        <x:v>Ban An toàn - Chất lượng</x:v>
      </x:c>
      <x:c r="K22" s="12" t="str">
        <x:v>Các Công ty Quản lý bay khu vực Bắc/Trung/Nam; Ban An toàn - Chất lượng</x:v>
      </x:c>
      <x:c r="L22" s="12" t="str">
        <x:v>CAAV, các đơn vị</x:v>
      </x:c>
      <x:c r="M22" s="12" t="str">
        <x:v>Khác; Quy trình/SOP; Quyết định/Kế hoạch</x:v>
      </x:c>
      <x:c r="N22" s="12" t="str">
        <x:v>Theo dõi hàng tuần đối với P1/Rất cao.</x:v>
      </x:c>
    </x:row>
    <x:row r="23">
      <x:c r="A23" s="12" t="str">
        <x:v>An toàn hàng không / SMS</x:v>
      </x:c>
      <x:c r="B23" s="12" t="str">
        <x:v>Quản lý rủi ro và thay đổi</x:v>
      </x:c>
      <x:c r="C23" s="12" t="n">
        <x:f>COUNTIFS('02_Ma_tran_tuan_thu'!$H:$H,$A23,'02_Ma_tran_tuan_thu'!$I:$I,$B23)</x:f>
        <x:v>15</x:v>
      </x:c>
      <x:c r="D23" s="12" t="n">
        <x:f>COUNTIFS('02_Ma_tran_tuan_thu'!$H:$H,$A23,'02_Ma_tran_tuan_thu'!$I:$I,$B23,'02_Ma_tran_tuan_thu'!$K:$K,"Trực tiếp")</x:f>
        <x:v>15</x:v>
      </x:c>
      <x:c r="E23" s="12" t="n">
        <x:f>COUNTIFS('02_Ma_tran_tuan_thu'!$H:$H,$A23,'02_Ma_tran_tuan_thu'!$I:$I,$B23,'02_Ma_tran_tuan_thu'!$W:$W,"P1")+COUNTIFS('02_Ma_tran_tuan_thu'!$H:$H,$A23,'02_Ma_tran_tuan_thu'!$I:$I,$B23,'02_Ma_tran_tuan_thu'!$W:$W,"Rất cao")</x:f>
        <x:v>3</x:v>
      </x:c>
      <x:c r="F23" s="12" t="n">
        <x:f>COUNTIFS('05_Bao_cao_tinh_trang'!$B:$B,$A23,'05_Bao_cao_tinh_trang'!$C:$C,$B23,'05_Bao_cao_tinh_trang'!$H:$H,"Chưa bắt đầu")</x:f>
        <x:v>15</x:v>
      </x:c>
      <x:c r="G23" s="12" t="n">
        <x:f>COUNTIFS('05_Bao_cao_tinh_trang'!$B:$B,$A23,'05_Bao_cao_tinh_trang'!$C:$C,$B23,'05_Bao_cao_tinh_trang'!$H:$H,"Đang thực hiện")</x:f>
        <x:v>0</x:v>
      </x:c>
      <x:c r="H23" s="12" t="n">
        <x:f>COUNTIFS('05_Bao_cao_tinh_trang'!$B:$B,$A23,'05_Bao_cao_tinh_trang'!$C:$C,$B23,'05_Bao_cao_tinh_trang'!$H:$H,"Hoàn thành")</x:f>
        <x:v>0</x:v>
      </x:c>
      <x:c r="I23" s="18" t="n">
        <x:f>IFERROR(SUMIFS('05_Bao_cao_tinh_trang'!$I:$I,'05_Bao_cao_tinh_trang'!$B:$B,$A23,'05_Bao_cao_tinh_trang'!$C:$C,$B23)/COUNTIFS('05_Bao_cao_tinh_trang'!$B:$B,$A23,'05_Bao_cao_tinh_trang'!$C:$C,$B23),0)</x:f>
        <x:v>0</x:v>
      </x:c>
      <x:c r="J23" s="12" t="str">
        <x:v>Ban An toàn - Chất lượng</x:v>
      </x:c>
      <x:c r="K23" s="12" t="str">
        <x:v>Các Công ty Quản lý bay khu vực Bắc/Trung/Nam; Ban An toàn - Chất lượng</x:v>
      </x:c>
      <x:c r="L23" s="12" t="str"/>
      <x:c r="M23" s="12" t="str">
        <x:v>Báo cáo; Quyết định/Kế hoạch; Khác</x:v>
      </x:c>
      <x:c r="N23" s="12" t="str">
        <x:v>Theo dõi hàng tuần đối với P1/Rất cao.</x:v>
      </x:c>
    </x:row>
    <x:row r="24">
      <x:c r="A24" s="12" t="str">
        <x:v>An toàn hàng không / SMS</x:v>
      </x:c>
      <x:c r="B24" s="12" t="str">
        <x:v>SPI/SPT và chỉ số an toàn</x:v>
      </x:c>
      <x:c r="C24" s="12" t="n">
        <x:f>COUNTIFS('02_Ma_tran_tuan_thu'!$H:$H,$A24,'02_Ma_tran_tuan_thu'!$I:$I,$B24)</x:f>
        <x:v>35</x:v>
      </x:c>
      <x:c r="D24" s="12" t="n">
        <x:f>COUNTIFS('02_Ma_tran_tuan_thu'!$H:$H,$A24,'02_Ma_tran_tuan_thu'!$I:$I,$B24,'02_Ma_tran_tuan_thu'!$K:$K,"Trực tiếp")</x:f>
        <x:v>14</x:v>
      </x:c>
      <x:c r="E24" s="12" t="n">
        <x:f>COUNTIFS('02_Ma_tran_tuan_thu'!$H:$H,$A24,'02_Ma_tran_tuan_thu'!$I:$I,$B24,'02_Ma_tran_tuan_thu'!$W:$W,"P1")+COUNTIFS('02_Ma_tran_tuan_thu'!$H:$H,$A24,'02_Ma_tran_tuan_thu'!$I:$I,$B24,'02_Ma_tran_tuan_thu'!$W:$W,"Rất cao")</x:f>
        <x:v>0</x:v>
      </x:c>
      <x:c r="F24" s="12" t="n">
        <x:f>COUNTIFS('05_Bao_cao_tinh_trang'!$B:$B,$A24,'05_Bao_cao_tinh_trang'!$C:$C,$B24,'05_Bao_cao_tinh_trang'!$H:$H,"Chưa bắt đầu")</x:f>
        <x:v>35</x:v>
      </x:c>
      <x:c r="G24" s="12" t="n">
        <x:f>COUNTIFS('05_Bao_cao_tinh_trang'!$B:$B,$A24,'05_Bao_cao_tinh_trang'!$C:$C,$B24,'05_Bao_cao_tinh_trang'!$H:$H,"Đang thực hiện")</x:f>
        <x:v>0</x:v>
      </x:c>
      <x:c r="H24" s="12" t="n">
        <x:f>COUNTIFS('05_Bao_cao_tinh_trang'!$B:$B,$A24,'05_Bao_cao_tinh_trang'!$C:$C,$B24,'05_Bao_cao_tinh_trang'!$H:$H,"Hoàn thành")</x:f>
        <x:v>0</x:v>
      </x:c>
      <x:c r="I24" s="18" t="n">
        <x:f>IFERROR(SUMIFS('05_Bao_cao_tinh_trang'!$I:$I,'05_Bao_cao_tinh_trang'!$B:$B,$A24,'05_Bao_cao_tinh_trang'!$C:$C,$B24)/COUNTIFS('05_Bao_cao_tinh_trang'!$B:$B,$A24,'05_Bao_cao_tinh_trang'!$C:$C,$B24),0)</x:f>
        <x:v>0</x:v>
      </x:c>
      <x:c r="J24" s="12" t="str">
        <x:v>Ban An toàn - Chất lượng</x:v>
      </x:c>
      <x:c r="K24" s="12" t="str">
        <x:v>Các Công ty Quản lý bay khu vực Bắc/Trung/Nam; Ban An toàn - Chất lượng</x:v>
      </x:c>
      <x:c r="L24" s="12" t="str"/>
      <x:c r="M24" s="12" t="str">
        <x:v>Khác</x:v>
      </x:c>
      <x:c r="N24" s="12" t="str">
        <x:v>Theo dõi hàng tuần đối với P1/Rất cao.</x:v>
      </x:c>
    </x:row>
    <x:row r="25">
      <x:c r="A25" s="12" t="str">
        <x:v>Huấn luyện đào tạo &amp; nhân viên HK</x:v>
      </x:c>
      <x:c r="B25" s="12" t="str">
        <x:v>Chương trình/cơ sở huấn luyện</x:v>
      </x:c>
      <x:c r="C25" s="12" t="n">
        <x:f>COUNTIFS('02_Ma_tran_tuan_thu'!$H:$H,$A25,'02_Ma_tran_tuan_thu'!$I:$I,$B25)</x:f>
        <x:v>10</x:v>
      </x:c>
      <x:c r="D25" s="12" t="n">
        <x:f>COUNTIFS('02_Ma_tran_tuan_thu'!$H:$H,$A25,'02_Ma_tran_tuan_thu'!$I:$I,$B25,'02_Ma_tran_tuan_thu'!$K:$K,"Trực tiếp")</x:f>
        <x:v>10</x:v>
      </x:c>
      <x:c r="E25" s="12" t="n">
        <x:f>COUNTIFS('02_Ma_tran_tuan_thu'!$H:$H,$A25,'02_Ma_tran_tuan_thu'!$I:$I,$B25,'02_Ma_tran_tuan_thu'!$W:$W,"P1")+COUNTIFS('02_Ma_tran_tuan_thu'!$H:$H,$A25,'02_Ma_tran_tuan_thu'!$I:$I,$B25,'02_Ma_tran_tuan_thu'!$W:$W,"Rất cao")</x:f>
        <x:v>8</x:v>
      </x:c>
      <x:c r="F25" s="12" t="n">
        <x:f>COUNTIFS('05_Bao_cao_tinh_trang'!$B:$B,$A25,'05_Bao_cao_tinh_trang'!$C:$C,$B25,'05_Bao_cao_tinh_trang'!$H:$H,"Chưa bắt đầu")</x:f>
        <x:v>10</x:v>
      </x:c>
      <x:c r="G25" s="12" t="n">
        <x:f>COUNTIFS('05_Bao_cao_tinh_trang'!$B:$B,$A25,'05_Bao_cao_tinh_trang'!$C:$C,$B25,'05_Bao_cao_tinh_trang'!$H:$H,"Đang thực hiện")</x:f>
        <x:v>0</x:v>
      </x:c>
      <x:c r="H25" s="12" t="n">
        <x:f>COUNTIFS('05_Bao_cao_tinh_trang'!$B:$B,$A25,'05_Bao_cao_tinh_trang'!$C:$C,$B25,'05_Bao_cao_tinh_trang'!$H:$H,"Hoàn thành")</x:f>
        <x:v>0</x:v>
      </x:c>
      <x:c r="I25" s="18" t="n">
        <x:f>IFERROR(SUMIFS('05_Bao_cao_tinh_trang'!$I:$I,'05_Bao_cao_tinh_trang'!$B:$B,$A25,'05_Bao_cao_tinh_trang'!$C:$C,$B25)/COUNTIFS('05_Bao_cao_tinh_trang'!$B:$B,$A25,'05_Bao_cao_tinh_trang'!$C:$C,$B25),0)</x:f>
        <x:v>0</x:v>
      </x:c>
      <x:c r="J25" s="12" t="str">
        <x:v>Trung tâm Huấn luyện đào tạo; Ban Tổ chức cán bộ</x:v>
      </x:c>
      <x:c r="K25" s="12" t="str">
        <x:v>Văn phòng - Pháp chế; Ban An toàn - Chất lượng</x:v>
      </x:c>
      <x:c r="L25" s="12" t="str"/>
      <x:c r="M25" s="12" t="str">
        <x:v>Quyết định/Kế hoạch; Quy trình/SOP; Khác</x:v>
      </x:c>
      <x:c r="N25" s="12" t="str">
        <x:v>Theo dõi hàng tuần đối với P1/Rất cao.</x:v>
      </x:c>
    </x:row>
    <x:row r="26">
      <x:c r="A26" s="12" t="str">
        <x:v>Huấn luyện đào tạo &amp; nhân viên HK</x:v>
      </x:c>
      <x:c r="B26" s="12" t="str">
        <x:v>Giấy phép, năng định, chứng chỉ</x:v>
      </x:c>
      <x:c r="C26" s="12" t="n">
        <x:f>COUNTIFS('02_Ma_tran_tuan_thu'!$H:$H,$A26,'02_Ma_tran_tuan_thu'!$I:$I,$B26)</x:f>
        <x:v>8</x:v>
      </x:c>
      <x:c r="D26" s="12" t="n">
        <x:f>COUNTIFS('02_Ma_tran_tuan_thu'!$H:$H,$A26,'02_Ma_tran_tuan_thu'!$I:$I,$B26,'02_Ma_tran_tuan_thu'!$K:$K,"Trực tiếp")</x:f>
        <x:v>8</x:v>
      </x:c>
      <x:c r="E26" s="12" t="n">
        <x:f>COUNTIFS('02_Ma_tran_tuan_thu'!$H:$H,$A26,'02_Ma_tran_tuan_thu'!$I:$I,$B26,'02_Ma_tran_tuan_thu'!$W:$W,"P1")+COUNTIFS('02_Ma_tran_tuan_thu'!$H:$H,$A26,'02_Ma_tran_tuan_thu'!$I:$I,$B26,'02_Ma_tran_tuan_thu'!$W:$W,"Rất cao")</x:f>
        <x:v>8</x:v>
      </x:c>
      <x:c r="F26" s="12" t="n">
        <x:f>COUNTIFS('05_Bao_cao_tinh_trang'!$B:$B,$A26,'05_Bao_cao_tinh_trang'!$C:$C,$B26,'05_Bao_cao_tinh_trang'!$H:$H,"Chưa bắt đầu")</x:f>
        <x:v>8</x:v>
      </x:c>
      <x:c r="G26" s="12" t="n">
        <x:f>COUNTIFS('05_Bao_cao_tinh_trang'!$B:$B,$A26,'05_Bao_cao_tinh_trang'!$C:$C,$B26,'05_Bao_cao_tinh_trang'!$H:$H,"Đang thực hiện")</x:f>
        <x:v>0</x:v>
      </x:c>
      <x:c r="H26" s="12" t="n">
        <x:f>COUNTIFS('05_Bao_cao_tinh_trang'!$B:$B,$A26,'05_Bao_cao_tinh_trang'!$C:$C,$B26,'05_Bao_cao_tinh_trang'!$H:$H,"Hoàn thành")</x:f>
        <x:v>0</x:v>
      </x:c>
      <x:c r="I26" s="18" t="n">
        <x:f>IFERROR(SUMIFS('05_Bao_cao_tinh_trang'!$I:$I,'05_Bao_cao_tinh_trang'!$B:$B,$A26,'05_Bao_cao_tinh_trang'!$C:$C,$B26)/COUNTIFS('05_Bao_cao_tinh_trang'!$B:$B,$A26,'05_Bao_cao_tinh_trang'!$C:$C,$B26),0)</x:f>
        <x:v>0</x:v>
      </x:c>
      <x:c r="J26" s="12" t="str">
        <x:v>Trung tâm Huấn luyện đào tạo; Ban Tổ chức cán bộ</x:v>
      </x:c>
      <x:c r="K26" s="12" t="str">
        <x:v>Ban Không lưu; Ban Kỹ thuật - CNS/IT/Môi trường</x:v>
      </x:c>
      <x:c r="L26" s="12" t="str"/>
      <x:c r="M26" s="12" t="str">
        <x:v>Khác; Quyết định/Kế hoạch; Quy trình/SOP</x:v>
      </x:c>
      <x:c r="N26" s="12" t="str">
        <x:v>Theo dõi hàng tuần đối với P1/Rất cao.</x:v>
      </x:c>
    </x:row>
    <x:row r="27">
      <x:c r="A27" s="12" t="str">
        <x:v>Huấn luyện đào tạo &amp; nhân viên HK</x:v>
      </x:c>
      <x:c r="B27" s="12" t="str">
        <x:v>Quản lý năng lực và hồ sơ đào tạo</x:v>
      </x:c>
      <x:c r="C27" s="12" t="n">
        <x:f>COUNTIFS('02_Ma_tran_tuan_thu'!$H:$H,$A27,'02_Ma_tran_tuan_thu'!$I:$I,$B27)</x:f>
        <x:v>3</x:v>
      </x:c>
      <x:c r="D27" s="12" t="n">
        <x:f>COUNTIFS('02_Ma_tran_tuan_thu'!$H:$H,$A27,'02_Ma_tran_tuan_thu'!$I:$I,$B27,'02_Ma_tran_tuan_thu'!$K:$K,"Trực tiếp")</x:f>
        <x:v>3</x:v>
      </x:c>
      <x:c r="E27" s="12" t="n">
        <x:f>COUNTIFS('02_Ma_tran_tuan_thu'!$H:$H,$A27,'02_Ma_tran_tuan_thu'!$I:$I,$B27,'02_Ma_tran_tuan_thu'!$W:$W,"P1")+COUNTIFS('02_Ma_tran_tuan_thu'!$H:$H,$A27,'02_Ma_tran_tuan_thu'!$I:$I,$B27,'02_Ma_tran_tuan_thu'!$W:$W,"Rất cao")</x:f>
        <x:v>1</x:v>
      </x:c>
      <x:c r="F27" s="12" t="n">
        <x:f>COUNTIFS('05_Bao_cao_tinh_trang'!$B:$B,$A27,'05_Bao_cao_tinh_trang'!$C:$C,$B27,'05_Bao_cao_tinh_trang'!$H:$H,"Chưa bắt đầu")</x:f>
        <x:v>3</x:v>
      </x:c>
      <x:c r="G27" s="12" t="n">
        <x:f>COUNTIFS('05_Bao_cao_tinh_trang'!$B:$B,$A27,'05_Bao_cao_tinh_trang'!$C:$C,$B27,'05_Bao_cao_tinh_trang'!$H:$H,"Đang thực hiện")</x:f>
        <x:v>0</x:v>
      </x:c>
      <x:c r="H27" s="12" t="n">
        <x:f>COUNTIFS('05_Bao_cao_tinh_trang'!$B:$B,$A27,'05_Bao_cao_tinh_trang'!$C:$C,$B27,'05_Bao_cao_tinh_trang'!$H:$H,"Hoàn thành")</x:f>
        <x:v>0</x:v>
      </x:c>
      <x:c r="I27" s="18" t="n">
        <x:f>IFERROR(SUMIFS('05_Bao_cao_tinh_trang'!$I:$I,'05_Bao_cao_tinh_trang'!$B:$B,$A27,'05_Bao_cao_tinh_trang'!$C:$C,$B27)/COUNTIFS('05_Bao_cao_tinh_trang'!$B:$B,$A27,'05_Bao_cao_tinh_trang'!$C:$C,$B27),0)</x:f>
        <x:v>0</x:v>
      </x:c>
      <x:c r="J27" s="12" t="str">
        <x:v>Trung tâm Huấn luyện đào tạo; Ban Tổ chức cán bộ</x:v>
      </x:c>
      <x:c r="K27" s="12" t="str">
        <x:v>Trung tâm Huấn luyện đào tạo; Ban Tổ chức cán bộ</x:v>
      </x:c>
      <x:c r="L27" s="12" t="str">
        <x:v>CAAV, Ban Không lưu/Kỹ thuật</x:v>
      </x:c>
      <x:c r="M27" s="12" t="str">
        <x:v>Quyết định/Kế hoạch; Khác; Báo cáo</x:v>
      </x:c>
      <x:c r="N27" s="12" t="str">
        <x:v>Theo dõi hàng tuần đối với P1/Rất cao.</x:v>
      </x:c>
    </x:row>
    <x:row r="28">
      <x:c r="A28" s="12" t="str">
        <x:v>Quản lý khai thác cảng/sân bay</x:v>
      </x:c>
      <x:c r="B28" s="12" t="str">
        <x:v>Công trình, chướng ngại và thi công</x:v>
      </x:c>
      <x:c r="C28" s="12" t="n">
        <x:f>COUNTIFS('02_Ma_tran_tuan_thu'!$H:$H,$A28,'02_Ma_tran_tuan_thu'!$I:$I,$B28)</x:f>
        <x:v>81</x:v>
      </x:c>
      <x:c r="D28" s="12" t="n">
        <x:f>COUNTIFS('02_Ma_tran_tuan_thu'!$H:$H,$A28,'02_Ma_tran_tuan_thu'!$I:$I,$B28,'02_Ma_tran_tuan_thu'!$K:$K,"Trực tiếp")</x:f>
        <x:v>73</x:v>
      </x:c>
      <x:c r="E28" s="12" t="n">
        <x:f>COUNTIFS('02_Ma_tran_tuan_thu'!$H:$H,$A28,'02_Ma_tran_tuan_thu'!$I:$I,$B28,'02_Ma_tran_tuan_thu'!$W:$W,"P1")+COUNTIFS('02_Ma_tran_tuan_thu'!$H:$H,$A28,'02_Ma_tran_tuan_thu'!$I:$I,$B28,'02_Ma_tran_tuan_thu'!$W:$W,"Rất cao")</x:f>
        <x:v>79</x:v>
      </x:c>
      <x:c r="F28" s="12" t="n">
        <x:f>COUNTIFS('05_Bao_cao_tinh_trang'!$B:$B,$A28,'05_Bao_cao_tinh_trang'!$C:$C,$B28,'05_Bao_cao_tinh_trang'!$H:$H,"Chưa bắt đầu")</x:f>
        <x:v>81</x:v>
      </x:c>
      <x:c r="G28" s="12" t="n">
        <x:f>COUNTIFS('05_Bao_cao_tinh_trang'!$B:$B,$A28,'05_Bao_cao_tinh_trang'!$C:$C,$B28,'05_Bao_cao_tinh_trang'!$H:$H,"Đang thực hiện")</x:f>
        <x:v>0</x:v>
      </x:c>
      <x:c r="H28" s="12" t="n">
        <x:f>COUNTIFS('05_Bao_cao_tinh_trang'!$B:$B,$A28,'05_Bao_cao_tinh_trang'!$C:$C,$B28,'05_Bao_cao_tinh_trang'!$H:$H,"Hoàn thành")</x:f>
        <x:v>0</x:v>
      </x:c>
      <x:c r="I28" s="18" t="n">
        <x:f>IFERROR(SUMIFS('05_Bao_cao_tinh_trang'!$I:$I,'05_Bao_cao_tinh_trang'!$B:$B,$A28,'05_Bao_cao_tinh_trang'!$C:$C,$B28)/COUNTIFS('05_Bao_cao_tinh_trang'!$B:$B,$A28,'05_Bao_cao_tinh_trang'!$C:$C,$B28),0)</x:f>
        <x:v>0</x:v>
      </x:c>
      <x:c r="J28" s="12" t="str">
        <x:v>Ban Kế hoạch - Đầu tư; Ban Không lưu; Ban Kỹ thuật - CNS/IT/Môi trường; Ban An toàn - Chất lượng; Trung tâm Thông báo tin tức hàng không; Các Công ty Quản lý bay khu vực Bắc/Trung/Nam</x:v>
      </x:c>
      <x:c r="K28" s="12" t="str">
        <x:v>Các Công ty Quản lý bay khu vực Bắc/Trung/Nam; Ban Kế hoạch - Đầu tư; Ban Không lưu; Ban Kỹ thuật - CNS/IT/Môi trường</x:v>
      </x:c>
      <x:c r="L28" s="12" t="str">
        <x:v>CHK Việt Nam, Cảng vụ, ACV, chủ đầu tư, đơn vị thi công, hãng bay</x:v>
      </x:c>
      <x:c r="M28" s="12" t="str">
        <x:v>Báo cáo; Quyết định/Kế hoạch; Biểu mẫu/Checklist</x:v>
      </x:c>
      <x:c r="N28" s="12" t="str">
        <x:v>Theo dõi hàng tuần đối với P1/Rất cao.</x:v>
      </x:c>
    </x:row>
    <x:row r="29">
      <x:c r="A29" s="12" t="str">
        <x:v>Quản lý khai thác cảng/sân bay</x:v>
      </x:c>
      <x:c r="B29" s="12" t="str">
        <x:v>Quy hoạch, mặt bằng và phối hợp cảng</x:v>
      </x:c>
      <x:c r="C29" s="12" t="n">
        <x:f>COUNTIFS('02_Ma_tran_tuan_thu'!$H:$H,$A29,'02_Ma_tran_tuan_thu'!$I:$I,$B29)</x:f>
        <x:v>6</x:v>
      </x:c>
      <x:c r="D29" s="12" t="n">
        <x:f>COUNTIFS('02_Ma_tran_tuan_thu'!$H:$H,$A29,'02_Ma_tran_tuan_thu'!$I:$I,$B29,'02_Ma_tran_tuan_thu'!$K:$K,"Trực tiếp")</x:f>
        <x:v>0</x:v>
      </x:c>
      <x:c r="E29" s="12" t="n">
        <x:f>COUNTIFS('02_Ma_tran_tuan_thu'!$H:$H,$A29,'02_Ma_tran_tuan_thu'!$I:$I,$B29,'02_Ma_tran_tuan_thu'!$W:$W,"P1")+COUNTIFS('02_Ma_tran_tuan_thu'!$H:$H,$A29,'02_Ma_tran_tuan_thu'!$I:$I,$B29,'02_Ma_tran_tuan_thu'!$W:$W,"Rất cao")</x:f>
        <x:v>6</x:v>
      </x:c>
      <x:c r="F29" s="12" t="n">
        <x:f>COUNTIFS('05_Bao_cao_tinh_trang'!$B:$B,$A29,'05_Bao_cao_tinh_trang'!$C:$C,$B29,'05_Bao_cao_tinh_trang'!$H:$H,"Chưa bắt đầu")</x:f>
        <x:v>6</x:v>
      </x:c>
      <x:c r="G29" s="12" t="n">
        <x:f>COUNTIFS('05_Bao_cao_tinh_trang'!$B:$B,$A29,'05_Bao_cao_tinh_trang'!$C:$C,$B29,'05_Bao_cao_tinh_trang'!$H:$H,"Đang thực hiện")</x:f>
        <x:v>0</x:v>
      </x:c>
      <x:c r="H29" s="12" t="n">
        <x:f>COUNTIFS('05_Bao_cao_tinh_trang'!$B:$B,$A29,'05_Bao_cao_tinh_trang'!$C:$C,$B29,'05_Bao_cao_tinh_trang'!$H:$H,"Hoàn thành")</x:f>
        <x:v>0</x:v>
      </x:c>
      <x:c r="I29" s="18" t="n">
        <x:f>IFERROR(SUMIFS('05_Bao_cao_tinh_trang'!$I:$I,'05_Bao_cao_tinh_trang'!$B:$B,$A29,'05_Bao_cao_tinh_trang'!$C:$C,$B29)/COUNTIFS('05_Bao_cao_tinh_trang'!$B:$B,$A29,'05_Bao_cao_tinh_trang'!$C:$C,$B29),0)</x:f>
        <x:v>0</x:v>
      </x:c>
      <x:c r="J29" s="12" t="str">
        <x:v>Ban Kế hoạch - Đầu tư; Ban Không lưu; Ban Kỹ thuật - CNS/IT/Môi trường; Trung tâm Thông báo tin tức hàng không</x:v>
      </x:c>
      <x:c r="K29" s="12" t="str">
        <x:v>Các Công ty Quản lý bay khu vực Bắc/Trung/Nam; Ban Kế hoạch - Đầu tư; Ban Không lưu; Ban Kỹ thuật - CNS/IT/Môi trường</x:v>
      </x:c>
      <x:c r="L29" s="12" t="str">
        <x:v>Bộ Xây dựng, CHK Việt Nam, Cảng vụ, ACV, địa phương</x:v>
      </x:c>
      <x:c r="M29" s="12" t="str">
        <x:v>Biên bản/nhật ký/log</x:v>
      </x:c>
      <x:c r="N29" s="12" t="str">
        <x:v>Theo dõi hàng tuần đối với P1/Rất cao.</x:v>
      </x:c>
    </x:row>
    <x:row r="30">
      <x:c r="A30" s="12" t="str">
        <x:v>Quản lý khai thác cảng/sân bay</x:v>
      </x:c>
      <x:c r="B30" s="12" t="str">
        <x:v>Điều phối năng lực khai thác cảng</x:v>
      </x:c>
      <x:c r="C30" s="12" t="n">
        <x:f>COUNTIFS('02_Ma_tran_tuan_thu'!$H:$H,$A30,'02_Ma_tran_tuan_thu'!$I:$I,$B30)</x:f>
        <x:v>1</x:v>
      </x:c>
      <x:c r="D30" s="12" t="n">
        <x:f>COUNTIFS('02_Ma_tran_tuan_thu'!$H:$H,$A30,'02_Ma_tran_tuan_thu'!$I:$I,$B30,'02_Ma_tran_tuan_thu'!$K:$K,"Trực tiếp")</x:f>
        <x:v>0</x:v>
      </x:c>
      <x:c r="E30" s="12" t="n">
        <x:f>COUNTIFS('02_Ma_tran_tuan_thu'!$H:$H,$A30,'02_Ma_tran_tuan_thu'!$I:$I,$B30,'02_Ma_tran_tuan_thu'!$W:$W,"P1")+COUNTIFS('02_Ma_tran_tuan_thu'!$H:$H,$A30,'02_Ma_tran_tuan_thu'!$I:$I,$B30,'02_Ma_tran_tuan_thu'!$W:$W,"Rất cao")</x:f>
        <x:v>1</x:v>
      </x:c>
      <x:c r="F30" s="12" t="n">
        <x:f>COUNTIFS('05_Bao_cao_tinh_trang'!$B:$B,$A30,'05_Bao_cao_tinh_trang'!$C:$C,$B30,'05_Bao_cao_tinh_trang'!$H:$H,"Chưa bắt đầu")</x:f>
        <x:v>1</x:v>
      </x:c>
      <x:c r="G30" s="12" t="n">
        <x:f>COUNTIFS('05_Bao_cao_tinh_trang'!$B:$B,$A30,'05_Bao_cao_tinh_trang'!$C:$C,$B30,'05_Bao_cao_tinh_trang'!$H:$H,"Đang thực hiện")</x:f>
        <x:v>0</x:v>
      </x:c>
      <x:c r="H30" s="12" t="n">
        <x:f>COUNTIFS('05_Bao_cao_tinh_trang'!$B:$B,$A30,'05_Bao_cao_tinh_trang'!$C:$C,$B30,'05_Bao_cao_tinh_trang'!$H:$H,"Hoàn thành")</x:f>
        <x:v>0</x:v>
      </x:c>
      <x:c r="I30" s="18" t="n">
        <x:f>IFERROR(SUMIFS('05_Bao_cao_tinh_trang'!$I:$I,'05_Bao_cao_tinh_trang'!$B:$B,$A30,'05_Bao_cao_tinh_trang'!$C:$C,$B30)/COUNTIFS('05_Bao_cao_tinh_trang'!$B:$B,$A30,'05_Bao_cao_tinh_trang'!$C:$C,$B30),0)</x:f>
        <x:v>0</x:v>
      </x:c>
      <x:c r="J30" s="12" t="str">
        <x:v>Ban Kế hoạch - Đầu tư; Ban Không lưu; Ban Kỹ thuật - CNS/IT/Môi trường; Ban An toàn - Chất lượng</x:v>
      </x:c>
      <x:c r="K30" s="12" t="str">
        <x:v>Các Công ty Quản lý bay khu vực Bắc/Trung/Nam; Ban Kế hoạch - Đầu tư; Ban Không lưu; Ban Kỹ thuật - CNS/IT/Môi trường</x:v>
      </x:c>
      <x:c r="L30" s="12" t="str">
        <x:v>CHK Việt Nam, Cảng vụ, ACV, hãng bay</x:v>
      </x:c>
      <x:c r="M30" s="12" t="str">
        <x:v>Báo cáo</x:v>
      </x:c>
      <x:c r="N30" s="12" t="str">
        <x:v>Theo dõi hàng tuần đối với P1/Rất cao.</x:v>
      </x:c>
    </x:row>
    <x:row r="31">
      <x:c r="A31" s="12" t="str">
        <x:v>Tuân thủ, dữ liệu &amp; chuyển đổi số</x:v>
      </x:c>
      <x:c r="B31" s="12" t="str">
        <x:v>Hồ sơ điện tử, CSDL và ký số</x:v>
      </x:c>
      <x:c r="C31" s="12" t="n">
        <x:f>COUNTIFS('02_Ma_tran_tuan_thu'!$H:$H,$A31,'02_Ma_tran_tuan_thu'!$I:$I,$B31)</x:f>
        <x:v>10</x:v>
      </x:c>
      <x:c r="D31" s="12" t="n">
        <x:f>COUNTIFS('02_Ma_tran_tuan_thu'!$H:$H,$A31,'02_Ma_tran_tuan_thu'!$I:$I,$B31,'02_Ma_tran_tuan_thu'!$K:$K,"Trực tiếp")</x:f>
        <x:v>10</x:v>
      </x:c>
      <x:c r="E31" s="12" t="n">
        <x:f>COUNTIFS('02_Ma_tran_tuan_thu'!$H:$H,$A31,'02_Ma_tran_tuan_thu'!$I:$I,$B31,'02_Ma_tran_tuan_thu'!$W:$W,"P1")+COUNTIFS('02_Ma_tran_tuan_thu'!$H:$H,$A31,'02_Ma_tran_tuan_thu'!$I:$I,$B31,'02_Ma_tran_tuan_thu'!$W:$W,"Rất cao")</x:f>
        <x:v>8</x:v>
      </x:c>
      <x:c r="F31" s="12" t="n">
        <x:f>COUNTIFS('05_Bao_cao_tinh_trang'!$B:$B,$A31,'05_Bao_cao_tinh_trang'!$C:$C,$B31,'05_Bao_cao_tinh_trang'!$H:$H,"Chưa bắt đầu")</x:f>
        <x:v>10</x:v>
      </x:c>
      <x:c r="G31" s="12" t="n">
        <x:f>COUNTIFS('05_Bao_cao_tinh_trang'!$B:$B,$A31,'05_Bao_cao_tinh_trang'!$C:$C,$B31,'05_Bao_cao_tinh_trang'!$H:$H,"Đang thực hiện")</x:f>
        <x:v>0</x:v>
      </x:c>
      <x:c r="H31" s="12" t="n">
        <x:f>COUNTIFS('05_Bao_cao_tinh_trang'!$B:$B,$A31,'05_Bao_cao_tinh_trang'!$C:$C,$B31,'05_Bao_cao_tinh_trang'!$H:$H,"Hoàn thành")</x:f>
        <x:v>0</x:v>
      </x:c>
      <x:c r="I31" s="18" t="n">
        <x:f>IFERROR(SUMIFS('05_Bao_cao_tinh_trang'!$I:$I,'05_Bao_cao_tinh_trang'!$B:$B,$A31,'05_Bao_cao_tinh_trang'!$C:$C,$B31)/COUNTIFS('05_Bao_cao_tinh_trang'!$B:$B,$A31,'05_Bao_cao_tinh_trang'!$C:$C,$B31),0)</x:f>
        <x:v>0</x:v>
      </x:c>
      <x:c r="J31" s="12" t="str">
        <x:v>Ban Kế hoạch doanh nghiệp - Chuyển đổi số; Ban Kỹ thuật - CNS/IT/Môi trường</x:v>
      </x:c>
      <x:c r="K31" s="12" t="str">
        <x:v>Ban Kế hoạch doanh nghiệp - Chuyển đổi số; Ban Kỹ thuật - CNS/IT/Môi trường; Văn phòng - Pháp chế</x:v>
      </x:c>
      <x:c r="L31" s="12" t="str"/>
      <x:c r="M31" s="12" t="str">
        <x:v>Quy trình/SOP; Dữ liệu hệ thống; Quyết định/Kế hoạch</x:v>
      </x:c>
      <x:c r="N31" s="12" t="str">
        <x:v>Theo dõi hàng tuần đối với P1/Rất cao.</x:v>
      </x:c>
    </x:row>
    <x:row r="32">
      <x:c r="A32" s="12" t="str">
        <x:v>Tuân thủ, pháp chế &amp; quản trị</x:v>
      </x:c>
      <x:c r="B32" s="12" t="str">
        <x:v>Giấy phép/phê chuẩn và register</x:v>
      </x:c>
      <x:c r="C32" s="12" t="n">
        <x:f>COUNTIFS('02_Ma_tran_tuan_thu'!$H:$H,$A32,'02_Ma_tran_tuan_thu'!$I:$I,$B32)</x:f>
        <x:v>4</x:v>
      </x:c>
      <x:c r="D32" s="12" t="n">
        <x:f>COUNTIFS('02_Ma_tran_tuan_thu'!$H:$H,$A32,'02_Ma_tran_tuan_thu'!$I:$I,$B32,'02_Ma_tran_tuan_thu'!$K:$K,"Trực tiếp")</x:f>
        <x:v>4</x:v>
      </x:c>
      <x:c r="E32" s="12" t="n">
        <x:f>COUNTIFS('02_Ma_tran_tuan_thu'!$H:$H,$A32,'02_Ma_tran_tuan_thu'!$I:$I,$B32,'02_Ma_tran_tuan_thu'!$W:$W,"P1")+COUNTIFS('02_Ma_tran_tuan_thu'!$H:$H,$A32,'02_Ma_tran_tuan_thu'!$I:$I,$B32,'02_Ma_tran_tuan_thu'!$W:$W,"Rất cao")</x:f>
        <x:v>4</x:v>
      </x:c>
      <x:c r="F32" s="12" t="n">
        <x:f>COUNTIFS('05_Bao_cao_tinh_trang'!$B:$B,$A32,'05_Bao_cao_tinh_trang'!$C:$C,$B32,'05_Bao_cao_tinh_trang'!$H:$H,"Chưa bắt đầu")</x:f>
        <x:v>4</x:v>
      </x:c>
      <x:c r="G32" s="12" t="n">
        <x:f>COUNTIFS('05_Bao_cao_tinh_trang'!$B:$B,$A32,'05_Bao_cao_tinh_trang'!$C:$C,$B32,'05_Bao_cao_tinh_trang'!$H:$H,"Đang thực hiện")</x:f>
        <x:v>0</x:v>
      </x:c>
      <x:c r="H32" s="12" t="n">
        <x:f>COUNTIFS('05_Bao_cao_tinh_trang'!$B:$B,$A32,'05_Bao_cao_tinh_trang'!$C:$C,$B32,'05_Bao_cao_tinh_trang'!$H:$H,"Hoàn thành")</x:f>
        <x:v>0</x:v>
      </x:c>
      <x:c r="I32" s="18" t="n">
        <x:f>IFERROR(SUMIFS('05_Bao_cao_tinh_trang'!$I:$I,'05_Bao_cao_tinh_trang'!$B:$B,$A32,'05_Bao_cao_tinh_trang'!$C:$C,$B32)/COUNTIFS('05_Bao_cao_tinh_trang'!$B:$B,$A32,'05_Bao_cao_tinh_trang'!$C:$C,$B32),0)</x:f>
        <x:v>0</x:v>
      </x:c>
      <x:c r="J32" s="12" t="str">
        <x:v>Văn phòng - Pháp chế; Ban An toàn - Chất lượng</x:v>
      </x:c>
      <x:c r="K32" s="12" t="str">
        <x:v>Văn phòng - Pháp chế</x:v>
      </x:c>
      <x:c r="L32" s="12" t="str"/>
      <x:c r="M32" s="12" t="str">
        <x:v>Quyết định/Kế hoạch; Báo cáo; Khác</x:v>
      </x:c>
      <x:c r="N32" s="12" t="str">
        <x:v>Theo dõi hàng tuần đối với P1/Rất cao.</x:v>
      </x:c>
    </x:row>
    <x:row r="33">
      <x:c r="A33" s="12" t="str">
        <x:v>Tuân thủ, pháp chế &amp; quản trị</x:v>
      </x:c>
      <x:c r="B33" s="12" t="str">
        <x:v>Hợp tác quốc tế/đối ngoại chuyên ngành</x:v>
      </x:c>
      <x:c r="C33" s="12" t="n">
        <x:f>COUNTIFS('02_Ma_tran_tuan_thu'!$H:$H,$A33,'02_Ma_tran_tuan_thu'!$I:$I,$B33)</x:f>
        <x:v>2</x:v>
      </x:c>
      <x:c r="D33" s="12" t="n">
        <x:f>COUNTIFS('02_Ma_tran_tuan_thu'!$H:$H,$A33,'02_Ma_tran_tuan_thu'!$I:$I,$B33,'02_Ma_tran_tuan_thu'!$K:$K,"Trực tiếp")</x:f>
        <x:v>2</x:v>
      </x:c>
      <x:c r="E33" s="12" t="n">
        <x:f>COUNTIFS('02_Ma_tran_tuan_thu'!$H:$H,$A33,'02_Ma_tran_tuan_thu'!$I:$I,$B33,'02_Ma_tran_tuan_thu'!$W:$W,"P1")+COUNTIFS('02_Ma_tran_tuan_thu'!$H:$H,$A33,'02_Ma_tran_tuan_thu'!$I:$I,$B33,'02_Ma_tran_tuan_thu'!$W:$W,"Rất cao")</x:f>
        <x:v>0</x:v>
      </x:c>
      <x:c r="F33" s="12" t="n">
        <x:f>COUNTIFS('05_Bao_cao_tinh_trang'!$B:$B,$A33,'05_Bao_cao_tinh_trang'!$C:$C,$B33,'05_Bao_cao_tinh_trang'!$H:$H,"Chưa bắt đầu")</x:f>
        <x:v>2</x:v>
      </x:c>
      <x:c r="G33" s="12" t="n">
        <x:f>COUNTIFS('05_Bao_cao_tinh_trang'!$B:$B,$A33,'05_Bao_cao_tinh_trang'!$C:$C,$B33,'05_Bao_cao_tinh_trang'!$H:$H,"Đang thực hiện")</x:f>
        <x:v>0</x:v>
      </x:c>
      <x:c r="H33" s="12" t="n">
        <x:f>COUNTIFS('05_Bao_cao_tinh_trang'!$B:$B,$A33,'05_Bao_cao_tinh_trang'!$C:$C,$B33,'05_Bao_cao_tinh_trang'!$H:$H,"Hoàn thành")</x:f>
        <x:v>0</x:v>
      </x:c>
      <x:c r="I33" s="18" t="n">
        <x:f>IFERROR(SUMIFS('05_Bao_cao_tinh_trang'!$I:$I,'05_Bao_cao_tinh_trang'!$B:$B,$A33,'05_Bao_cao_tinh_trang'!$C:$C,$B33)/COUNTIFS('05_Bao_cao_tinh_trang'!$B:$B,$A33,'05_Bao_cao_tinh_trang'!$C:$C,$B33),0)</x:f>
        <x:v>0</x:v>
      </x:c>
      <x:c r="J33" s="12" t="str">
        <x:v>Văn phòng - Pháp chế; Ban Không lưu; Trung tâm Tìm kiếm cứu nạn hàng không</x:v>
      </x:c>
      <x:c r="K33" s="12" t="str">
        <x:v>Văn phòng - Pháp chế</x:v>
      </x:c>
      <x:c r="L33" s="12" t="str">
        <x:v>ANSP/RCC nước ngoài, CAAV, ICAO</x:v>
      </x:c>
      <x:c r="M33" s="12" t="str">
        <x:v>Quyết định/Kế hoạch</x:v>
      </x:c>
      <x:c r="N33" s="12" t="str">
        <x:v>Theo dõi hàng tuần đối với P1/Rất cao.</x:v>
      </x:c>
    </x:row>
    <x:row r="34">
      <x:c r="A34" s="12" t="str">
        <x:v>Tuân thủ, pháp chế &amp; quản trị</x:v>
      </x:c>
      <x:c r="B34" s="12" t="str">
        <x:v>Quản trị triển khai, RACI và báo cáo</x:v>
      </x:c>
      <x:c r="C34" s="12" t="n">
        <x:f>COUNTIFS('02_Ma_tran_tuan_thu'!$H:$H,$A34,'02_Ma_tran_tuan_thu'!$I:$I,$B34)</x:f>
        <x:v>40</x:v>
      </x:c>
      <x:c r="D34" s="12" t="n">
        <x:f>COUNTIFS('02_Ma_tran_tuan_thu'!$H:$H,$A34,'02_Ma_tran_tuan_thu'!$I:$I,$B34,'02_Ma_tran_tuan_thu'!$K:$K,"Trực tiếp")</x:f>
        <x:v>40</x:v>
      </x:c>
      <x:c r="E34" s="12" t="n">
        <x:f>COUNTIFS('02_Ma_tran_tuan_thu'!$H:$H,$A34,'02_Ma_tran_tuan_thu'!$I:$I,$B34,'02_Ma_tran_tuan_thu'!$W:$W,"P1")+COUNTIFS('02_Ma_tran_tuan_thu'!$H:$H,$A34,'02_Ma_tran_tuan_thu'!$I:$I,$B34,'02_Ma_tran_tuan_thu'!$W:$W,"Rất cao")</x:f>
        <x:v>22</x:v>
      </x:c>
      <x:c r="F34" s="12" t="n">
        <x:f>COUNTIFS('05_Bao_cao_tinh_trang'!$B:$B,$A34,'05_Bao_cao_tinh_trang'!$C:$C,$B34,'05_Bao_cao_tinh_trang'!$H:$H,"Chưa bắt đầu")</x:f>
        <x:v>35</x:v>
      </x:c>
      <x:c r="G34" s="12" t="n">
        <x:f>COUNTIFS('05_Bao_cao_tinh_trang'!$B:$B,$A34,'05_Bao_cao_tinh_trang'!$C:$C,$B34,'05_Bao_cao_tinh_trang'!$H:$H,"Đang thực hiện")</x:f>
        <x:v>5</x:v>
      </x:c>
      <x:c r="H34" s="12" t="n">
        <x:f>COUNTIFS('05_Bao_cao_tinh_trang'!$B:$B,$A34,'05_Bao_cao_tinh_trang'!$C:$C,$B34,'05_Bao_cao_tinh_trang'!$H:$H,"Hoàn thành")</x:f>
        <x:v>0</x:v>
      </x:c>
      <x:c r="I34" s="18" t="n">
        <x:f>IFERROR(SUMIFS('05_Bao_cao_tinh_trang'!$I:$I,'05_Bao_cao_tinh_trang'!$B:$B,$A34,'05_Bao_cao_tinh_trang'!$C:$C,$B34)/COUNTIFS('05_Bao_cao_tinh_trang'!$B:$B,$A34,'05_Bao_cao_tinh_trang'!$C:$C,$B34),0)</x:f>
        <x:v>0.0625</x:v>
      </x:c>
      <x:c r="J34" s="12" t="str">
        <x:v>Văn phòng - Pháp chế; Ban An toàn - Chất lượng</x:v>
      </x:c>
      <x:c r="K34" s="12" t="str">
        <x:v>Văn phòng - Pháp chế</x:v>
      </x:c>
      <x:c r="L34" s="12" t="str">
        <x:v>Tất cả đơn vị</x:v>
      </x:c>
      <x:c r="M34" s="12" t="str">
        <x:v>Quy trình/SOP; Báo cáo; Quyết định/Kế hoạch</x:v>
      </x:c>
      <x:c r="N34" s="12" t="str">
        <x:v>Theo dõi hàng tuần đối với P1/Rất cao.</x:v>
      </x:c>
    </x:row>
    <x:row r="35">
      <x:c r="A35" s="12" t="str">
        <x:v>Tuân thủ, pháp chế &amp; quản trị</x:v>
      </x:c>
      <x:c r="B35" s="12" t="str">
        <x:v>Rà soát văn bản, quy trình và GAP</x:v>
      </x:c>
      <x:c r="C35" s="12" t="n">
        <x:f>COUNTIFS('02_Ma_tran_tuan_thu'!$H:$H,$A35,'02_Ma_tran_tuan_thu'!$I:$I,$B35)</x:f>
        <x:v>20</x:v>
      </x:c>
      <x:c r="D35" s="12" t="n">
        <x:f>COUNTIFS('02_Ma_tran_tuan_thu'!$H:$H,$A35,'02_Ma_tran_tuan_thu'!$I:$I,$B35,'02_Ma_tran_tuan_thu'!$K:$K,"Trực tiếp")</x:f>
        <x:v>16</x:v>
      </x:c>
      <x:c r="E35" s="12" t="n">
        <x:f>COUNTIFS('02_Ma_tran_tuan_thu'!$H:$H,$A35,'02_Ma_tran_tuan_thu'!$I:$I,$B35,'02_Ma_tran_tuan_thu'!$W:$W,"P1")+COUNTIFS('02_Ma_tran_tuan_thu'!$H:$H,$A35,'02_Ma_tran_tuan_thu'!$I:$I,$B35,'02_Ma_tran_tuan_thu'!$W:$W,"Rất cao")</x:f>
        <x:v>16</x:v>
      </x:c>
      <x:c r="F35" s="12" t="n">
        <x:f>COUNTIFS('05_Bao_cao_tinh_trang'!$B:$B,$A35,'05_Bao_cao_tinh_trang'!$C:$C,$B35,'05_Bao_cao_tinh_trang'!$H:$H,"Chưa bắt đầu")</x:f>
        <x:v>20</x:v>
      </x:c>
      <x:c r="G35" s="12" t="n">
        <x:f>COUNTIFS('05_Bao_cao_tinh_trang'!$B:$B,$A35,'05_Bao_cao_tinh_trang'!$C:$C,$B35,'05_Bao_cao_tinh_trang'!$H:$H,"Đang thực hiện")</x:f>
        <x:v>0</x:v>
      </x:c>
      <x:c r="H35" s="12" t="n">
        <x:f>COUNTIFS('05_Bao_cao_tinh_trang'!$B:$B,$A35,'05_Bao_cao_tinh_trang'!$C:$C,$B35,'05_Bao_cao_tinh_trang'!$H:$H,"Hoàn thành")</x:f>
        <x:v>0</x:v>
      </x:c>
      <x:c r="I35" s="18" t="n">
        <x:f>IFERROR(SUMIFS('05_Bao_cao_tinh_trang'!$I:$I,'05_Bao_cao_tinh_trang'!$B:$B,$A35,'05_Bao_cao_tinh_trang'!$C:$C,$B35)/COUNTIFS('05_Bao_cao_tinh_trang'!$B:$B,$A35,'05_Bao_cao_tinh_trang'!$C:$C,$B35),0)</x:f>
        <x:v>0</x:v>
      </x:c>
      <x:c r="J35" s="12" t="str">
        <x:v>Văn phòng - Pháp chế; Ban An toàn - Chất lượng</x:v>
      </x:c>
      <x:c r="K35" s="12" t="str">
        <x:v>Văn phòng - Pháp chế</x:v>
      </x:c>
      <x:c r="L35" s="12" t="str">
        <x:v>CHK Việt Nam, Cảng vụ, ACV, đơn vị liên quan</x:v>
      </x:c>
      <x:c r="M35" s="12" t="str">
        <x:v>Quy trình/SOP; Quyết định/Kế hoạch; Biểu mẫu/Checklist</x:v>
      </x:c>
      <x:c r="N35" s="12" t="str">
        <x:v>Theo dõi hàng tuần đối với P1/Rất cao.</x:v>
      </x:c>
    </x:row>
    <x:row r="36">
      <x:c r="A36" s="12" t="str">
        <x:v>Tuân thủ, pháp chế &amp; quản trị</x:v>
      </x:c>
      <x:c r="B36" s="12" t="str">
        <x:v>Thanh tra, kiểm tra, audit tuân thủ</x:v>
      </x:c>
      <x:c r="C36" s="12" t="n">
        <x:f>COUNTIFS('02_Ma_tran_tuan_thu'!$H:$H,$A36,'02_Ma_tran_tuan_thu'!$I:$I,$B36)</x:f>
        <x:v>5</x:v>
      </x:c>
      <x:c r="D36" s="12" t="n">
        <x:f>COUNTIFS('02_Ma_tran_tuan_thu'!$H:$H,$A36,'02_Ma_tran_tuan_thu'!$I:$I,$B36,'02_Ma_tran_tuan_thu'!$K:$K,"Trực tiếp")</x:f>
        <x:v>5</x:v>
      </x:c>
      <x:c r="E36" s="12" t="n">
        <x:f>COUNTIFS('02_Ma_tran_tuan_thu'!$H:$H,$A36,'02_Ma_tran_tuan_thu'!$I:$I,$B36,'02_Ma_tran_tuan_thu'!$W:$W,"P1")+COUNTIFS('02_Ma_tran_tuan_thu'!$H:$H,$A36,'02_Ma_tran_tuan_thu'!$I:$I,$B36,'02_Ma_tran_tuan_thu'!$W:$W,"Rất cao")</x:f>
        <x:v>2</x:v>
      </x:c>
      <x:c r="F36" s="12" t="n">
        <x:f>COUNTIFS('05_Bao_cao_tinh_trang'!$B:$B,$A36,'05_Bao_cao_tinh_trang'!$C:$C,$B36,'05_Bao_cao_tinh_trang'!$H:$H,"Chưa bắt đầu")</x:f>
        <x:v>5</x:v>
      </x:c>
      <x:c r="G36" s="12" t="n">
        <x:f>COUNTIFS('05_Bao_cao_tinh_trang'!$B:$B,$A36,'05_Bao_cao_tinh_trang'!$C:$C,$B36,'05_Bao_cao_tinh_trang'!$H:$H,"Đang thực hiện")</x:f>
        <x:v>0</x:v>
      </x:c>
      <x:c r="H36" s="12" t="n">
        <x:f>COUNTIFS('05_Bao_cao_tinh_trang'!$B:$B,$A36,'05_Bao_cao_tinh_trang'!$C:$C,$B36,'05_Bao_cao_tinh_trang'!$H:$H,"Hoàn thành")</x:f>
        <x:v>0</x:v>
      </x:c>
      <x:c r="I36" s="18" t="n">
        <x:f>IFERROR(SUMIFS('05_Bao_cao_tinh_trang'!$I:$I,'05_Bao_cao_tinh_trang'!$B:$B,$A36,'05_Bao_cao_tinh_trang'!$C:$C,$B36)/COUNTIFS('05_Bao_cao_tinh_trang'!$B:$B,$A36,'05_Bao_cao_tinh_trang'!$C:$C,$B36),0)</x:f>
        <x:v>0</x:v>
      </x:c>
      <x:c r="J36" s="12" t="str">
        <x:v>Văn phòng - Pháp chế; Ban An toàn - Chất lượng</x:v>
      </x:c>
      <x:c r="K36" s="12" t="str">
        <x:v>Ban An toàn - Chất lượng; Văn phòng - Pháp chế</x:v>
      </x:c>
      <x:c r="L36" s="12" t="str"/>
      <x:c r="M36" s="12" t="str">
        <x:v>Khác; Quy trình/SOP; Quyết định/Kế hoạch</x:v>
      </x:c>
      <x:c r="N36" s="12" t="str">
        <x:v>Theo dõi hàng tuần đối với P1/Rất cao.</x:v>
      </x:c>
    </x:row>
    <x:row r="37">
      <x:c r="A37" s="12" t="str">
        <x:v>Tài chính - Kế hoạch đầu tư</x:v>
      </x:c>
      <x:c r="B37" s="12" t="str">
        <x:v>Kế hoạch vốn, đầu tư và mua sắm</x:v>
      </x:c>
      <x:c r="C37" s="12" t="n">
        <x:f>COUNTIFS('02_Ma_tran_tuan_thu'!$H:$H,$A37,'02_Ma_tran_tuan_thu'!$I:$I,$B37)</x:f>
        <x:v>4</x:v>
      </x:c>
      <x:c r="D37" s="12" t="n">
        <x:f>COUNTIFS('02_Ma_tran_tuan_thu'!$H:$H,$A37,'02_Ma_tran_tuan_thu'!$I:$I,$B37,'02_Ma_tran_tuan_thu'!$K:$K,"Trực tiếp")</x:f>
        <x:v>4</x:v>
      </x:c>
      <x:c r="E37" s="12" t="n">
        <x:f>COUNTIFS('02_Ma_tran_tuan_thu'!$H:$H,$A37,'02_Ma_tran_tuan_thu'!$I:$I,$B37,'02_Ma_tran_tuan_thu'!$W:$W,"P1")+COUNTIFS('02_Ma_tran_tuan_thu'!$H:$H,$A37,'02_Ma_tran_tuan_thu'!$I:$I,$B37,'02_Ma_tran_tuan_thu'!$W:$W,"Rất cao")</x:f>
        <x:v>3</x:v>
      </x:c>
      <x:c r="F37" s="12" t="n">
        <x:f>COUNTIFS('05_Bao_cao_tinh_trang'!$B:$B,$A37,'05_Bao_cao_tinh_trang'!$C:$C,$B37,'05_Bao_cao_tinh_trang'!$H:$H,"Chưa bắt đầu")</x:f>
        <x:v>4</x:v>
      </x:c>
      <x:c r="G37" s="12" t="n">
        <x:f>COUNTIFS('05_Bao_cao_tinh_trang'!$B:$B,$A37,'05_Bao_cao_tinh_trang'!$C:$C,$B37,'05_Bao_cao_tinh_trang'!$H:$H,"Đang thực hiện")</x:f>
        <x:v>0</x:v>
      </x:c>
      <x:c r="H37" s="12" t="n">
        <x:f>COUNTIFS('05_Bao_cao_tinh_trang'!$B:$B,$A37,'05_Bao_cao_tinh_trang'!$C:$C,$B37,'05_Bao_cao_tinh_trang'!$H:$H,"Hoàn thành")</x:f>
        <x:v>0</x:v>
      </x:c>
      <x:c r="I37" s="18" t="n">
        <x:f>IFERROR(SUMIFS('05_Bao_cao_tinh_trang'!$I:$I,'05_Bao_cao_tinh_trang'!$B:$B,$A37,'05_Bao_cao_tinh_trang'!$C:$C,$B37)/COUNTIFS('05_Bao_cao_tinh_trang'!$B:$B,$A37,'05_Bao_cao_tinh_trang'!$C:$C,$B37),0)</x:f>
        <x:v>0</x:v>
      </x:c>
      <x:c r="J37" s="12" t="str">
        <x:v>Ban Kế hoạch - Đầu tư; Ban Tài chính</x:v>
      </x:c>
      <x:c r="K37" s="12" t="str">
        <x:v>Ban Tài chính; Ban Kế hoạch - Đầu tư</x:v>
      </x:c>
      <x:c r="L37" s="12" t="str">
        <x:v>Bộ Xây dựng, Bộ Tài chính, CAAV</x:v>
      </x:c>
      <x:c r="M37" s="12" t="str">
        <x:v>Quyết định/Kế hoạch; Quy trình/SOP; Khác</x:v>
      </x:c>
      <x:c r="N37" s="12" t="str">
        <x:v>Theo dõi hàng tuần đối với P1/Rất cao.</x:v>
      </x:c>
    </x:row>
    <x:row r="38">
      <x:c r="A38" s="12" t="str">
        <x:v>Tài chính - Kế hoạch đầu tư</x:v>
      </x:c>
      <x:c r="B38" s="12" t="str">
        <x:v>Phí, thanh toán, hợp đồng và billing</x:v>
      </x:c>
      <x:c r="C38" s="12" t="n">
        <x:f>COUNTIFS('02_Ma_tran_tuan_thu'!$H:$H,$A38,'02_Ma_tran_tuan_thu'!$I:$I,$B38)</x:f>
        <x:v>39</x:v>
      </x:c>
      <x:c r="D38" s="12" t="n">
        <x:f>COUNTIFS('02_Ma_tran_tuan_thu'!$H:$H,$A38,'02_Ma_tran_tuan_thu'!$I:$I,$B38,'02_Ma_tran_tuan_thu'!$K:$K,"Trực tiếp")</x:f>
        <x:v>2</x:v>
      </x:c>
      <x:c r="E38" s="12" t="n">
        <x:f>COUNTIFS('02_Ma_tran_tuan_thu'!$H:$H,$A38,'02_Ma_tran_tuan_thu'!$I:$I,$B38,'02_Ma_tran_tuan_thu'!$W:$W,"P1")+COUNTIFS('02_Ma_tran_tuan_thu'!$H:$H,$A38,'02_Ma_tran_tuan_thu'!$I:$I,$B38,'02_Ma_tran_tuan_thu'!$W:$W,"Rất cao")</x:f>
        <x:v>36</x:v>
      </x:c>
      <x:c r="F38" s="12" t="n">
        <x:f>COUNTIFS('05_Bao_cao_tinh_trang'!$B:$B,$A38,'05_Bao_cao_tinh_trang'!$C:$C,$B38,'05_Bao_cao_tinh_trang'!$H:$H,"Chưa bắt đầu")</x:f>
        <x:v>39</x:v>
      </x:c>
      <x:c r="G38" s="12" t="n">
        <x:f>COUNTIFS('05_Bao_cao_tinh_trang'!$B:$B,$A38,'05_Bao_cao_tinh_trang'!$C:$C,$B38,'05_Bao_cao_tinh_trang'!$H:$H,"Đang thực hiện")</x:f>
        <x:v>0</x:v>
      </x:c>
      <x:c r="H38" s="12" t="n">
        <x:f>COUNTIFS('05_Bao_cao_tinh_trang'!$B:$B,$A38,'05_Bao_cao_tinh_trang'!$C:$C,$B38,'05_Bao_cao_tinh_trang'!$H:$H,"Hoàn thành")</x:f>
        <x:v>0</x:v>
      </x:c>
      <x:c r="I38" s="18" t="n">
        <x:f>IFERROR(SUMIFS('05_Bao_cao_tinh_trang'!$I:$I,'05_Bao_cao_tinh_trang'!$B:$B,$A38,'05_Bao_cao_tinh_trang'!$C:$C,$B38)/COUNTIFS('05_Bao_cao_tinh_trang'!$B:$B,$A38,'05_Bao_cao_tinh_trang'!$C:$C,$B38),0)</x:f>
        <x:v>0</x:v>
      </x:c>
      <x:c r="J38" s="12" t="str">
        <x:v>Ban Tài chính; Ban Kế hoạch - Đầu tư; Ban Không lưu; Ban Kỹ thuật - CNS/IT/Môi trường; Trung tâm Thông báo tin tức hàng không</x:v>
      </x:c>
      <x:c r="K38" s="12" t="str">
        <x:v>Ban Tài chính; Ban Kế hoạch - Đầu tư</x:v>
      </x:c>
      <x:c r="L38" s="12" t="str">
        <x:v>Bộ Xây dựng, CHK Việt Nam, Cảng vụ, ACV, địa phương</x:v>
      </x:c>
      <x:c r="M38" s="12" t="str">
        <x:v>Dữ liệu hệ thống; Báo cáo; Quy trình/SOP</x:v>
      </x:c>
      <x:c r="N38" s="12" t="str">
        <x:v>Theo dõi hàng tuần đối với P1/Rất cao.</x:v>
      </x:c>
    </x:row>
  </x:sheetData>
  <x:pageMargins left="0.7" right="0.7" top="0.75" bottom="0.75" header="0.3" footer="0.3"/>
  <x:tableParts count="1">
    <x:tablePart xmlns:r="http://schemas.openxmlformats.org/officeDocument/2006/relationships" r:id="R34aaa381c84242e9"/>
  </x:tableParts>
</x:worksheet>
</file>

<file path=xl/worksheets/sheet4.xml><?xml version="1.0" encoding="utf-8"?>
<x:worksheet xmlns:x="http://schemas.openxmlformats.org/spreadsheetml/2006/main">
  <x:sheetFormatPr defaultRowHeight="15"/>
  <x:cols>
    <x:col min="1" max="1" width="42" hidden="0" customWidth="1"/>
    <x:col min="2" max="2" width="16" hidden="0" customWidth="1"/>
    <x:col min="3" max="3" width="16" hidden="0" customWidth="1"/>
    <x:col min="4" max="4" width="16" hidden="0" customWidth="1"/>
    <x:col min="5" max="5" width="16" hidden="0" customWidth="1"/>
    <x:col min="6" max="6" width="14" hidden="0" customWidth="1"/>
    <x:col min="7" max="7" width="16" hidden="0" customWidth="1"/>
    <x:col min="8" max="8" width="42" hidden="0" customWidth="1"/>
    <x:col min="9" max="9" width="24" hidden="0" customWidth="1"/>
    <x:col min="10" max="10" width="40" hidden="0" customWidth="1"/>
  </x:cols>
  <x:sheetData>
    <x:row r="1">
      <x:c r="A1" s="6" t="str">
        <x:v>Đơn vị VATM</x:v>
      </x:c>
      <x:c r="B1" s="6" t="str">
        <x:v>Tổng nhiệm vụ chủ trì</x:v>
      </x:c>
      <x:c r="C1" s="6" t="str">
        <x:v>P1/Rất cao chủ trì</x:v>
      </x:c>
      <x:c r="D1" s="6" t="str">
        <x:v>Chưa bắt đầu</x:v>
      </x:c>
      <x:c r="E1" s="6" t="str">
        <x:v>Đang thực hiện</x:v>
      </x:c>
      <x:c r="F1" s="6" t="str">
        <x:v>Hoàn thành</x:v>
      </x:c>
      <x:c r="G1" s="6" t="str">
        <x:v>Nhiệm vụ phối hợp</x:v>
      </x:c>
      <x:c r="H1" s="6" t="str">
        <x:v>Nhóm/lĩnh vực trọng tâm</x:v>
      </x:c>
      <x:c r="I1" s="6" t="str">
        <x:v>Đầu mối cập nhật đề xuất</x:v>
      </x:c>
      <x:c r="J1" s="6" t="str">
        <x:v>Ghi chú đôn đốc</x:v>
      </x:c>
    </x:row>
    <x:row r="2">
      <x:c r="A2" s="12" t="str">
        <x:v>Văn phòng - Pháp chế</x:v>
      </x:c>
      <x:c r="B2" s="12" t="n">
        <x:v>147</x:v>
      </x:c>
      <x:c r="C2" s="12" t="n">
        <x:v>114</x:v>
      </x:c>
      <x:c r="D2" s="12" t="n">
        <x:v>142</x:v>
      </x:c>
      <x:c r="E2" s="12" t="n">
        <x:v>5</x:v>
      </x:c>
      <x:c r="F2" s="12" t="n">
        <x:v>0</x:v>
      </x:c>
      <x:c r="G2" s="12" t="n">
        <x:v>96</x:v>
      </x:c>
      <x:c r="H2" s="12" t="str">
        <x:v>Tuân thủ, pháp chế &amp; quản trị; Quản lý khai thác cảng/sân bay; Tài chính - Kế hoạch đầu tư</x:v>
      </x:c>
      <x:c r="I2" s="12" t="str"/>
      <x:c r="J2" s="12" t="str">
        <x:v>Cập nhật tình trạng và bằng chứng tối thiểu hằng tuần đối với nhiệm vụ P1/Rất cao.</x:v>
      </x:c>
    </x:row>
    <x:row r="3">
      <x:c r="A3" s="12" t="str">
        <x:v>Ban Tài chính</x:v>
      </x:c>
      <x:c r="B3" s="12" t="n">
        <x:v>48</x:v>
      </x:c>
      <x:c r="C3" s="12" t="n">
        <x:v>40</x:v>
      </x:c>
      <x:c r="D3" s="12" t="n">
        <x:v>48</x:v>
      </x:c>
      <x:c r="E3" s="12" t="n">
        <x:v>0</x:v>
      </x:c>
      <x:c r="F3" s="12" t="n">
        <x:v>0</x:v>
      </x:c>
      <x:c r="G3" s="12" t="n">
        <x:v>47</x:v>
      </x:c>
      <x:c r="H3" s="12" t="str">
        <x:v>Tài chính - Kế hoạch đầu tư; Tuân thủ, pháp chế &amp; quản trị; An ninh hàng không</x:v>
      </x:c>
      <x:c r="I3" s="12" t="str"/>
      <x:c r="J3" s="12" t="str">
        <x:v>Cập nhật tình trạng và bằng chứng tối thiểu hằng tuần đối với nhiệm vụ P1/Rất cao.</x:v>
      </x:c>
    </x:row>
    <x:row r="4">
      <x:c r="A4" s="12" t="str">
        <x:v>Ban Kế hoạch - Đầu tư</x:v>
      </x:c>
      <x:c r="B4" s="12" t="n">
        <x:v>116</x:v>
      </x:c>
      <x:c r="C4" s="12" t="n">
        <x:v>110</x:v>
      </x:c>
      <x:c r="D4" s="12" t="n">
        <x:v>116</x:v>
      </x:c>
      <x:c r="E4" s="12" t="n">
        <x:v>0</x:v>
      </x:c>
      <x:c r="F4" s="12" t="n">
        <x:v>0</x:v>
      </x:c>
      <x:c r="G4" s="12" t="n">
        <x:v>131</x:v>
      </x:c>
      <x:c r="H4" s="12" t="str">
        <x:v>Quản lý khai thác cảng/sân bay; Tài chính - Kế hoạch đầu tư; Tuân thủ, pháp chế &amp; quản trị</x:v>
      </x:c>
      <x:c r="I4" s="12" t="str"/>
      <x:c r="J4" s="12" t="str">
        <x:v>Cập nhật tình trạng và bằng chứng tối thiểu hằng tuần đối với nhiệm vụ P1/Rất cao.</x:v>
      </x:c>
    </x:row>
    <x:row r="5">
      <x:c r="A5" s="12" t="str">
        <x:v>Ban Kế hoạch doanh nghiệp - Chuyển đổi số</x:v>
      </x:c>
      <x:c r="B5" s="12" t="n">
        <x:v>36</x:v>
      </x:c>
      <x:c r="C5" s="12" t="n">
        <x:v>28</x:v>
      </x:c>
      <x:c r="D5" s="12" t="n">
        <x:v>36</x:v>
      </x:c>
      <x:c r="E5" s="12" t="n">
        <x:v>0</x:v>
      </x:c>
      <x:c r="F5" s="12" t="n">
        <x:v>0</x:v>
      </x:c>
      <x:c r="G5" s="12" t="n">
        <x:v>21</x:v>
      </x:c>
      <x:c r="H5" s="12" t="str">
        <x:v>An ninh hàng không; Tuân thủ, dữ liệu &amp; chuyển đổi số; An toàn hàng không / SMS</x:v>
      </x:c>
      <x:c r="I5" s="12" t="str"/>
      <x:c r="J5" s="12" t="str">
        <x:v>Cập nhật tình trạng và bằng chứng tối thiểu hằng tuần đối với nhiệm vụ P1/Rất cao.</x:v>
      </x:c>
    </x:row>
    <x:row r="6">
      <x:c r="A6" s="12" t="str">
        <x:v>Ban Tổ chức cán bộ</x:v>
      </x:c>
      <x:c r="B6" s="12" t="n">
        <x:v>23</x:v>
      </x:c>
      <x:c r="C6" s="12" t="n">
        <x:v>19</x:v>
      </x:c>
      <x:c r="D6" s="12" t="n">
        <x:v>23</x:v>
      </x:c>
      <x:c r="E6" s="12" t="n">
        <x:v>0</x:v>
      </x:c>
      <x:c r="F6" s="12" t="n">
        <x:v>0</x:v>
      </x:c>
      <x:c r="G6" s="12" t="n">
        <x:v>8</x:v>
      </x:c>
      <x:c r="H6" s="12" t="str">
        <x:v>Huấn luyện đào tạo &amp; nhân viên HK; An ninh hàng không; Tuân thủ, pháp chế &amp; quản trị</x:v>
      </x:c>
      <x:c r="I6" s="12" t="str"/>
      <x:c r="J6" s="12" t="str">
        <x:v>Cập nhật tình trạng và bằng chứng tối thiểu hằng tuần đối với nhiệm vụ P1/Rất cao.</x:v>
      </x:c>
    </x:row>
    <x:row r="7">
      <x:c r="A7" s="12" t="str">
        <x:v>Trung tâm Huấn luyện đào tạo</x:v>
      </x:c>
      <x:c r="B7" s="12" t="n">
        <x:v>23</x:v>
      </x:c>
      <x:c r="C7" s="12" t="n">
        <x:v>18</x:v>
      </x:c>
      <x:c r="D7" s="12" t="n">
        <x:v>23</x:v>
      </x:c>
      <x:c r="E7" s="12" t="n">
        <x:v>0</x:v>
      </x:c>
      <x:c r="F7" s="12" t="n">
        <x:v>0</x:v>
      </x:c>
      <x:c r="G7" s="12" t="n">
        <x:v>6</x:v>
      </x:c>
      <x:c r="H7" s="12" t="str">
        <x:v>Huấn luyện đào tạo &amp; nhân viên HK; ANS - ATM/ATS/ATFM</x:v>
      </x:c>
      <x:c r="I7" s="12" t="str"/>
      <x:c r="J7" s="12" t="str">
        <x:v>Cập nhật tình trạng và bằng chứng tối thiểu hằng tuần đối với nhiệm vụ P1/Rất cao.</x:v>
      </x:c>
    </x:row>
    <x:row r="8">
      <x:c r="A8" s="12" t="str">
        <x:v>Ban Không lưu</x:v>
      </x:c>
      <x:c r="B8" s="12" t="n">
        <x:v>177</x:v>
      </x:c>
      <x:c r="C8" s="12" t="n">
        <x:v>159</x:v>
      </x:c>
      <x:c r="D8" s="12" t="n">
        <x:v>177</x:v>
      </x:c>
      <x:c r="E8" s="12" t="n">
        <x:v>0</x:v>
      </x:c>
      <x:c r="F8" s="12" t="n">
        <x:v>0</x:v>
      </x:c>
      <x:c r="G8" s="12" t="n">
        <x:v>156</x:v>
      </x:c>
      <x:c r="H8" s="12" t="str">
        <x:v>Quản lý khai thác cảng/sân bay; Tài chính - Kế hoạch đầu tư; ANS - ATM/ATS/ATFM</x:v>
      </x:c>
      <x:c r="I8" s="12" t="str"/>
      <x:c r="J8" s="12" t="str">
        <x:v>Cập nhật tình trạng và bằng chứng tối thiểu hằng tuần đối với nhiệm vụ P1/Rất cao.</x:v>
      </x:c>
    </x:row>
    <x:row r="9">
      <x:c r="A9" s="12" t="str">
        <x:v>Ban Kỹ thuật - CNS/IT/Môi trường</x:v>
      </x:c>
      <x:c r="B9" s="12" t="n">
        <x:v>174</x:v>
      </x:c>
      <x:c r="C9" s="12" t="n">
        <x:v>159</x:v>
      </x:c>
      <x:c r="D9" s="12" t="n">
        <x:v>174</x:v>
      </x:c>
      <x:c r="E9" s="12" t="n">
        <x:v>0</x:v>
      </x:c>
      <x:c r="F9" s="12" t="n">
        <x:v>0</x:v>
      </x:c>
      <x:c r="G9" s="12" t="n">
        <x:v>149</x:v>
      </x:c>
      <x:c r="H9" s="12" t="str">
        <x:v>Quản lý khai thác cảng/sân bay; An ninh hàng không; Tài chính - Kế hoạch đầu tư</x:v>
      </x:c>
      <x:c r="I9" s="12" t="str"/>
      <x:c r="J9" s="12" t="str">
        <x:v>Cập nhật tình trạng và bằng chứng tối thiểu hằng tuần đối với nhiệm vụ P1/Rất cao.</x:v>
      </x:c>
    </x:row>
    <x:row r="10">
      <x:c r="A10" s="12" t="str">
        <x:v>Ban An toàn - Chất lượng</x:v>
      </x:c>
      <x:c r="B10" s="12" t="n">
        <x:v>339</x:v>
      </x:c>
      <x:c r="C10" s="12" t="n">
        <x:v>85</x:v>
      </x:c>
      <x:c r="D10" s="12" t="n">
        <x:v>338</x:v>
      </x:c>
      <x:c r="E10" s="12" t="n">
        <x:v>1</x:v>
      </x:c>
      <x:c r="F10" s="12" t="n">
        <x:v>0</x:v>
      </x:c>
      <x:c r="G10" s="12" t="n">
        <x:v>281</x:v>
      </x:c>
      <x:c r="H10" s="12" t="str">
        <x:v>An toàn hàng không / SMS; Quản lý khai thác cảng/sân bay; Tuân thủ, pháp chế &amp; quản trị</x:v>
      </x:c>
      <x:c r="I10" s="12" t="str"/>
      <x:c r="J10" s="12" t="str">
        <x:v>Cập nhật tình trạng và bằng chứng tối thiểu hằng tuần đối với nhiệm vụ P1/Rất cao.</x:v>
      </x:c>
    </x:row>
    <x:row r="11">
      <x:c r="A11" s="12" t="str">
        <x:v>Ban An ninh hàng không</x:v>
      </x:c>
      <x:c r="B11" s="12" t="n">
        <x:v>92</x:v>
      </x:c>
      <x:c r="C11" s="12" t="n">
        <x:v>86</x:v>
      </x:c>
      <x:c r="D11" s="12" t="n">
        <x:v>92</x:v>
      </x:c>
      <x:c r="E11" s="12" t="n">
        <x:v>0</x:v>
      </x:c>
      <x:c r="F11" s="12" t="n">
        <x:v>0</x:v>
      </x:c>
      <x:c r="G11" s="12" t="n">
        <x:v>92</x:v>
      </x:c>
      <x:c r="H11" s="12" t="str">
        <x:v>An ninh hàng không; ANS - ATM/ATS/ATFM; Tuân thủ, pháp chế &amp; quản trị</x:v>
      </x:c>
      <x:c r="I11" s="12" t="str"/>
      <x:c r="J11" s="12" t="str">
        <x:v>Cập nhật tình trạng và bằng chứng tối thiểu hằng tuần đối với nhiệm vụ P1/Rất cao.</x:v>
      </x:c>
    </x:row>
    <x:row r="12">
      <x:c r="A12" s="12" t="str">
        <x:v>Trung tâm Khí tượng hàng không</x:v>
      </x:c>
      <x:c r="B12" s="12" t="n">
        <x:v>7</x:v>
      </x:c>
      <x:c r="C12" s="12" t="n">
        <x:v>3</x:v>
      </x:c>
      <x:c r="D12" s="12" t="n">
        <x:v>7</x:v>
      </x:c>
      <x:c r="E12" s="12" t="n">
        <x:v>0</x:v>
      </x:c>
      <x:c r="F12" s="12" t="n">
        <x:v>0</x:v>
      </x:c>
      <x:c r="G12" s="12" t="n">
        <x:v>24</x:v>
      </x:c>
      <x:c r="H12" s="12" t="str">
        <x:v>ANS - MET/Khí tượng hàng không; Quản lý khai thác cảng/sân bay; Tuân thủ, pháp chế &amp; quản trị</x:v>
      </x:c>
      <x:c r="I12" s="12" t="str"/>
      <x:c r="J12" s="12" t="str">
        <x:v>Cập nhật tình trạng và bằng chứng tối thiểu hằng tuần đối với nhiệm vụ P1/Rất cao.</x:v>
      </x:c>
    </x:row>
    <x:row r="13">
      <x:c r="A13" s="12" t="str">
        <x:v>Trung tâm Thông báo tin tức hàng không</x:v>
      </x:c>
      <x:c r="B13" s="12" t="n">
        <x:v>102</x:v>
      </x:c>
      <x:c r="C13" s="12" t="n">
        <x:v>95</x:v>
      </x:c>
      <x:c r="D13" s="12" t="n">
        <x:v>102</x:v>
      </x:c>
      <x:c r="E13" s="12" t="n">
        <x:v>0</x:v>
      </x:c>
      <x:c r="F13" s="12" t="n">
        <x:v>0</x:v>
      </x:c>
      <x:c r="G13" s="12" t="n">
        <x:v>37</x:v>
      </x:c>
      <x:c r="H13" s="12" t="str">
        <x:v>Quản lý khai thác cảng/sân bay; Tài chính - Kế hoạch đầu tư; ANS - AIS/AIM/Tin tức HK</x:v>
      </x:c>
      <x:c r="I13" s="12" t="str"/>
      <x:c r="J13" s="12" t="str">
        <x:v>Cập nhật tình trạng và bằng chứng tối thiểu hằng tuần đối với nhiệm vụ P1/Rất cao.</x:v>
      </x:c>
    </x:row>
    <x:row r="14">
      <x:c r="A14" s="12" t="str">
        <x:v>Trung tâm Quản lý luồng không lưu</x:v>
      </x:c>
      <x:c r="B14" s="12" t="n">
        <x:v>20</x:v>
      </x:c>
      <x:c r="C14" s="12" t="n">
        <x:v>13</x:v>
      </x:c>
      <x:c r="D14" s="12" t="n">
        <x:v>20</x:v>
      </x:c>
      <x:c r="E14" s="12" t="n">
        <x:v>0</x:v>
      </x:c>
      <x:c r="F14" s="12" t="n">
        <x:v>0</x:v>
      </x:c>
      <x:c r="G14" s="12" t="n">
        <x:v>10</x:v>
      </x:c>
      <x:c r="H14" s="12" t="str">
        <x:v>ANS - ATM/ATS/ATFM; An ninh hàng không; ANS - AIS/AIM/Tin tức HK</x:v>
      </x:c>
      <x:c r="I14" s="12" t="str"/>
      <x:c r="J14" s="12" t="str">
        <x:v>Cập nhật tình trạng và bằng chứng tối thiểu hằng tuần đối với nhiệm vụ P1/Rất cao.</x:v>
      </x:c>
    </x:row>
    <x:row r="15">
      <x:c r="A15" s="12" t="str">
        <x:v>Trung tâm Tìm kiếm cứu nạn hàng không</x:v>
      </x:c>
      <x:c r="B15" s="12" t="n">
        <x:v>11</x:v>
      </x:c>
      <x:c r="C15" s="12" t="n">
        <x:v>5</x:v>
      </x:c>
      <x:c r="D15" s="12" t="n">
        <x:v>11</x:v>
      </x:c>
      <x:c r="E15" s="12" t="n">
        <x:v>0</x:v>
      </x:c>
      <x:c r="F15" s="12" t="n">
        <x:v>0</x:v>
      </x:c>
      <x:c r="G15" s="12" t="n">
        <x:v>20</x:v>
      </x:c>
      <x:c r="H15" s="12" t="str">
        <x:v>ANS - Tìm kiếm cứu nạn &amp; khẩn nguy; Quản lý khai thác cảng/sân bay; Tuân thủ, pháp chế &amp; quản trị</x:v>
      </x:c>
      <x:c r="I15" s="12" t="str"/>
      <x:c r="J15" s="12" t="str">
        <x:v>Cập nhật tình trạng và bằng chứng tối thiểu hằng tuần đối với nhiệm vụ P1/Rất cao.</x:v>
      </x:c>
    </x:row>
    <x:row r="16">
      <x:c r="A16" s="12" t="str">
        <x:v>Các Công ty Quản lý bay khu vực Bắc/Trung/Nam</x:v>
      </x:c>
      <x:c r="B16" s="12" t="n">
        <x:v>91</x:v>
      </x:c>
      <x:c r="C16" s="12" t="n">
        <x:v>91</x:v>
      </x:c>
      <x:c r="D16" s="12" t="n">
        <x:v>91</x:v>
      </x:c>
      <x:c r="E16" s="12" t="n">
        <x:v>0</x:v>
      </x:c>
      <x:c r="F16" s="12" t="n">
        <x:v>0</x:v>
      </x:c>
      <x:c r="G16" s="12" t="n">
        <x:v>499</x:v>
      </x:c>
      <x:c r="H16" s="12" t="str">
        <x:v>Quản lý khai thác cảng/sân bay; Tài chính - Kế hoạch đầu tư; An ninh hàng không</x:v>
      </x:c>
      <x:c r="I16" s="12" t="str"/>
      <x:c r="J16" s="12" t="str">
        <x:v>Cập nhật tình trạng và bằng chứng tối thiểu hằng tuần đối với nhiệm vụ P1/Rất cao.</x:v>
      </x:c>
    </x:row>
    <x:row r="17">
      <x:c r="A17" s="12" t="str">
        <x:v>Các đơn vị/cơ sở ANS trực thuộc</x:v>
      </x:c>
      <x:c r="B17" s="12" t="n">
        <x:v>0</x:v>
      </x:c>
      <x:c r="C17" s="12" t="n">
        <x:v>0</x:v>
      </x:c>
      <x:c r="D17" s="12" t="n">
        <x:v>0</x:v>
      </x:c>
      <x:c r="E17" s="12" t="n">
        <x:v>0</x:v>
      </x:c>
      <x:c r="F17" s="12" t="n">
        <x:v>0</x:v>
      </x:c>
      <x:c r="G17" s="12" t="n">
        <x:v>0</x:v>
      </x:c>
      <x:c r="H17" s="12" t="str"/>
      <x:c r="I17" s="12" t="str"/>
      <x:c r="J17" s="12" t="str">
        <x:v>Cập nhật tình trạng và bằng chứng tối thiểu hằng tuần đối với nhiệm vụ P1/Rất cao.</x:v>
      </x:c>
    </x:row>
  </x:sheetData>
  <x:pageMargins left="0.7" right="0.7" top="0.75" bottom="0.75" header="0.3" footer="0.3"/>
  <x:tableParts count="1">
    <x:tablePart xmlns:r="http://schemas.openxmlformats.org/officeDocument/2006/relationships" r:id="Rb6f130d360e249d2"/>
  </x:tableParts>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52" hidden="0" customWidth="1"/>
    <x:col min="5" max="5" width="38" hidden="0" customWidth="1"/>
    <x:col min="6" max="6" width="12" hidden="0" customWidth="1"/>
    <x:col min="7" max="7" width="24" hidden="0" customWidth="1"/>
    <x:col min="8" max="8" width="20" hidden="0" customWidth="1"/>
    <x:col min="9" max="9" width="14" hidden="0" customWidth="1"/>
    <x:col min="10" max="10" width="16" hidden="0" customWidth="1"/>
    <x:col min="11" max="11" width="20" hidden="0" customWidth="1"/>
    <x:col min="12" max="12" width="36" hidden="0" customWidth="1"/>
    <x:col min="13" max="13" width="36" hidden="0" customWidth="1"/>
    <x:col min="14" max="14" width="32" hidden="0" customWidth="1"/>
    <x:col min="15" max="15" width="32" hidden="0" customWidth="1"/>
    <x:col min="16" max="16" width="18" hidden="0" customWidth="1"/>
    <x:col min="17" max="17" width="30" hidden="0" customWidth="1"/>
  </x:cols>
  <x:sheetData>
    <x:row r="1">
      <x:c r="A1" s="6" t="str">
        <x:v>Mã tổng hợp</x:v>
      </x:c>
      <x:c r="B1" s="6" t="str">
        <x:v>Nhóm lĩnh vực</x:v>
      </x:c>
      <x:c r="C1" s="6" t="str">
        <x:v>Tiểu nhóm</x:v>
      </x:c>
      <x:c r="D1" s="6" t="str">
        <x:v>Nhiệm vụ/công việc VATM</x:v>
      </x:c>
      <x:c r="E1" s="6" t="str">
        <x:v>Đơn vị chủ trì</x:v>
      </x:c>
      <x:c r="F1" s="6" t="str">
        <x:v>Ưu tiên</x:v>
      </x:c>
      <x:c r="G1" s="6" t="str">
        <x:v>Thời hạn/Tần suất/Mốc</x:v>
      </x:c>
      <x:c r="H1" s="6" t="str">
        <x:v>Trạng thái hiện tại</x:v>
      </x:c>
      <x:c r="I1" s="6" t="str">
        <x:v>% hoàn thành</x:v>
      </x:c>
      <x:c r="J1" s="6" t="str">
        <x:v>Ngày cập nhật</x:v>
      </x:c>
      <x:c r="K1" s="6" t="str">
        <x:v>Người cập nhật</x:v>
      </x:c>
      <x:c r="L1" s="6" t="str">
        <x:v>Bằng chứng đã có</x:v>
      </x:c>
      <x:c r="M1" s="6" t="str">
        <x:v>Link/chỉ dẫn hồ sơ</x:v>
      </x:c>
      <x:c r="N1" s="6" t="str">
        <x:v>Vướng mắc/rủi ro</x:v>
      </x:c>
      <x:c r="O1" s="6" t="str">
        <x:v>Hành động tiếp theo</x:v>
      </x:c>
      <x:c r="P1" s="6" t="str">
        <x:v>Ngày hoàn thành thực tế</x:v>
      </x:c>
      <x:c r="Q1" s="6" t="str">
        <x:v>Ghi chú kiểm tra</x:v>
      </x:c>
    </x:row>
    <x:row r="2">
      <x:c r="A2" s="14" t="str">
        <x:v>VATM-0001</x:v>
      </x:c>
      <x:c r="B2" s="14" t="str">
        <x:v>Quản lý khai thác cảng/sân bay</x:v>
      </x:c>
      <x:c r="C2" s="14" t="str">
        <x:v>Công trình, chướng ngại và thi công</x:v>
      </x:c>
      <x:c r="D2" s="14" t="str">
        <x:v>Xác định toàn bộ công trình, hạ tầng, thiết bị, dịch vụ ANS của VATM có liên quan đến cảng hàng không, bãi cất hạ cánh và phạm vi quản lý trong/ngoài sân bay.</x:v>
      </x:c>
      <x:c r="E2" s="14" t="str">
        <x:v>Ban Kế hoạch - Đầu tư; Ban Không lưu; Ban Kỹ thuật - CNS/IT/Môi trường; Văn phòng - Pháp chế</x:v>
      </x:c>
      <x:c r="F2" s="14" t="str">
        <x:v>P1</x:v>
      </x:c>
      <x:c r="G2" s="14" t="str">
        <x:v>Hoàn thành trước 01/7/2026 và cập nhật hàng năm</x:v>
      </x:c>
      <x:c r="H2" s="14" t="str">
        <x:v>Chưa bắt đầu</x:v>
      </x:c>
      <x:c r="I2" s="20" t="n">
        <x:f>IF(H2="Hoàn thành",100%,IF(H2="Không áp dụng",100%,IF(H2="Đang thực hiện",50%,IF(H2="Đang chờ phối hợp",25%,0%))))</x:f>
        <x:v>0</x:v>
      </x:c>
      <x:c r="J2" s="58" t="str"/>
      <x:c r="K2" s="14" t="str"/>
      <x:c r="L2" s="14" t="str"/>
      <x:c r="M2" s="14" t="str"/>
      <x:c r="N2" s="14" t="str"/>
      <x:c r="O2" s="14" t="str"/>
      <x:c r="P2" s="58" t="str"/>
      <x:c r="Q2" s="14" t="str"/>
    </x:row>
    <x:row r="3">
      <x:c r="A3" s="14" t="str">
        <x:v>VATM-0002</x:v>
      </x:c>
      <x:c r="B3" s="14" t="str">
        <x:v>Tuân thủ, pháp chế &amp; quản trị</x:v>
      </x:c>
      <x:c r="C3" s="14" t="str">
        <x:v>Rà soát văn bản, quy trình và GAP</x:v>
      </x:c>
      <x:c r="D3" s="14" t="str">
        <x:v>Chuẩn bị dữ liệu, văn bản, bản vẽ, tài liệu điện tử khi tham gia hồ sơ TTHC liên quan đến công trình, khai thác, thi công, bãi cất hạ cánh, công trình lưỡng dụng.</x:v>
      </x:c>
      <x:c r="E3" s="14" t="str">
        <x:v>Văn phòng - Pháp chế</x:v>
      </x:c>
      <x:c r="F3" s="14" t="str">
        <x:v>P2</x:v>
      </x:c>
      <x:c r="G3" s="14" t="str">
        <x:v>Theo từng hồ sơ/TTHC</x:v>
      </x:c>
      <x:c r="H3" s="14" t="str">
        <x:v>Chưa bắt đầu</x:v>
      </x:c>
      <x:c r="I3" s="20" t="n">
        <x:f>IF(H3="Hoàn thành",100%,IF(H3="Không áp dụng",100%,IF(H3="Đang thực hiện",50%,IF(H3="Đang chờ phối hợp",25%,0%))))</x:f>
        <x:v>0</x:v>
      </x:c>
      <x:c r="J3" s="58" t="str"/>
      <x:c r="K3" s="14" t="str"/>
      <x:c r="L3" s="14" t="str"/>
      <x:c r="M3" s="14" t="str"/>
      <x:c r="N3" s="14" t="str"/>
      <x:c r="O3" s="14" t="str"/>
      <x:c r="P3" s="58" t="str"/>
      <x:c r="Q3" s="14" t="str"/>
    </x:row>
    <x:row r="4">
      <x:c r="A4" s="14" t="str">
        <x:v>VATM-0003</x:v>
      </x:c>
      <x:c r="B4" s="14" t="str">
        <x:v>Tài chính - Kế hoạch đầu tư</x:v>
      </x:c>
      <x:c r="C4" s="14" t="str">
        <x:v>Phí, thanh toán, hợp đồng và billing</x:v>
      </x:c>
      <x:c r="D4" s="14" t="str">
        <x:v>Theo dõi điều kiện kinh doanh liên quan đến dịch vụ/hợp đồng/nhượng quyền nếu VATM hoặc đơn vị thành viên tham gia lĩnh vực bị điều chỉnh.</x:v>
      </x:c>
      <x:c r="E4" s="14" t="str">
        <x:v>Ban Tài chính; Văn phòng - Pháp chế</x:v>
      </x:c>
      <x:c r="F4" s="14" t="str">
        <x:v>P2</x:v>
      </x:c>
      <x:c r="G4" s="14" t="str">
        <x:v>Khi ký mới/gia hạn hợp đồng</x:v>
      </x:c>
      <x:c r="H4" s="14" t="str">
        <x:v>Chưa bắt đầu</x:v>
      </x:c>
      <x:c r="I4" s="20" t="n">
        <x:f>IF(H4="Hoàn thành",100%,IF(H4="Không áp dụng",100%,IF(H4="Đang thực hiện",50%,IF(H4="Đang chờ phối hợp",25%,0%))))</x:f>
        <x:v>0</x:v>
      </x:c>
      <x:c r="J4" s="58" t="str"/>
      <x:c r="K4" s="14" t="str"/>
      <x:c r="L4" s="14" t="str"/>
      <x:c r="M4" s="14" t="str"/>
      <x:c r="N4" s="14" t="str"/>
      <x:c r="O4" s="14" t="str"/>
      <x:c r="P4" s="58" t="str"/>
      <x:c r="Q4" s="14" t="str"/>
    </x:row>
    <x:row r="5">
      <x:c r="A5" s="14" t="str">
        <x:v>VATM-0004</x:v>
      </x:c>
      <x:c r="B5" s="14" t="str">
        <x:v>Quản lý khai thác cảng/sân bay</x:v>
      </x:c>
      <x:c r="C5" s="14" t="str">
        <x:v>Điều phối năng lực khai thác cảng</x:v>
      </x:c>
      <x:c r="D5" s="14" t="str">
        <x:v>Phối hợp bảo đảm không tạo thuận lợi hàng không trái quy định, không bố trí hạ tầng, quy trình gây chậm trễ, ùn tắc hoặc mất an toàn.</x:v>
      </x:c>
      <x:c r="E5" s="14" t="str">
        <x:v>Ban Kế hoạch - Đầu tư; Ban Không lưu; Ban Kỹ thuật - CNS/IT/Môi trường; Ban An toàn - Chất lượng</x:v>
      </x:c>
      <x:c r="F5" s="14" t="str">
        <x:v>P1</x:v>
      </x:c>
      <x:c r="G5" s="14" t="str">
        <x:v>Định kỳ và khi có yêu cầu</x:v>
      </x:c>
      <x:c r="H5" s="14" t="str">
        <x:v>Chưa bắt đầu</x:v>
      </x:c>
      <x:c r="I5" s="20" t="n">
        <x:f>IF(H5="Hoàn thành",100%,IF(H5="Không áp dụng",100%,IF(H5="Đang thực hiện",50%,IF(H5="Đang chờ phối hợp",25%,0%))))</x:f>
        <x:v>0</x:v>
      </x:c>
      <x:c r="J5" s="58" t="str"/>
      <x:c r="K5" s="14" t="str"/>
      <x:c r="L5" s="14" t="str"/>
      <x:c r="M5" s="14" t="str"/>
      <x:c r="N5" s="14" t="str"/>
      <x:c r="O5" s="14" t="str"/>
      <x:c r="P5" s="58" t="str"/>
      <x:c r="Q5" s="14" t="str"/>
    </x:row>
    <x:row r="6">
      <x:c r="A6" s="14" t="str">
        <x:v>VATM-0005</x:v>
      </x:c>
      <x:c r="B6" s="14" t="str">
        <x:v>Quản lý khai thác cảng/sân bay</x:v>
      </x:c>
      <x:c r="C6" s="14" t="str">
        <x:v>Quy hoạch, mặt bằng và phối hợp cảng</x:v>
      </x:c>
      <x:c r="D6" s="14" t="str">
        <x:v>Theo dõi quy hoạch cảng hàng không và yêu cầu cơ sở dữ liệu quy hoạch; cung cấp dữ liệu ANS phục vụ lập quy hoạch khi được yêu cầu.</x:v>
      </x:c>
      <x:c r="E6" s="14" t="str">
        <x:v>Ban Kế hoạch - Đầu tư; Ban Không lưu; Ban Kỹ thuật - CNS/IT/Môi trường; Trung tâm Thông báo tin tức hàng không</x:v>
      </x:c>
      <x:c r="F6" s="14" t="str">
        <x:v>P1</x:v>
      </x:c>
      <x:c r="G6" s="14" t="str">
        <x:v>Theo yêu cầu của cơ quan lập/thẩm định quy hoạch; rà soát tối thiểu hàng năm</x:v>
      </x:c>
      <x:c r="H6" s="14" t="str">
        <x:v>Chưa bắt đầu</x:v>
      </x:c>
      <x:c r="I6" s="20" t="n">
        <x:f>IF(H6="Hoàn thành",100%,IF(H6="Không áp dụng",100%,IF(H6="Đang thực hiện",50%,IF(H6="Đang chờ phối hợp",25%,0%))))</x:f>
        <x:v>0</x:v>
      </x:c>
      <x:c r="J6" s="58" t="str"/>
      <x:c r="K6" s="14" t="str"/>
      <x:c r="L6" s="14" t="str"/>
      <x:c r="M6" s="14" t="str"/>
      <x:c r="N6" s="14" t="str"/>
      <x:c r="O6" s="14" t="str"/>
      <x:c r="P6" s="58" t="str"/>
      <x:c r="Q6" s="14" t="str"/>
    </x:row>
    <x:row r="7">
      <x:c r="A7" s="14" t="str">
        <x:v>VATM-0006</x:v>
      </x:c>
      <x:c r="B7" s="14" t="str">
        <x:v>Quản lý khai thác cảng/sân bay</x:v>
      </x:c>
      <x:c r="C7" s="14" t="str">
        <x:v>Quy hoạch, mặt bằng và phối hợp cảng</x:v>
      </x:c>
      <x:c r="D7" s="14" t="str">
        <x:v>Tham gia góp ý đề cương, nhiệm vụ lập quy hoạch chi tiết cảng hàng không khi có tác động đến hệ thống đường cất hạ cánh, vùng trời, CNS, AIS, MET, SAR.</x:v>
      </x:c>
      <x:c r="E7" s="14" t="str">
        <x:v>Ban Kế hoạch - Đầu tư; Ban Không lưu; Ban Kỹ thuật - CNS/IT/Môi trường; Trung tâm Thông báo tin tức hàng không</x:v>
      </x:c>
      <x:c r="F7" s="14" t="str">
        <x:v>P1</x:v>
      </x:c>
      <x:c r="G7" s="14" t="str">
        <x:v>Theo yêu cầu của cơ quan lập/thẩm định quy hoạch; rà soát tối thiểu hàng năm</x:v>
      </x:c>
      <x:c r="H7" s="14" t="str">
        <x:v>Chưa bắt đầu</x:v>
      </x:c>
      <x:c r="I7" s="20" t="n">
        <x:f>IF(H7="Hoàn thành",100%,IF(H7="Không áp dụng",100%,IF(H7="Đang thực hiện",50%,IF(H7="Đang chờ phối hợp",25%,0%))))</x:f>
        <x:v>0</x:v>
      </x:c>
      <x:c r="J7" s="58" t="str"/>
      <x:c r="K7" s="14" t="str"/>
      <x:c r="L7" s="14" t="str"/>
      <x:c r="M7" s="14" t="str"/>
      <x:c r="N7" s="14" t="str"/>
      <x:c r="O7" s="14" t="str"/>
      <x:c r="P7" s="58" t="str"/>
      <x:c r="Q7" s="14" t="str"/>
    </x:row>
    <x:row r="8">
      <x:c r="A8" s="14" t="str">
        <x:v>VATM-0007</x:v>
      </x:c>
      <x:c r="B8" s="14" t="str">
        <x:v>Quản lý khai thác cảng/sân bay</x:v>
      </x:c>
      <x:c r="C8" s="14" t="str">
        <x:v>Quy hoạch, mặt bằng và phối hợp cảng</x:v>
      </x:c>
      <x:c r="D8" s="14" t="str">
        <x:v>Đối chiếu nội dung quy hoạch chi tiết với vị trí công trình bảo đảm hoạt động bay, hướng đường cất hạ cánh, khu bay, bề mặt giới hạn chướng ngại vật, bản đồ tiếng ồn.</x:v>
      </x:c>
      <x:c r="E8" s="14" t="str">
        <x:v>Ban Kế hoạch - Đầu tư; Ban Không lưu; Ban Kỹ thuật - CNS/IT/Môi trường; Trung tâm Thông báo tin tức hàng không</x:v>
      </x:c>
      <x:c r="F8" s="14" t="str">
        <x:v>P1</x:v>
      </x:c>
      <x:c r="G8" s="14" t="str">
        <x:v>Theo yêu cầu của cơ quan lập/thẩm định quy hoạch; rà soát tối thiểu hàng năm</x:v>
      </x:c>
      <x:c r="H8" s="14" t="str">
        <x:v>Chưa bắt đầu</x:v>
      </x:c>
      <x:c r="I8" s="20" t="n">
        <x:f>IF(H8="Hoàn thành",100%,IF(H8="Không áp dụng",100%,IF(H8="Đang thực hiện",50%,IF(H8="Đang chờ phối hợp",25%,0%))))</x:f>
        <x:v>0</x:v>
      </x:c>
      <x:c r="J8" s="58" t="str"/>
      <x:c r="K8" s="14" t="str"/>
      <x:c r="L8" s="14" t="str"/>
      <x:c r="M8" s="14" t="str"/>
      <x:c r="N8" s="14" t="str"/>
      <x:c r="O8" s="14" t="str"/>
      <x:c r="P8" s="58" t="str"/>
      <x:c r="Q8" s="14" t="str"/>
    </x:row>
    <x:row r="9">
      <x:c r="A9" s="14" t="str">
        <x:v>VATM-0008</x:v>
      </x:c>
      <x:c r="B9" s="14" t="str">
        <x:v>Quản lý khai thác cảng/sân bay</x:v>
      </x:c>
      <x:c r="C9" s="14" t="str">
        <x:v>Quy hoạch, mặt bằng và phối hợp cảng</x:v>
      </x:c>
      <x:c r="D9" s="14" t="str">
        <x:v>Tham gia ý kiến/thẩm định quy hoạch chi tiết nếu được mời; rà soát hồ sơ sau thẩm định để bảo đảm không ảnh hưởng công trình ANS.</x:v>
      </x:c>
      <x:c r="E9" s="14" t="str">
        <x:v>Ban Kế hoạch - Đầu tư; Ban Không lưu; Ban Kỹ thuật - CNS/IT/Môi trường; Trung tâm Thông báo tin tức hàng không</x:v>
      </x:c>
      <x:c r="F9" s="14" t="str">
        <x:v>P1</x:v>
      </x:c>
      <x:c r="G9" s="14" t="str">
        <x:v>Theo yêu cầu của cơ quan lập/thẩm định quy hoạch; rà soát tối thiểu hàng năm</x:v>
      </x:c>
      <x:c r="H9" s="14" t="str">
        <x:v>Chưa bắt đầu</x:v>
      </x:c>
      <x:c r="I9" s="20" t="n">
        <x:f>IF(H9="Hoàn thành",100%,IF(H9="Không áp dụng",100%,IF(H9="Đang thực hiện",50%,IF(H9="Đang chờ phối hợp",25%,0%))))</x:f>
        <x:v>0</x:v>
      </x:c>
      <x:c r="J9" s="58" t="str"/>
      <x:c r="K9" s="14" t="str"/>
      <x:c r="L9" s="14" t="str"/>
      <x:c r="M9" s="14" t="str"/>
      <x:c r="N9" s="14" t="str"/>
      <x:c r="O9" s="14" t="str"/>
      <x:c r="P9" s="58" t="str"/>
      <x:c r="Q9" s="14" t="str"/>
    </x:row>
    <x:row r="10">
      <x:c r="A10" s="14" t="str">
        <x:v>VATM-0009</x:v>
      </x:c>
      <x:c r="B10" s="14" t="str">
        <x:v>Quản lý khai thác cảng/sân bay</x:v>
      </x:c>
      <x:c r="C10" s="14" t="str">
        <x:v>Quy hoạch, mặt bằng và phối hợp cảng</x:v>
      </x:c>
      <x:c r="D10" s="14" t="str">
        <x:v>Phối hợp công bố, cắm mốc, bảo vệ ranh giới quy hoạch liên quan công trình ANS, hành lang kỹ thuật, bề mặt giới hạn chướng ngại vật.</x:v>
      </x:c>
      <x:c r="E10" s="14" t="str">
        <x:v>Ban Kế hoạch - Đầu tư; Ban Không lưu; Ban Kỹ thuật - CNS/IT/Môi trường; Trung tâm Thông báo tin tức hàng không</x:v>
      </x:c>
      <x:c r="F10" s="14" t="str">
        <x:v>P1</x:v>
      </x:c>
      <x:c r="G10" s="14" t="str">
        <x:v>Theo yêu cầu của cơ quan lập/thẩm định quy hoạch; rà soát tối thiểu hàng năm</x:v>
      </x:c>
      <x:c r="H10" s="14" t="str">
        <x:v>Chưa bắt đầu</x:v>
      </x:c>
      <x:c r="I10" s="20" t="n">
        <x:f>IF(H10="Hoàn thành",100%,IF(H10="Không áp dụng",100%,IF(H10="Đang thực hiện",50%,IF(H10="Đang chờ phối hợp",25%,0%))))</x:f>
        <x:v>0</x:v>
      </x:c>
      <x:c r="J10" s="58" t="str"/>
      <x:c r="K10" s="14" t="str"/>
      <x:c r="L10" s="14" t="str"/>
      <x:c r="M10" s="14" t="str"/>
      <x:c r="N10" s="14" t="str"/>
      <x:c r="O10" s="14" t="str"/>
      <x:c r="P10" s="58" t="str"/>
      <x:c r="Q10" s="14" t="str"/>
    </x:row>
    <x:row r="11">
      <x:c r="A11" s="14" t="str">
        <x:v>VATM-0010</x:v>
      </x:c>
      <x:c r="B11" s="14" t="str">
        <x:v>Quản lý khai thác cảng/sân bay</x:v>
      </x:c>
      <x:c r="C11" s="14" t="str">
        <x:v>Quy hoạch, mặt bằng và phối hợp cảng</x:v>
      </x:c>
      <x:c r="D11" s="14" t="str">
        <x:v>Theo dõi rà soát, đánh giá, điều chỉnh quy hoạch; đề xuất điều chỉnh khi quy hoạch ảnh hưởng an toàn hoạt động bay, năng lực ANS hoặc công trình kỹ thuật.</x:v>
      </x:c>
      <x:c r="E11" s="14" t="str">
        <x:v>Ban Kế hoạch - Đầu tư; Ban Không lưu; Ban Kỹ thuật - CNS/IT/Môi trường; Trung tâm Thông báo tin tức hàng không</x:v>
      </x:c>
      <x:c r="F11" s="14" t="str">
        <x:v>P1</x:v>
      </x:c>
      <x:c r="G11" s="14" t="str">
        <x:v>Theo yêu cầu của cơ quan lập/thẩm định quy hoạch; rà soát tối thiểu hàng năm</x:v>
      </x:c>
      <x:c r="H11" s="14" t="str">
        <x:v>Chưa bắt đầu</x:v>
      </x:c>
      <x:c r="I11" s="20" t="n">
        <x:f>IF(H11="Hoàn thành",100%,IF(H11="Không áp dụng",100%,IF(H11="Đang thực hiện",50%,IF(H11="Đang chờ phối hợp",25%,0%))))</x:f>
        <x:v>0</x:v>
      </x:c>
      <x:c r="J11" s="58" t="str"/>
      <x:c r="K11" s="14" t="str"/>
      <x:c r="L11" s="14" t="str"/>
      <x:c r="M11" s="14" t="str"/>
      <x:c r="N11" s="14" t="str"/>
      <x:c r="O11" s="14" t="str"/>
      <x:c r="P11" s="58" t="str"/>
      <x:c r="Q11" s="14" t="str"/>
    </x:row>
    <x:row r="12">
      <x:c r="A12" s="14" t="str">
        <x:v>VATM-0011</x:v>
      </x:c>
      <x:c r="B12" s="14" t="str">
        <x:v>Quản lý khai thác cảng/sân bay</x:v>
      </x:c>
      <x:c r="C12" s="14" t="str">
        <x:v>Công trình, chướng ngại và thi công</x:v>
      </x:c>
      <x:c r="D12" s="14" t="str">
        <x:v>Cho ý kiến chuyên ngành khi vị trí/thiết kế sân bay chuyên dùng, bãi cất hạ cánh có khả năng ảnh hưởng vùng trời, phương thức bay, chướng ngại vật, tần số, CNS, SAR.</x:v>
      </x:c>
      <x:c r="E12" s="14" t="str">
        <x:v>Ban Kế hoạch - Đầu tư; Ban Không lưu; Ban Kỹ thuật - CNS/IT/Môi trường; Văn phòng - Pháp chế</x:v>
      </x:c>
      <x:c r="F12" s="14" t="str">
        <x:v>P1</x:v>
      </x:c>
      <x:c r="G12" s="14" t="str">
        <x:v>Theo từng dự án/hồ sơ</x:v>
      </x:c>
      <x:c r="H12" s="14" t="str">
        <x:v>Chưa bắt đầu</x:v>
      </x:c>
      <x:c r="I12" s="20" t="n">
        <x:f>IF(H12="Hoàn thành",100%,IF(H12="Không áp dụng",100%,IF(H12="Đang thực hiện",50%,IF(H12="Đang chờ phối hợp",25%,0%))))</x:f>
        <x:v>0</x:v>
      </x:c>
      <x:c r="J12" s="58" t="str"/>
      <x:c r="K12" s="14" t="str"/>
      <x:c r="L12" s="14" t="str"/>
      <x:c r="M12" s="14" t="str"/>
      <x:c r="N12" s="14" t="str"/>
      <x:c r="O12" s="14" t="str"/>
      <x:c r="P12" s="58" t="str"/>
      <x:c r="Q12" s="14" t="str"/>
    </x:row>
    <x:row r="13">
      <x:c r="A13" s="14" t="str">
        <x:v>VATM-0012</x:v>
      </x:c>
      <x:c r="B13" s="14" t="str">
        <x:v>Quản lý khai thác cảng/sân bay</x:v>
      </x:c>
      <x:c r="C13" s="14" t="str">
        <x:v>Công trình, chướng ngại và thi công</x:v>
      </x:c>
      <x:c r="D13" s="14" t="str">
        <x:v>Theo dõi đầu tư xây dựng cảng hàng không mới; đề xuất yêu cầu ANS ngay giai đoạn chủ trương để tránh thiếu công trình bảo đảm hoạt động bay.</x:v>
      </x:c>
      <x:c r="E13" s="14" t="str">
        <x:v>Ban Kế hoạch - Đầu tư; Ban Không lưu; Ban Kỹ thuật - CNS/IT/Môi trường; Văn phòng - Pháp chế</x:v>
      </x:c>
      <x:c r="F13" s="14" t="str">
        <x:v>P1</x:v>
      </x:c>
      <x:c r="G13" s="14" t="str">
        <x:v>Theo từng dự án/hồ sơ</x:v>
      </x:c>
      <x:c r="H13" s="14" t="str">
        <x:v>Chưa bắt đầu</x:v>
      </x:c>
      <x:c r="I13" s="20" t="n">
        <x:f>IF(H13="Hoàn thành",100%,IF(H13="Không áp dụng",100%,IF(H13="Đang thực hiện",50%,IF(H13="Đang chờ phối hợp",25%,0%))))</x:f>
        <x:v>0</x:v>
      </x:c>
      <x:c r="J13" s="58" t="str"/>
      <x:c r="K13" s="14" t="str"/>
      <x:c r="L13" s="14" t="str"/>
      <x:c r="M13" s="14" t="str"/>
      <x:c r="N13" s="14" t="str"/>
      <x:c r="O13" s="14" t="str"/>
      <x:c r="P13" s="58" t="str"/>
      <x:c r="Q13" s="14" t="str"/>
    </x:row>
    <x:row r="14">
      <x:c r="A14" s="14" t="str">
        <x:v>VATM-0013</x:v>
      </x:c>
      <x:c r="B14" s="14" t="str">
        <x:v>Quản lý khai thác cảng/sân bay</x:v>
      </x:c>
      <x:c r="C14" s="14" t="str">
        <x:v>Công trình, chướng ngại và thi công</x:v>
      </x:c>
      <x:c r="D14" s="14" t="str">
        <x:v>Tham gia rà soát kế hoạch đầu tư cải tạo, nâng cấp, mở rộng cảng hiện hữu; đánh giá tác động đến khai thác bay và công trình ANS.</x:v>
      </x:c>
      <x:c r="E14" s="14" t="str">
        <x:v>Ban Kế hoạch - Đầu tư; Ban Không lưu; Ban Kỹ thuật - CNS/IT/Môi trường; Văn phòng - Pháp chế</x:v>
      </x:c>
      <x:c r="F14" s="14" t="str">
        <x:v>P1</x:v>
      </x:c>
      <x:c r="G14" s="14" t="str">
        <x:v>Theo từng dự án/hồ sơ</x:v>
      </x:c>
      <x:c r="H14" s="14" t="str">
        <x:v>Chưa bắt đầu</x:v>
      </x:c>
      <x:c r="I14" s="20" t="n">
        <x:f>IF(H14="Hoàn thành",100%,IF(H14="Không áp dụng",100%,IF(H14="Đang thực hiện",50%,IF(H14="Đang chờ phối hợp",25%,0%))))</x:f>
        <x:v>0</x:v>
      </x:c>
      <x:c r="J14" s="58" t="str"/>
      <x:c r="K14" s="14" t="str"/>
      <x:c r="L14" s="14" t="str"/>
      <x:c r="M14" s="14" t="str"/>
      <x:c r="N14" s="14" t="str"/>
      <x:c r="O14" s="14" t="str"/>
      <x:c r="P14" s="58" t="str"/>
      <x:c r="Q14" s="14" t="str"/>
    </x:row>
    <x:row r="15">
      <x:c r="A15" s="14" t="str">
        <x:v>VATM-0014</x:v>
      </x:c>
      <x:c r="B15" s="14" t="str">
        <x:v>Quản lý khai thác cảng/sân bay</x:v>
      </x:c>
      <x:c r="C15" s="14" t="str">
        <x:v>Công trình, chướng ngại và thi công</x:v>
      </x:c>
      <x:c r="D15" s="14" t="str">
        <x:v>Đánh giá an toàn hoạt động bay khi công trình ảnh hưởng an toàn khai thác bị phá dỡ, di dời hoặc điều chuyển.</x:v>
      </x:c>
      <x:c r="E15" s="14" t="str">
        <x:v>Ban Kế hoạch - Đầu tư; Ban Không lưu; Ban Kỹ thuật - CNS/IT/Môi trường; Văn phòng - Pháp chế</x:v>
      </x:c>
      <x:c r="F15" s="14" t="str">
        <x:v>P1</x:v>
      </x:c>
      <x:c r="G15" s="14" t="str">
        <x:v>Theo từng dự án/hồ sơ</x:v>
      </x:c>
      <x:c r="H15" s="14" t="str">
        <x:v>Chưa bắt đầu</x:v>
      </x:c>
      <x:c r="I15" s="20" t="n">
        <x:f>IF(H15="Hoàn thành",100%,IF(H15="Không áp dụng",100%,IF(H15="Đang thực hiện",50%,IF(H15="Đang chờ phối hợp",25%,0%))))</x:f>
        <x:v>0</x:v>
      </x:c>
      <x:c r="J15" s="58" t="str"/>
      <x:c r="K15" s="14" t="str"/>
      <x:c r="L15" s="14" t="str"/>
      <x:c r="M15" s="14" t="str"/>
      <x:c r="N15" s="14" t="str"/>
      <x:c r="O15" s="14" t="str"/>
      <x:c r="P15" s="58" t="str"/>
      <x:c r="Q15" s="14" t="str"/>
    </x:row>
    <x:row r="16">
      <x:c r="A16" s="14" t="str">
        <x:v>VATM-0015</x:v>
      </x:c>
      <x:c r="B16" s="14" t="str">
        <x:v>Quản lý khai thác cảng/sân bay</x:v>
      </x:c>
      <x:c r="C16" s="14" t="str">
        <x:v>Công trình, chướng ngại và thi công</x:v>
      </x:c>
      <x:c r="D16" s="14" t="str">
        <x:v>Cho ý kiến về khai thác công trình lưỡng dụng/công trình trên đất quốc phòng nếu ảnh hưởng đường bay, CNS, khu vực hạn chế, phối hợp quân-dân dụng.</x:v>
      </x:c>
      <x:c r="E16" s="14" t="str">
        <x:v>Ban Kế hoạch - Đầu tư; Ban Không lưu; Ban Kỹ thuật - CNS/IT/Môi trường; Văn phòng - Pháp chế</x:v>
      </x:c>
      <x:c r="F16" s="14" t="str">
        <x:v>P1</x:v>
      </x:c>
      <x:c r="G16" s="14" t="str">
        <x:v>Theo từng dự án/hồ sơ</x:v>
      </x:c>
      <x:c r="H16" s="14" t="str">
        <x:v>Chưa bắt đầu</x:v>
      </x:c>
      <x:c r="I16" s="20" t="n">
        <x:f>IF(H16="Hoàn thành",100%,IF(H16="Không áp dụng",100%,IF(H16="Đang thực hiện",50%,IF(H16="Đang chờ phối hợp",25%,0%))))</x:f>
        <x:v>0</x:v>
      </x:c>
      <x:c r="J16" s="58" t="str"/>
      <x:c r="K16" s="14" t="str"/>
      <x:c r="L16" s="14" t="str"/>
      <x:c r="M16" s="14" t="str"/>
      <x:c r="N16" s="14" t="str"/>
      <x:c r="O16" s="14" t="str"/>
      <x:c r="P16" s="58" t="str"/>
      <x:c r="Q16" s="14" t="str"/>
    </x:row>
    <x:row r="17">
      <x:c r="A17" s="14" t="str">
        <x:v>VATM-0016</x:v>
      </x:c>
      <x:c r="B17" s="14" t="str">
        <x:v>Quản lý khai thác cảng/sân bay</x:v>
      </x:c>
      <x:c r="C17" s="14" t="str">
        <x:v>Công trình, chướng ngại và thi công</x:v>
      </x:c>
      <x:c r="D17" s="14" t="str">
        <x:v>Theo dõi đầu tư xây dựng cảng không chuyên dùng, bãi cất hạ cánh; cảnh báo sớm nguy cơ xung đột vùng trời, tĩnh không và hoạt động bay dân dụng.</x:v>
      </x:c>
      <x:c r="E17" s="14" t="str">
        <x:v>Ban Kế hoạch - Đầu tư; Ban Không lưu; Ban Kỹ thuật - CNS/IT/Môi trường; Văn phòng - Pháp chế</x:v>
      </x:c>
      <x:c r="F17" s="14" t="str">
        <x:v>P1</x:v>
      </x:c>
      <x:c r="G17" s="14" t="str">
        <x:v>Theo từng dự án/hồ sơ</x:v>
      </x:c>
      <x:c r="H17" s="14" t="str">
        <x:v>Chưa bắt đầu</x:v>
      </x:c>
      <x:c r="I17" s="20" t="n">
        <x:f>IF(H17="Hoàn thành",100%,IF(H17="Không áp dụng",100%,IF(H17="Đang thực hiện",50%,IF(H17="Đang chờ phối hợp",25%,0%))))</x:f>
        <x:v>0</x:v>
      </x:c>
      <x:c r="J17" s="58" t="str"/>
      <x:c r="K17" s="14" t="str"/>
      <x:c r="L17" s="14" t="str"/>
      <x:c r="M17" s="14" t="str"/>
      <x:c r="N17" s="14" t="str"/>
      <x:c r="O17" s="14" t="str"/>
      <x:c r="P17" s="58" t="str"/>
      <x:c r="Q17" s="14" t="str"/>
    </x:row>
    <x:row r="18">
      <x:c r="A18" s="14" t="str">
        <x:v>VATM-0017</x:v>
      </x:c>
      <x:c r="B18" s="14" t="str">
        <x:v>Quản lý khai thác cảng/sân bay</x:v>
      </x:c>
      <x:c r="C18" s="14" t="str">
        <x:v>Công trình, chướng ngại và thi công</x:v>
      </x:c>
      <x:c r="D18" s="14" t="str">
        <x:v>Phối hợp tiếp nhận/chuyển giao công trình trụ sở cơ quan nhà nước/công trình bảo đảm hoạt động bay khi có liên quan đến VATM.</x:v>
      </x:c>
      <x:c r="E18" s="14" t="str">
        <x:v>Ban Kế hoạch - Đầu tư; Ban Không lưu; Ban Kỹ thuật - CNS/IT/Môi trường; Văn phòng - Pháp chế</x:v>
      </x:c>
      <x:c r="F18" s="14" t="str">
        <x:v>P1</x:v>
      </x:c>
      <x:c r="G18" s="14" t="str">
        <x:v>Theo từng dự án/hồ sơ</x:v>
      </x:c>
      <x:c r="H18" s="14" t="str">
        <x:v>Chưa bắt đầu</x:v>
      </x:c>
      <x:c r="I18" s="20" t="n">
        <x:f>IF(H18="Hoàn thành",100%,IF(H18="Không áp dụng",100%,IF(H18="Đang thực hiện",50%,IF(H18="Đang chờ phối hợp",25%,0%))))</x:f>
        <x:v>0</x:v>
      </x:c>
      <x:c r="J18" s="58" t="str"/>
      <x:c r="K18" s="14" t="str"/>
      <x:c r="L18" s="14" t="str"/>
      <x:c r="M18" s="14" t="str"/>
      <x:c r="N18" s="14" t="str"/>
      <x:c r="O18" s="14" t="str"/>
      <x:c r="P18" s="58" t="str"/>
      <x:c r="Q18" s="14" t="str"/>
    </x:row>
    <x:row r="19">
      <x:c r="A19" s="14" t="str">
        <x:v>VATM-0018</x:v>
      </x:c>
      <x:c r="B19" s="14" t="str">
        <x:v>Tài chính - Kế hoạch đầu tư</x:v>
      </x:c>
      <x:c r="C19" s="14" t="str">
        <x:v>Phí, thanh toán, hợp đồng và billing</x:v>
      </x:c>
      <x:c r="D19" s="14" t="str">
        <x:v>Theo dõi điều kiện kinh doanh cảng hàng không vì ảnh hưởng nghĩa vụ phối hợp của người khai thác cảng với ANSP; kiểm tra hợp đồng/biên bản hiệp đồng với cảng.</x:v>
      </x:c>
      <x:c r="E19" s="14" t="str">
        <x:v>Ban Tài chính; Văn phòng - Pháp chế; Ban Không lưu; Ban Kỹ thuật - CNS/IT/Môi trường; Các Công ty Quản lý bay khu vực Bắc/Trung/Nam</x:v>
      </x:c>
      <x:c r="F19" s="14" t="str">
        <x:v>P1</x:v>
      </x:c>
      <x:c r="G19" s="14" t="str">
        <x:v>Khi cấp phép, thay đổi, tạm dừng hoặc phát sinh sự kiện</x:v>
      </x:c>
      <x:c r="H19" s="14" t="str">
        <x:v>Chưa bắt đầu</x:v>
      </x:c>
      <x:c r="I19" s="20" t="n">
        <x:f>IF(H19="Hoàn thành",100%,IF(H19="Không áp dụng",100%,IF(H19="Đang thực hiện",50%,IF(H19="Đang chờ phối hợp",25%,0%))))</x:f>
        <x:v>0</x:v>
      </x:c>
      <x:c r="J19" s="58" t="str"/>
      <x:c r="K19" s="14" t="str"/>
      <x:c r="L19" s="14" t="str"/>
      <x:c r="M19" s="14" t="str"/>
      <x:c r="N19" s="14" t="str"/>
      <x:c r="O19" s="14" t="str"/>
      <x:c r="P19" s="58" t="str"/>
      <x:c r="Q19" s="14" t="str"/>
    </x:row>
    <x:row r="20">
      <x:c r="A20" s="14" t="str">
        <x:v>VATM-0019</x:v>
      </x:c>
      <x:c r="B20" s="14" t="str">
        <x:v>Tài chính - Kế hoạch đầu tư</x:v>
      </x:c>
      <x:c r="C20" s="14" t="str">
        <x:v>Phí, thanh toán, hợp đồng và billing</x:v>
      </x:c>
      <x:c r="D20" s="14" t="str">
        <x:v>Chuẩn bị phương án ANS khi doanh nghiệp cảng/khai thác cảng tạm dừng hoặc thay đổi năng lực khai thác; cập nhật phương án điều hành bay, AIS/NOTAM nếu cần.</x:v>
      </x:c>
      <x:c r="E20" s="14" t="str">
        <x:v>Ban Tài chính; Văn phòng - Pháp chế; Ban Không lưu; Ban Kỹ thuật - CNS/IT/Môi trường; Các Công ty Quản lý bay khu vực Bắc/Trung/Nam</x:v>
      </x:c>
      <x:c r="F20" s="14" t="str">
        <x:v>P1</x:v>
      </x:c>
      <x:c r="G20" s="14" t="str">
        <x:v>Khi cấp phép, thay đổi, tạm dừng hoặc phát sinh sự kiện</x:v>
      </x:c>
      <x:c r="H20" s="14" t="str">
        <x:v>Chưa bắt đầu</x:v>
      </x:c>
      <x:c r="I20" s="20" t="n">
        <x:f>IF(H20="Hoàn thành",100%,IF(H20="Không áp dụng",100%,IF(H20="Đang thực hiện",50%,IF(H20="Đang chờ phối hợp",25%,0%))))</x:f>
        <x:v>0</x:v>
      </x:c>
      <x:c r="J20" s="58" t="str"/>
      <x:c r="K20" s="14" t="str"/>
      <x:c r="L20" s="14" t="str"/>
      <x:c r="M20" s="14" t="str"/>
      <x:c r="N20" s="14" t="str"/>
      <x:c r="O20" s="14" t="str"/>
      <x:c r="P20" s="58" t="str"/>
      <x:c r="Q20" s="14" t="str"/>
    </x:row>
    <x:row r="21">
      <x:c r="A21" s="14" t="str">
        <x:v>VATM-0020</x:v>
      </x:c>
      <x:c r="B21" s="14" t="str">
        <x:v>Tài chính - Kế hoạch đầu tư</x:v>
      </x:c>
      <x:c r="C21" s="14" t="str">
        <x:v>Phí, thanh toán, hợp đồng và billing</x:v>
      </x:c>
      <x:c r="D21" s="14" t="str">
        <x:v>Phối hợp với các doanh nghiệp dịch vụ tại cảng khi hoạt động của họ tác động đến bảo đảm hoạt động bay, an toàn sân đỗ, luồng phương tiện, thông tin dữ liệu.</x:v>
      </x:c>
      <x:c r="E21" s="14" t="str">
        <x:v>Ban Tài chính; Văn phòng - Pháp chế; Ban Không lưu; Ban Kỹ thuật - CNS/IT/Môi trường; Các Công ty Quản lý bay khu vực Bắc/Trung/Nam</x:v>
      </x:c>
      <x:c r="F21" s="14" t="str">
        <x:v>P1</x:v>
      </x:c>
      <x:c r="G21" s="14" t="str">
        <x:v>Khi cấp phép, thay đổi, tạm dừng hoặc phát sinh sự kiện</x:v>
      </x:c>
      <x:c r="H21" s="14" t="str">
        <x:v>Chưa bắt đầu</x:v>
      </x:c>
      <x:c r="I21" s="20" t="n">
        <x:f>IF(H21="Hoàn thành",100%,IF(H21="Không áp dụng",100%,IF(H21="Đang thực hiện",50%,IF(H21="Đang chờ phối hợp",25%,0%))))</x:f>
        <x:v>0</x:v>
      </x:c>
      <x:c r="J21" s="58" t="str"/>
      <x:c r="K21" s="14" t="str"/>
      <x:c r="L21" s="14" t="str"/>
      <x:c r="M21" s="14" t="str"/>
      <x:c r="N21" s="14" t="str"/>
      <x:c r="O21" s="14" t="str"/>
      <x:c r="P21" s="58" t="str"/>
      <x:c r="Q21" s="14" t="str"/>
    </x:row>
    <x:row r="22">
      <x:c r="A22" s="14" t="str">
        <x:v>VATM-0021</x:v>
      </x:c>
      <x:c r="B22" s="14" t="str">
        <x:v>Tài chính - Kế hoạch đầu tư</x:v>
      </x:c>
      <x:c r="C22" s="14" t="str">
        <x:v>Phí, thanh toán, hợp đồng và billing</x:v>
      </x:c>
      <x:c r="D22" s="14" t="str">
        <x:v>Không trực tiếp thu hộ hành khách; nhưng cần phối hợp cung cấp dữ liệu chuyến bay/khai thác nếu có yêu cầu liên ngành và bảo đảm không lẫn với phí/dịch vụ ANS.</x:v>
      </x:c>
      <x:c r="E22" s="14" t="str">
        <x:v>Ban Tài chính; Văn phòng - Pháp chế; Ban Không lưu; Ban Kỹ thuật - CNS/IT/Môi trường; Các Công ty Quản lý bay khu vực Bắc/Trung/Nam</x:v>
      </x:c>
      <x:c r="F22" s="14" t="str">
        <x:v>P1</x:v>
      </x:c>
      <x:c r="G22" s="14" t="str">
        <x:v>Khi cấp phép, thay đổi, tạm dừng hoặc phát sinh sự kiện</x:v>
      </x:c>
      <x:c r="H22" s="14" t="str">
        <x:v>Chưa bắt đầu</x:v>
      </x:c>
      <x:c r="I22" s="20" t="n">
        <x:f>IF(H22="Hoàn thành",100%,IF(H22="Không áp dụng",100%,IF(H22="Đang thực hiện",50%,IF(H22="Đang chờ phối hợp",25%,0%))))</x:f>
        <x:v>0</x:v>
      </x:c>
      <x:c r="J22" s="58" t="str"/>
      <x:c r="K22" s="14" t="str"/>
      <x:c r="L22" s="14" t="str"/>
      <x:c r="M22" s="14" t="str"/>
      <x:c r="N22" s="14" t="str"/>
      <x:c r="O22" s="14" t="str"/>
      <x:c r="P22" s="58" t="str"/>
      <x:c r="Q22" s="14" t="str"/>
    </x:row>
    <x:row r="23">
      <x:c r="A23" s="14" t="str">
        <x:v>VATM-0022</x:v>
      </x:c>
      <x:c r="B23" s="14" t="str">
        <x:v>Quản lý khai thác cảng/sân bay</x:v>
      </x:c>
      <x:c r="C23" s="14" t="str">
        <x:v>Công trình, chướng ngại và thi công</x:v>
      </x:c>
      <x:c r="D23" s="14" t="str">
        <x:v>Phát hiện/cảnh báo công trình quảng cáo, thiết bị chiếu sáng, laser, UAV, vật thể ảnh hưởng quan sát, CNS hoặc hoạt động bay.</x:v>
      </x:c>
      <x:c r="E23" s="14" t="str">
        <x:v>Ban Kế hoạch - Đầu tư; Ban Không lưu; Ban Kỹ thuật - CNS/IT/Môi trường; Văn phòng - Pháp chế; Các Công ty Quản lý bay khu vực Bắc/Trung/Nam</x:v>
      </x:c>
      <x:c r="F23" s="14" t="str">
        <x:v>P1</x:v>
      </x:c>
      <x:c r="G23" s="14" t="str">
        <x:v>Khi cấp phép, thay đổi, tạm dừng hoặc phát sinh sự kiện</x:v>
      </x:c>
      <x:c r="H23" s="14" t="str">
        <x:v>Chưa bắt đầu</x:v>
      </x:c>
      <x:c r="I23" s="20" t="n">
        <x:f>IF(H23="Hoàn thành",100%,IF(H23="Không áp dụng",100%,IF(H23="Đang thực hiện",50%,IF(H23="Đang chờ phối hợp",25%,0%))))</x:f>
        <x:v>0</x:v>
      </x:c>
      <x:c r="J23" s="58" t="str"/>
      <x:c r="K23" s="14" t="str"/>
      <x:c r="L23" s="14" t="str"/>
      <x:c r="M23" s="14" t="str"/>
      <x:c r="N23" s="14" t="str"/>
      <x:c r="O23" s="14" t="str"/>
      <x:c r="P23" s="58" t="str"/>
      <x:c r="Q23" s="14" t="str"/>
    </x:row>
    <x:row r="24">
      <x:c r="A24" s="14" t="str">
        <x:v>VATM-0023</x:v>
      </x:c>
      <x:c r="B24" s="14" t="str">
        <x:v>Quản lý khai thác cảng/sân bay</x:v>
      </x:c>
      <x:c r="C24" s="14" t="str">
        <x:v>Công trình, chướng ngại và thi công</x:v>
      </x:c>
      <x:c r="D24" s="14" t="str">
        <x:v>Rà soát tài liệu khai thác cảng/bãi để bảo đảm có nội dung liên quan ANS, CNS, phương thức bay, vùng trời, hiệp đồng với VATM.</x:v>
      </x:c>
      <x:c r="E24" s="14" t="str">
        <x:v>Ban Kế hoạch - Đầu tư; Ban Không lưu; Ban Kỹ thuật - CNS/IT/Môi trường; Ban An toàn - Chất lượng; Trung tâm Thông báo tin tức hàng không; Các Công ty Quản lý bay khu vực Bắc/Trung/Nam</x:v>
      </x:c>
      <x:c r="F24" s="14" t="str">
        <x:v>P1</x:v>
      </x:c>
      <x:c r="G24" s="14" t="str">
        <x:v>Theo từng hồ sơ, trước khi đưa/dừng khai thác hoặc trước thi công; cập nhật khi thay đổi</x:v>
      </x:c>
      <x:c r="H24" s="14" t="str">
        <x:v>Chưa bắt đầu</x:v>
      </x:c>
      <x:c r="I24" s="20" t="n">
        <x:f>IF(H24="Hoàn thành",100%,IF(H24="Không áp dụng",100%,IF(H24="Đang thực hiện",50%,IF(H24="Đang chờ phối hợp",25%,0%))))</x:f>
        <x:v>0</x:v>
      </x:c>
      <x:c r="J24" s="58" t="str"/>
      <x:c r="K24" s="14" t="str"/>
      <x:c r="L24" s="14" t="str"/>
      <x:c r="M24" s="14" t="str"/>
      <x:c r="N24" s="14" t="str"/>
      <x:c r="O24" s="14" t="str"/>
      <x:c r="P24" s="58" t="str"/>
      <x:c r="Q24" s="14" t="str"/>
    </x:row>
    <x:row r="25">
      <x:c r="A25" s="14" t="str">
        <x:v>VATM-0024</x:v>
      </x:c>
      <x:c r="B25" s="14" t="str">
        <x:v>Quản lý khai thác cảng/sân bay</x:v>
      </x:c>
      <x:c r="C25" s="14" t="str">
        <x:v>Công trình, chướng ngại và thi công</x:v>
      </x:c>
      <x:c r="D25" s="14" t="str">
        <x:v>Yêu cầu người khai thác cảng phối hợp với VATM trong bảo đảm an toàn khai thác, kiểm soát vật ngoại lai/chướng ngại, cung cấp dữ liệu khai thác; VATM phải tiếp nhận, phản hồi và lưu vết phối hợp.</x:v>
      </x:c>
      <x:c r="E25" s="14" t="str">
        <x:v>Ban Kế hoạch - Đầu tư; Ban Không lưu; Ban Kỹ thuật - CNS/IT/Môi trường; Ban An toàn - Chất lượng; Trung tâm Thông báo tin tức hàng không; Các Công ty Quản lý bay khu vực Bắc/Trung/Nam</x:v>
      </x:c>
      <x:c r="F25" s="14" t="str">
        <x:v>P1</x:v>
      </x:c>
      <x:c r="G25" s="14" t="str">
        <x:v>Theo từng hồ sơ, trước khi đưa/dừng khai thác hoặc trước thi công; cập nhật khi thay đổi</x:v>
      </x:c>
      <x:c r="H25" s="14" t="str">
        <x:v>Chưa bắt đầu</x:v>
      </x:c>
      <x:c r="I25" s="20" t="n">
        <x:f>IF(H25="Hoàn thành",100%,IF(H25="Không áp dụng",100%,IF(H25="Đang thực hiện",50%,IF(H25="Đang chờ phối hợp",25%,0%))))</x:f>
        <x:v>0</x:v>
      </x:c>
      <x:c r="J25" s="58" t="str"/>
      <x:c r="K25" s="14" t="str"/>
      <x:c r="L25" s="14" t="str"/>
      <x:c r="M25" s="14" t="str"/>
      <x:c r="N25" s="14" t="str"/>
      <x:c r="O25" s="14" t="str"/>
      <x:c r="P25" s="58" t="str"/>
      <x:c r="Q25" s="14" t="str"/>
    </x:row>
    <x:row r="26">
      <x:c r="A26" s="14" t="str">
        <x:v>VATM-0025</x:v>
      </x:c>
      <x:c r="B26" s="14" t="str">
        <x:v>Quản lý khai thác cảng/sân bay</x:v>
      </x:c>
      <x:c r="C26" s="14" t="str">
        <x:v>Công trình, chướng ngại và thi công</x:v>
      </x:c>
      <x:c r="D26" s="14" t="str">
        <x:v>Cung cấp ý kiến về mức độ bảo đảm an toàn hoạt động bay khi CHKVN kiểm tra, đánh giá, thu hồi/duy trì giấy chứng nhận cảng/bãi.</x:v>
      </x:c>
      <x:c r="E26" s="14" t="str">
        <x:v>Ban Kế hoạch - Đầu tư; Ban Không lưu; Ban Kỹ thuật - CNS/IT/Môi trường; Ban An toàn - Chất lượng; Trung tâm Thông báo tin tức hàng không; Các Công ty Quản lý bay khu vực Bắc/Trung/Nam</x:v>
      </x:c>
      <x:c r="F26" s="14" t="str">
        <x:v>P1</x:v>
      </x:c>
      <x:c r="G26" s="14" t="str">
        <x:v>Theo từng hồ sơ, trước khi đưa/dừng khai thác hoặc trước thi công; cập nhật khi thay đổi</x:v>
      </x:c>
      <x:c r="H26" s="14" t="str">
        <x:v>Chưa bắt đầu</x:v>
      </x:c>
      <x:c r="I26" s="20" t="n">
        <x:f>IF(H26="Hoàn thành",100%,IF(H26="Không áp dụng",100%,IF(H26="Đang thực hiện",50%,IF(H26="Đang chờ phối hợp",25%,0%))))</x:f>
        <x:v>0</x:v>
      </x:c>
      <x:c r="J26" s="58" t="str"/>
      <x:c r="K26" s="14" t="str"/>
      <x:c r="L26" s="14" t="str"/>
      <x:c r="M26" s="14" t="str"/>
      <x:c r="N26" s="14" t="str"/>
      <x:c r="O26" s="14" t="str"/>
      <x:c r="P26" s="58" t="str"/>
      <x:c r="Q26" s="14" t="str"/>
    </x:row>
    <x:row r="27">
      <x:c r="A27" s="14" t="str">
        <x:v>VATM-0026</x:v>
      </x:c>
      <x:c r="B27" s="14" t="str">
        <x:v>Quản lý khai thác cảng/sân bay</x:v>
      </x:c>
      <x:c r="C27" s="14" t="str">
        <x:v>Công trình, chướng ngại và thi công</x:v>
      </x:c>
      <x:c r="D27" s="14" t="str">
        <x:v>Thẩm tra các nội dung trong hồ sơ cấp giấy chứng nhận có liên quan tài liệu khai thác sân bay, tài liệu khai thác bãi, nhân lực, phương tiện, thiết bị, an toàn hoạt động bay.</x:v>
      </x:c>
      <x:c r="E27" s="14" t="str">
        <x:v>Ban Kế hoạch - Đầu tư; Ban Không lưu; Ban Kỹ thuật - CNS/IT/Môi trường; Ban An toàn - Chất lượng; Trung tâm Thông báo tin tức hàng không; Các Công ty Quản lý bay khu vực Bắc/Trung/Nam</x:v>
      </x:c>
      <x:c r="F27" s="14" t="str">
        <x:v>P1</x:v>
      </x:c>
      <x:c r="G27" s="14" t="str">
        <x:v>Theo từng hồ sơ, trước khi đưa/dừng khai thác hoặc trước thi công; cập nhật khi thay đổi</x:v>
      </x:c>
      <x:c r="H27" s="14" t="str">
        <x:v>Chưa bắt đầu</x:v>
      </x:c>
      <x:c r="I27" s="20" t="n">
        <x:f>IF(H27="Hoàn thành",100%,IF(H27="Không áp dụng",100%,IF(H27="Đang thực hiện",50%,IF(H27="Đang chờ phối hợp",25%,0%))))</x:f>
        <x:v>0</x:v>
      </x:c>
      <x:c r="J27" s="58" t="str"/>
      <x:c r="K27" s="14" t="str"/>
      <x:c r="L27" s="14" t="str"/>
      <x:c r="M27" s="14" t="str"/>
      <x:c r="N27" s="14" t="str"/>
      <x:c r="O27" s="14" t="str"/>
      <x:c r="P27" s="58" t="str"/>
      <x:c r="Q27" s="14" t="str"/>
    </x:row>
    <x:row r="28">
      <x:c r="A28" s="14" t="str">
        <x:v>VATM-0027</x:v>
      </x:c>
      <x:c r="B28" s="14" t="str">
        <x:v>Quản lý khai thác cảng/sân bay</x:v>
      </x:c>
      <x:c r="C28" s="14" t="str">
        <x:v>Công trình, chướng ngại và thi công</x:v>
      </x:c>
      <x:c r="D28" s="14" t="str">
        <x:v>Rà soát, góp ý, cập nhật nội dung trong tài liệu khai thác sân bay/bãi có liên quan ANS; bảo đảm tài liệu đồng bộ AIP, phương thức bay, CNS, SAR, MET, AIS.</x:v>
      </x:c>
      <x:c r="E28" s="14" t="str">
        <x:v>Ban Kế hoạch - Đầu tư; Ban Không lưu; Ban Kỹ thuật - CNS/IT/Môi trường; Ban An toàn - Chất lượng; Trung tâm Thông báo tin tức hàng không; Các Công ty Quản lý bay khu vực Bắc/Trung/Nam</x:v>
      </x:c>
      <x:c r="F28" s="14" t="str">
        <x:v>P1</x:v>
      </x:c>
      <x:c r="G28" s="14" t="str">
        <x:v>Theo từng hồ sơ, trước khi đưa/dừng khai thác hoặc trước thi công; cập nhật khi thay đổi</x:v>
      </x:c>
      <x:c r="H28" s="14" t="str">
        <x:v>Chưa bắt đầu</x:v>
      </x:c>
      <x:c r="I28" s="20" t="n">
        <x:f>IF(H28="Hoàn thành",100%,IF(H28="Không áp dụng",100%,IF(H28="Đang thực hiện",50%,IF(H28="Đang chờ phối hợp",25%,0%))))</x:f>
        <x:v>0</x:v>
      </x:c>
      <x:c r="J28" s="58" t="str"/>
      <x:c r="K28" s="14" t="str"/>
      <x:c r="L28" s="14" t="str"/>
      <x:c r="M28" s="14" t="str"/>
      <x:c r="N28" s="14" t="str"/>
      <x:c r="O28" s="14" t="str"/>
      <x:c r="P28" s="58" t="str"/>
      <x:c r="Q28" s="14" t="str"/>
    </x:row>
    <x:row r="29">
      <x:c r="A29" s="14" t="str">
        <x:v>VATM-0028</x:v>
      </x:c>
      <x:c r="B29" s="14" t="str">
        <x:v>Quản lý khai thác cảng/sân bay</x:v>
      </x:c>
      <x:c r="C29" s="14" t="str">
        <x:v>Công trình, chướng ngại và thi công</x:v>
      </x:c>
      <x:c r="D29" s="14" t="str">
        <x:v>Đánh giá khả năng cung cấp ANS cho chuyến bay quốc tế, vùng trời, CNS, AIS, MET, SAR; chuẩn bị phương án nếu chuyển đổi mục đích ảnh hưởng hoạt động bay.</x:v>
      </x:c>
      <x:c r="E29" s="14" t="str">
        <x:v>Ban Kế hoạch - Đầu tư; Ban Không lưu; Ban Kỹ thuật - CNS/IT/Môi trường; Ban An toàn - Chất lượng; Trung tâm Thông báo tin tức hàng không; Các Công ty Quản lý bay khu vực Bắc/Trung/Nam</x:v>
      </x:c>
      <x:c r="F29" s="14" t="str">
        <x:v>P1</x:v>
      </x:c>
      <x:c r="G29" s="14" t="str">
        <x:v>Theo từng hồ sơ, trước khi đưa/dừng khai thác hoặc trước thi công; cập nhật khi thay đổi</x:v>
      </x:c>
      <x:c r="H29" s="14" t="str">
        <x:v>Chưa bắt đầu</x:v>
      </x:c>
      <x:c r="I29" s="20" t="n">
        <x:f>IF(H29="Hoàn thành",100%,IF(H29="Không áp dụng",100%,IF(H29="Đang thực hiện",50%,IF(H29="Đang chờ phối hợp",25%,0%))))</x:f>
        <x:v>0</x:v>
      </x:c>
      <x:c r="J29" s="58" t="str"/>
      <x:c r="K29" s="14" t="str"/>
      <x:c r="L29" s="14" t="str"/>
      <x:c r="M29" s="14" t="str"/>
      <x:c r="N29" s="14" t="str"/>
      <x:c r="O29" s="14" t="str"/>
      <x:c r="P29" s="58" t="str"/>
      <x:c r="Q29" s="14" t="str"/>
    </x:row>
    <x:row r="30">
      <x:c r="A30" s="14" t="str">
        <x:v>VATM-0029</x:v>
      </x:c>
      <x:c r="B30" s="14" t="str">
        <x:v>Quản lý khai thác cảng/sân bay</x:v>
      </x:c>
      <x:c r="C30" s="14" t="str">
        <x:v>Công trình, chướng ngại và thi công</x:v>
      </x:c>
      <x:c r="D30" s="14" t="str">
        <x:v>Phối hợp trước khi đưa vào khai thác hoặc dừng khai thác cảng; bảo đảm thông báo tin tức hàng không, điều chỉnh phương án điều hành bay và kế hoạch trực điều hành.</x:v>
      </x:c>
      <x:c r="E30" s="14" t="str">
        <x:v>Ban Kế hoạch - Đầu tư; Ban Không lưu; Ban Kỹ thuật - CNS/IT/Môi trường; Ban An toàn - Chất lượng; Trung tâm Thông báo tin tức hàng không; Các Công ty Quản lý bay khu vực Bắc/Trung/Nam</x:v>
      </x:c>
      <x:c r="F30" s="14" t="str">
        <x:v>P1</x:v>
      </x:c>
      <x:c r="G30" s="14" t="str">
        <x:v>Theo từng hồ sơ, trước khi đưa/dừng khai thác hoặc trước thi công; cập nhật khi thay đổi</x:v>
      </x:c>
      <x:c r="H30" s="14" t="str">
        <x:v>Chưa bắt đầu</x:v>
      </x:c>
      <x:c r="I30" s="20" t="n">
        <x:f>IF(H30="Hoàn thành",100%,IF(H30="Không áp dụng",100%,IF(H30="Đang thực hiện",50%,IF(H30="Đang chờ phối hợp",25%,0%))))</x:f>
        <x:v>0</x:v>
      </x:c>
      <x:c r="J30" s="58" t="str"/>
      <x:c r="K30" s="14" t="str"/>
      <x:c r="L30" s="14" t="str"/>
      <x:c r="M30" s="14" t="str"/>
      <x:c r="N30" s="14" t="str"/>
      <x:c r="O30" s="14" t="str"/>
      <x:c r="P30" s="58" t="str"/>
      <x:c r="Q30" s="14" t="str"/>
    </x:row>
    <x:row r="31">
      <x:c r="A31" s="14" t="str">
        <x:v>VATM-0030</x:v>
      </x:c>
      <x:c r="B31" s="14" t="str">
        <x:v>Quản lý khai thác cảng/sân bay</x:v>
      </x:c>
      <x:c r="C31" s="14" t="str">
        <x:v>Công trình, chướng ngại và thi công</x:v>
      </x:c>
      <x:c r="D31" s="14" t="str">
        <x:v>Thẩm định, kiểm tra, đề nghị đưa vào khai thác/dừng khai thác công trình bảo đảm hoạt động bay hoặc công trình ảnh hưởng ANS; cập nhật tài liệu khai thác công trình.</x:v>
      </x:c>
      <x:c r="E31" s="14" t="str">
        <x:v>Ban Kế hoạch - Đầu tư; Ban Không lưu; Ban Kỹ thuật - CNS/IT/Môi trường; Ban An toàn - Chất lượng; Trung tâm Thông báo tin tức hàng không; Các Công ty Quản lý bay khu vực Bắc/Trung/Nam</x:v>
      </x:c>
      <x:c r="F31" s="14" t="str">
        <x:v>P1</x:v>
      </x:c>
      <x:c r="G31" s="14" t="str">
        <x:v>Theo từng hồ sơ, trước khi đưa/dừng khai thác hoặc trước thi công; cập nhật khi thay đổi</x:v>
      </x:c>
      <x:c r="H31" s="14" t="str">
        <x:v>Chưa bắt đầu</x:v>
      </x:c>
      <x:c r="I31" s="20" t="n">
        <x:f>IF(H31="Hoàn thành",100%,IF(H31="Không áp dụng",100%,IF(H31="Đang thực hiện",50%,IF(H31="Đang chờ phối hợp",25%,0%))))</x:f>
        <x:v>0</x:v>
      </x:c>
      <x:c r="J31" s="58" t="str"/>
      <x:c r="K31" s="14" t="str"/>
      <x:c r="L31" s="14" t="str"/>
      <x:c r="M31" s="14" t="str"/>
      <x:c r="N31" s="14" t="str"/>
      <x:c r="O31" s="14" t="str"/>
      <x:c r="P31" s="58" t="str"/>
      <x:c r="Q31" s="14" t="str"/>
    </x:row>
    <x:row r="32">
      <x:c r="A32" s="14" t="str">
        <x:v>VATM-0031</x:v>
      </x:c>
      <x:c r="B32" s="14" t="str">
        <x:v>Quản lý khai thác cảng/sân bay</x:v>
      </x:c>
      <x:c r="C32" s="14" t="str">
        <x:v>Công trình, chướng ngại và thi công</x:v>
      </x:c>
      <x:c r="D32" s="14" t="str">
        <x:v>Xây dựng, duy trì, sửa đổi, bổ sung tài liệu khai thác công trình ANS; đề nghị phê duyệt/sửa đổi theo đúng mẫu và bảo đảm đồng bộ tài liệu khai thác cảng.</x:v>
      </x:c>
      <x:c r="E32" s="14" t="str">
        <x:v>Ban Kế hoạch - Đầu tư; Ban Không lưu; Ban Kỹ thuật - CNS/IT/Môi trường; Ban An toàn - Chất lượng; Trung tâm Thông báo tin tức hàng không; Các Công ty Quản lý bay khu vực Bắc/Trung/Nam</x:v>
      </x:c>
      <x:c r="F32" s="14" t="str">
        <x:v>P1</x:v>
      </x:c>
      <x:c r="G32" s="14" t="str">
        <x:v>Theo từng hồ sơ, trước khi đưa/dừng khai thác hoặc trước thi công; cập nhật khi thay đổi</x:v>
      </x:c>
      <x:c r="H32" s="14" t="str">
        <x:v>Chưa bắt đầu</x:v>
      </x:c>
      <x:c r="I32" s="20" t="n">
        <x:f>IF(H32="Hoàn thành",100%,IF(H32="Không áp dụng",100%,IF(H32="Đang thực hiện",50%,IF(H32="Đang chờ phối hợp",25%,0%))))</x:f>
        <x:v>0</x:v>
      </x:c>
      <x:c r="J32" s="58" t="str"/>
      <x:c r="K32" s="14" t="str"/>
      <x:c r="L32" s="14" t="str"/>
      <x:c r="M32" s="14" t="str"/>
      <x:c r="N32" s="14" t="str"/>
      <x:c r="O32" s="14" t="str"/>
      <x:c r="P32" s="58" t="str"/>
      <x:c r="Q32" s="14" t="str"/>
    </x:row>
    <x:row r="33">
      <x:c r="A33" s="14" t="str">
        <x:v>VATM-0032</x:v>
      </x:c>
      <x:c r="B33" s="14" t="str">
        <x:v>Quản lý khai thác cảng/sân bay</x:v>
      </x:c>
      <x:c r="C33" s="14" t="str">
        <x:v>Công trình, chướng ngại và thi công</x:v>
      </x:c>
      <x:c r="D33" s="14" t="str">
        <x:v>Quản lý, khai thác, bảo trì, bảo vệ công trình ANS; bảo đảm an toàn, an ninh, phòng cháy, bảo vệ môi trường, rào chắn, phối hợp chủ sở hữu và cảng.</x:v>
      </x:c>
      <x:c r="E33" s="14" t="str">
        <x:v>Ban Kế hoạch - Đầu tư; Ban Không lưu; Ban Kỹ thuật - CNS/IT/Môi trường; Ban An toàn - Chất lượng; Trung tâm Thông báo tin tức hàng không; Các Công ty Quản lý bay khu vực Bắc/Trung/Nam</x:v>
      </x:c>
      <x:c r="F33" s="14" t="str">
        <x:v>P1</x:v>
      </x:c>
      <x:c r="G33" s="14" t="str">
        <x:v>Theo từng hồ sơ, trước khi đưa/dừng khai thác hoặc trước thi công; cập nhật khi thay đổi</x:v>
      </x:c>
      <x:c r="H33" s="14" t="str">
        <x:v>Chưa bắt đầu</x:v>
      </x:c>
      <x:c r="I33" s="20" t="n">
        <x:f>IF(H33="Hoàn thành",100%,IF(H33="Không áp dụng",100%,IF(H33="Đang thực hiện",50%,IF(H33="Đang chờ phối hợp",25%,0%))))</x:f>
        <x:v>0</x:v>
      </x:c>
      <x:c r="J33" s="58" t="str"/>
      <x:c r="K33" s="14" t="str"/>
      <x:c r="L33" s="14" t="str"/>
      <x:c r="M33" s="14" t="str"/>
      <x:c r="N33" s="14" t="str"/>
      <x:c r="O33" s="14" t="str"/>
      <x:c r="P33" s="58" t="str"/>
      <x:c r="Q33" s="14" t="str"/>
    </x:row>
    <x:row r="34">
      <x:c r="A34" s="14" t="str">
        <x:v>VATM-0033</x:v>
      </x:c>
      <x:c r="B34" s="14" t="str">
        <x:v>Quản lý khai thác cảng/sân bay</x:v>
      </x:c>
      <x:c r="C34" s="14" t="str">
        <x:v>Công trình, chướng ngại và thi công</x:v>
      </x:c>
      <x:c r="D34" s="14" t="str">
        <x:v>Đánh giá ảnh hưởng thi công tới ANS; yêu cầu phương án bảo đảm an ninh, an toàn hàng không trong thi công trước khi triển khai.</x:v>
      </x:c>
      <x:c r="E34" s="14" t="str">
        <x:v>Ban Kế hoạch - Đầu tư; Ban Không lưu; Ban Kỹ thuật - CNS/IT/Môi trường; Ban An toàn - Chất lượng; Trung tâm Thông báo tin tức hàng không; Các Công ty Quản lý bay khu vực Bắc/Trung/Nam</x:v>
      </x:c>
      <x:c r="F34" s="14" t="str">
        <x:v>P1</x:v>
      </x:c>
      <x:c r="G34" s="14" t="str">
        <x:v>Theo từng hồ sơ, trước khi đưa/dừng khai thác hoặc trước thi công; cập nhật khi thay đổi</x:v>
      </x:c>
      <x:c r="H34" s="14" t="str">
        <x:v>Chưa bắt đầu</x:v>
      </x:c>
      <x:c r="I34" s="20" t="n">
        <x:f>IF(H34="Hoàn thành",100%,IF(H34="Không áp dụng",100%,IF(H34="Đang thực hiện",50%,IF(H34="Đang chờ phối hợp",25%,0%))))</x:f>
        <x:v>0</x:v>
      </x:c>
      <x:c r="J34" s="58" t="str"/>
      <x:c r="K34" s="14" t="str"/>
      <x:c r="L34" s="14" t="str"/>
      <x:c r="M34" s="14" t="str"/>
      <x:c r="N34" s="14" t="str"/>
      <x:c r="O34" s="14" t="str"/>
      <x:c r="P34" s="58" t="str"/>
      <x:c r="Q34" s="14" t="str"/>
    </x:row>
    <x:row r="35">
      <x:c r="A35" s="14" t="str">
        <x:v>VATM-0034</x:v>
      </x:c>
      <x:c r="B35" s="14" t="str">
        <x:v>Quản lý khai thác cảng/sân bay</x:v>
      </x:c>
      <x:c r="C35" s="14" t="str">
        <x:v>Công trình, chướng ngại và thi công</x:v>
      </x:c>
      <x:c r="D35" s="14" t="str">
        <x:v>Xác định thời gian thi công phù hợp với phương án điều hành bay; tránh giờ cao điểm; phối hợp NOTAM, AIP SUP nếu cần.</x:v>
      </x:c>
      <x:c r="E35" s="14" t="str">
        <x:v>Ban Kế hoạch - Đầu tư; Ban Không lưu; Ban Kỹ thuật - CNS/IT/Môi trường; Ban An toàn - Chất lượng; Trung tâm Thông báo tin tức hàng không; Các Công ty Quản lý bay khu vực Bắc/Trung/Nam</x:v>
      </x:c>
      <x:c r="F35" s="14" t="str">
        <x:v>P1</x:v>
      </x:c>
      <x:c r="G35" s="14" t="str">
        <x:v>Theo từng hồ sơ, trước khi đưa/dừng khai thác hoặc trước thi công; cập nhật khi thay đổi</x:v>
      </x:c>
      <x:c r="H35" s="14" t="str">
        <x:v>Chưa bắt đầu</x:v>
      </x:c>
      <x:c r="I35" s="20" t="n">
        <x:f>IF(H35="Hoàn thành",100%,IF(H35="Không áp dụng",100%,IF(H35="Đang thực hiện",50%,IF(H35="Đang chờ phối hợp",25%,0%))))</x:f>
        <x:v>0</x:v>
      </x:c>
      <x:c r="J35" s="58" t="str"/>
      <x:c r="K35" s="14" t="str"/>
      <x:c r="L35" s="14" t="str"/>
      <x:c r="M35" s="14" t="str"/>
      <x:c r="N35" s="14" t="str"/>
      <x:c r="O35" s="14" t="str"/>
      <x:c r="P35" s="58" t="str"/>
      <x:c r="Q35" s="14" t="str"/>
    </x:row>
    <x:row r="36">
      <x:c r="A36" s="14" t="str">
        <x:v>VATM-0035</x:v>
      </x:c>
      <x:c r="B36" s="14" t="str">
        <x:v>Quản lý khai thác cảng/sân bay</x:v>
      </x:c>
      <x:c r="C36" s="14" t="str">
        <x:v>Công trình, chướng ngại và thi công</x:v>
      </x:c>
      <x:c r="D36" s="14" t="str">
        <x:v>Cho ý kiến/chấp thuận nội bộ về phương án bảo đảm an toàn hoạt động bay trong thi công; đánh giá ảnh hưởng đến CNS, tĩnh không, phương thức bay, sân đỗ, đường lăn.</x:v>
      </x:c>
      <x:c r="E36" s="14" t="str">
        <x:v>Ban Kế hoạch - Đầu tư; Ban Không lưu; Ban Kỹ thuật - CNS/IT/Môi trường; Ban An toàn - Chất lượng; Trung tâm Thông báo tin tức hàng không; Các Công ty Quản lý bay khu vực Bắc/Trung/Nam</x:v>
      </x:c>
      <x:c r="F36" s="14" t="str">
        <x:v>P1</x:v>
      </x:c>
      <x:c r="G36" s="14" t="str">
        <x:v>Theo từng hồ sơ, trước khi đưa/dừng khai thác hoặc trước thi công; cập nhật khi thay đổi</x:v>
      </x:c>
      <x:c r="H36" s="14" t="str">
        <x:v>Chưa bắt đầu</x:v>
      </x:c>
      <x:c r="I36" s="20" t="n">
        <x:f>IF(H36="Hoàn thành",100%,IF(H36="Không áp dụng",100%,IF(H36="Đang thực hiện",50%,IF(H36="Đang chờ phối hợp",25%,0%))))</x:f>
        <x:v>0</x:v>
      </x:c>
      <x:c r="J36" s="58" t="str"/>
      <x:c r="K36" s="14" t="str"/>
      <x:c r="L36" s="14" t="str"/>
      <x:c r="M36" s="14" t="str"/>
      <x:c r="N36" s="14" t="str"/>
      <x:c r="O36" s="14" t="str"/>
      <x:c r="P36" s="58" t="str"/>
      <x:c r="Q36" s="14" t="str"/>
    </x:row>
    <x:row r="37">
      <x:c r="A37" s="14" t="str">
        <x:v>VATM-0036</x:v>
      </x:c>
      <x:c r="B37" s="14" t="str">
        <x:v>Quản lý khai thác cảng/sân bay</x:v>
      </x:c>
      <x:c r="C37" s="14" t="str">
        <x:v>Công trình, chướng ngại và thi công</x:v>
      </x:c>
      <x:c r="D37" s="14" t="str">
        <x:v>Yêu cầu chủ đầu tư/đơn vị khai thác công trình phối hợp với VATM; nhận thông tin trước thi công; kiểm tra tuân thủ an toàn hoạt động bay.</x:v>
      </x:c>
      <x:c r="E37" s="14" t="str">
        <x:v>Ban Kế hoạch - Đầu tư; Ban Không lưu; Ban Kỹ thuật - CNS/IT/Môi trường; Ban An toàn - Chất lượng; Trung tâm Thông báo tin tức hàng không; Các Công ty Quản lý bay khu vực Bắc/Trung/Nam</x:v>
      </x:c>
      <x:c r="F37" s="14" t="str">
        <x:v>P1</x:v>
      </x:c>
      <x:c r="G37" s="14" t="str">
        <x:v>Theo từng hồ sơ, trước khi đưa/dừng khai thác hoặc trước thi công; cập nhật khi thay đổi</x:v>
      </x:c>
      <x:c r="H37" s="14" t="str">
        <x:v>Chưa bắt đầu</x:v>
      </x:c>
      <x:c r="I37" s="20" t="n">
        <x:f>IF(H37="Hoàn thành",100%,IF(H37="Không áp dụng",100%,IF(H37="Đang thực hiện",50%,IF(H37="Đang chờ phối hợp",25%,0%))))</x:f>
        <x:v>0</x:v>
      </x:c>
      <x:c r="J37" s="58" t="str"/>
      <x:c r="K37" s="14" t="str"/>
      <x:c r="L37" s="14" t="str"/>
      <x:c r="M37" s="14" t="str"/>
      <x:c r="N37" s="14" t="str"/>
      <x:c r="O37" s="14" t="str"/>
      <x:c r="P37" s="58" t="str"/>
      <x:c r="Q37" s="14" t="str"/>
    </x:row>
    <x:row r="38">
      <x:c r="A38" s="14" t="str">
        <x:v>VATM-0037</x:v>
      </x:c>
      <x:c r="B38" s="14" t="str">
        <x:v>Quản lý khai thác cảng/sân bay</x:v>
      </x:c>
      <x:c r="C38" s="14" t="str">
        <x:v>Công trình, chướng ngại và thi công</x:v>
      </x:c>
      <x:c r="D38" s="14" t="str">
        <x:v>Yêu cầu đơn vị thi công/giám sát tuân thủ phương án an toàn; phối hợp khi có sự cố ảnh hưởng hoạt động bay; bảo đảm thiết bị/cần cẩu/đèn chiếu không gây nguy hiểm.</x:v>
      </x:c>
      <x:c r="E38" s="14" t="str">
        <x:v>Ban Kế hoạch - Đầu tư; Ban Không lưu; Ban Kỹ thuật - CNS/IT/Môi trường; Ban An toàn - Chất lượng; Trung tâm Thông báo tin tức hàng không; Các Công ty Quản lý bay khu vực Bắc/Trung/Nam</x:v>
      </x:c>
      <x:c r="F38" s="14" t="str">
        <x:v>P1</x:v>
      </x:c>
      <x:c r="G38" s="14" t="str">
        <x:v>Theo từng hồ sơ, trước khi đưa/dừng khai thác hoặc trước thi công; cập nhật khi thay đổi</x:v>
      </x:c>
      <x:c r="H38" s="14" t="str">
        <x:v>Chưa bắt đầu</x:v>
      </x:c>
      <x:c r="I38" s="20" t="n">
        <x:f>IF(H38="Hoàn thành",100%,IF(H38="Không áp dụng",100%,IF(H38="Đang thực hiện",50%,IF(H38="Đang chờ phối hợp",25%,0%))))</x:f>
        <x:v>0</x:v>
      </x:c>
      <x:c r="J38" s="58" t="str"/>
      <x:c r="K38" s="14" t="str"/>
      <x:c r="L38" s="14" t="str"/>
      <x:c r="M38" s="14" t="str"/>
      <x:c r="N38" s="14" t="str"/>
      <x:c r="O38" s="14" t="str"/>
      <x:c r="P38" s="58" t="str"/>
      <x:c r="Q38" s="14" t="str"/>
    </x:row>
    <x:row r="39">
      <x:c r="A39" s="14" t="str">
        <x:v>VATM-0038</x:v>
      </x:c>
      <x:c r="B39" s="14" t="str">
        <x:v>Quản lý khai thác cảng/sân bay</x:v>
      </x:c>
      <x:c r="C39" s="14" t="str">
        <x:v>Công trình, chướng ngại và thi công</x:v>
      </x:c>
      <x:c r="D39" s="14" t="str">
        <x:v>Phối hợp với người khai thác cảng để thống nhất phương án thi công, thông báo nội dung thi công, phối hợp điều hành khi thay đổi phương án khai thác.</x:v>
      </x:c>
      <x:c r="E39" s="14" t="str">
        <x:v>Ban Kế hoạch - Đầu tư; Ban Không lưu; Ban Kỹ thuật - CNS/IT/Môi trường; Ban An toàn - Chất lượng; Trung tâm Thông báo tin tức hàng không; Các Công ty Quản lý bay khu vực Bắc/Trung/Nam</x:v>
      </x:c>
      <x:c r="F39" s="14" t="str">
        <x:v>P1</x:v>
      </x:c>
      <x:c r="G39" s="14" t="str">
        <x:v>Theo từng hồ sơ, trước khi đưa/dừng khai thác hoặc trước thi công; cập nhật khi thay đổi</x:v>
      </x:c>
      <x:c r="H39" s="14" t="str">
        <x:v>Chưa bắt đầu</x:v>
      </x:c>
      <x:c r="I39" s="20" t="n">
        <x:f>IF(H39="Hoàn thành",100%,IF(H39="Không áp dụng",100%,IF(H39="Đang thực hiện",50%,IF(H39="Đang chờ phối hợp",25%,0%))))</x:f>
        <x:v>0</x:v>
      </x:c>
      <x:c r="J39" s="58" t="str"/>
      <x:c r="K39" s="14" t="str"/>
      <x:c r="L39" s="14" t="str"/>
      <x:c r="M39" s="14" t="str"/>
      <x:c r="N39" s="14" t="str"/>
      <x:c r="O39" s="14" t="str"/>
      <x:c r="P39" s="58" t="str"/>
      <x:c r="Q39" s="14" t="str"/>
    </x:row>
    <x:row r="40">
      <x:c r="A40" s="14" t="str">
        <x:v>VATM-0039</x:v>
      </x:c>
      <x:c r="B40" s="14" t="str">
        <x:v>Quản lý khai thác cảng/sân bay</x:v>
      </x:c>
      <x:c r="C40" s="14" t="str">
        <x:v>Công trình, chướng ngại và thi công</x:v>
      </x:c>
      <x:c r="D40" s="14" t="str">
        <x:v>Cung cấp ý kiến ANS khi đóng/mở bãi cất hạ cánh; đánh giá ảnh hưởng tới vùng trời, phương thức bay, SAR, MET, thông báo tin tức hàng không.</x:v>
      </x:c>
      <x:c r="E40" s="14" t="str">
        <x:v>Ban Kế hoạch - Đầu tư; Ban Không lưu; Ban Kỹ thuật - CNS/IT/Môi trường; Trung tâm Khí tượng hàng không; Trung tâm Thông báo tin tức hàng không; Trung tâm Tìm kiếm cứu nạn hàng không</x:v>
      </x:c>
      <x:c r="F40" s="14" t="str">
        <x:v>P1</x:v>
      </x:c>
      <x:c r="G40" s="14" t="str">
        <x:v>Theo từng hồ sơ; trước ngày hiệu lực thông báo</x:v>
      </x:c>
      <x:c r="H40" s="14" t="str">
        <x:v>Chưa bắt đầu</x:v>
      </x:c>
      <x:c r="I40" s="20" t="n">
        <x:f>IF(H40="Hoàn thành",100%,IF(H40="Không áp dụng",100%,IF(H40="Đang thực hiện",50%,IF(H40="Đang chờ phối hợp",25%,0%))))</x:f>
        <x:v>0</x:v>
      </x:c>
      <x:c r="J40" s="58" t="str"/>
      <x:c r="K40" s="14" t="str"/>
      <x:c r="L40" s="14" t="str"/>
      <x:c r="M40" s="14" t="str"/>
      <x:c r="N40" s="14" t="str"/>
      <x:c r="O40" s="14" t="str"/>
      <x:c r="P40" s="58" t="str"/>
      <x:c r="Q40" s="14" t="str"/>
    </x:row>
    <x:row r="41">
      <x:c r="A41" s="14" t="str">
        <x:v>VATM-0040</x:v>
      </x:c>
      <x:c r="B41" s="14" t="str">
        <x:v>Quản lý khai thác cảng/sân bay</x:v>
      </x:c>
      <x:c r="C41" s="14" t="str">
        <x:v>Công trình, chướng ngại và thi công</x:v>
      </x:c>
      <x:c r="D41" s="14" t="str">
        <x:v>Phối hợp xử lý thủ tục mở, đóng, tạm đóng, mở lại bãi cất hạ cánh; phát hành hoặc đề nghị phát hành tin tức hàng không khi ảnh hưởng hoạt động bay.</x:v>
      </x:c>
      <x:c r="E41" s="14" t="str">
        <x:v>Ban Kế hoạch - Đầu tư; Ban Không lưu; Ban Kỹ thuật - CNS/IT/Môi trường; Trung tâm Khí tượng hàng không; Trung tâm Thông báo tin tức hàng không; Trung tâm Tìm kiếm cứu nạn hàng không</x:v>
      </x:c>
      <x:c r="F41" s="14" t="str">
        <x:v>P1</x:v>
      </x:c>
      <x:c r="G41" s="14" t="str">
        <x:v>Theo từng hồ sơ; trước ngày hiệu lực thông báo</x:v>
      </x:c>
      <x:c r="H41" s="14" t="str">
        <x:v>Chưa bắt đầu</x:v>
      </x:c>
      <x:c r="I41" s="20" t="n">
        <x:f>IF(H41="Hoàn thành",100%,IF(H41="Không áp dụng",100%,IF(H41="Đang thực hiện",50%,IF(H41="Đang chờ phối hợp",25%,0%))))</x:f>
        <x:v>0</x:v>
      </x:c>
      <x:c r="J41" s="58" t="str"/>
      <x:c r="K41" s="14" t="str"/>
      <x:c r="L41" s="14" t="str"/>
      <x:c r="M41" s="14" t="str"/>
      <x:c r="N41" s="14" t="str"/>
      <x:c r="O41" s="14" t="str"/>
      <x:c r="P41" s="58" t="str"/>
      <x:c r="Q41" s="14" t="str"/>
    </x:row>
    <x:row r="42">
      <x:c r="A42" s="14" t="str">
        <x:v>VATM-0041</x:v>
      </x:c>
      <x:c r="B42" s="14" t="str">
        <x:v>Tuân thủ, pháp chế &amp; quản trị</x:v>
      </x:c>
      <x:c r="C42" s="14" t="str">
        <x:v>Rà soát văn bản, quy trình và GAP</x:v>
      </x:c>
      <x:c r="D42" s="14" t="str">
        <x:v>Phối hợp trong dây chuyền hoạt động tại cảng: bảo đảm hoạt động bay, kiểm soát phương tiện chuyên ngành, công tác bảo đảm an toàn khai thác.</x:v>
      </x:c>
      <x:c r="E42" s="14" t="str">
        <x:v>Văn phòng - Pháp chế; Ban Không lưu; Ban Kỹ thuật - CNS/IT/Môi trường; Các Công ty Quản lý bay khu vực Bắc/Trung/Nam</x:v>
      </x:c>
      <x:c r="F42" s="14" t="str">
        <x:v>P1</x:v>
      </x:c>
      <x:c r="G42" s="14" t="str">
        <x:v>Thường xuyên; rà soát định kỳ hàng năm hoặc khi thay đổi khai thác</x:v>
      </x:c>
      <x:c r="H42" s="14" t="str">
        <x:v>Chưa bắt đầu</x:v>
      </x:c>
      <x:c r="I42" s="20" t="n">
        <x:f>IF(H42="Hoàn thành",100%,IF(H42="Không áp dụng",100%,IF(H42="Đang thực hiện",50%,IF(H42="Đang chờ phối hợp",25%,0%))))</x:f>
        <x:v>0</x:v>
      </x:c>
      <x:c r="J42" s="58" t="str"/>
      <x:c r="K42" s="14" t="str"/>
      <x:c r="L42" s="14" t="str"/>
      <x:c r="M42" s="14" t="str"/>
      <x:c r="N42" s="14" t="str"/>
      <x:c r="O42" s="14" t="str"/>
      <x:c r="P42" s="58" t="str"/>
      <x:c r="Q42" s="14" t="str"/>
    </x:row>
    <x:row r="43">
      <x:c r="A43" s="14" t="str">
        <x:v>VATM-0042</x:v>
      </x:c>
      <x:c r="B43" s="14" t="str">
        <x:v>Tuân thủ, pháp chế &amp; quản trị</x:v>
      </x:c>
      <x:c r="C43" s="14" t="str">
        <x:v>Rà soát văn bản, quy trình và GAP</x:v>
      </x:c>
      <x:c r="D43" s="14" t="str">
        <x:v>Bảo đảm phương tiện chuyên ngành của VATM hoạt động trong sân bay có hồ sơ kiểm định/biển kiểm soát/đăng ký theo quy định và phối hợp quản lý phương tiện.</x:v>
      </x:c>
      <x:c r="E43" s="14" t="str">
        <x:v>Văn phòng - Pháp chế; Ban Không lưu; Ban Kỹ thuật - CNS/IT/Môi trường; Các Công ty Quản lý bay khu vực Bắc/Trung/Nam</x:v>
      </x:c>
      <x:c r="F43" s="14" t="str">
        <x:v>P1</x:v>
      </x:c>
      <x:c r="G43" s="14" t="str">
        <x:v>Thường xuyên; rà soát định kỳ hàng năm hoặc khi thay đổi khai thác</x:v>
      </x:c>
      <x:c r="H43" s="14" t="str">
        <x:v>Chưa bắt đầu</x:v>
      </x:c>
      <x:c r="I43" s="20" t="n">
        <x:f>IF(H43="Hoàn thành",100%,IF(H43="Không áp dụng",100%,IF(H43="Đang thực hiện",50%,IF(H43="Đang chờ phối hợp",25%,0%))))</x:f>
        <x:v>0</x:v>
      </x:c>
      <x:c r="J43" s="58" t="str"/>
      <x:c r="K43" s="14" t="str"/>
      <x:c r="L43" s="14" t="str"/>
      <x:c r="M43" s="14" t="str"/>
      <x:c r="N43" s="14" t="str"/>
      <x:c r="O43" s="14" t="str"/>
      <x:c r="P43" s="58" t="str"/>
      <x:c r="Q43" s="14" t="str"/>
    </x:row>
    <x:row r="44">
      <x:c r="A44" s="14" t="str">
        <x:v>VATM-0043</x:v>
      </x:c>
      <x:c r="B44" s="14" t="str">
        <x:v>Tuân thủ, pháp chế &amp; quản trị</x:v>
      </x:c>
      <x:c r="C44" s="14" t="str">
        <x:v>Rà soát văn bản, quy trình và GAP</x:v>
      </x:c>
      <x:c r="D44" s="14" t="str">
        <x:v>Tham gia hiệp đồng quản lý khu vực dùng chung giữa hàng không dân dụng và quân sự; phối hợp điều hành tàu bay dân dụng, quân sự, lực lượng vũ trang nhân dân.</x:v>
      </x:c>
      <x:c r="E44" s="14" t="str">
        <x:v>Văn phòng - Pháp chế; Ban Không lưu; Ban Kỹ thuật - CNS/IT/Môi trường; Các Công ty Quản lý bay khu vực Bắc/Trung/Nam</x:v>
      </x:c>
      <x:c r="F44" s="14" t="str">
        <x:v>P1</x:v>
      </x:c>
      <x:c r="G44" s="14" t="str">
        <x:v>Thường xuyên; rà soát định kỳ hàng năm hoặc khi thay đổi khai thác</x:v>
      </x:c>
      <x:c r="H44" s="14" t="str">
        <x:v>Chưa bắt đầu</x:v>
      </x:c>
      <x:c r="I44" s="20" t="n">
        <x:f>IF(H44="Hoàn thành",100%,IF(H44="Không áp dụng",100%,IF(H44="Đang thực hiện",50%,IF(H44="Đang chờ phối hợp",25%,0%))))</x:f>
        <x:v>0</x:v>
      </x:c>
      <x:c r="J44" s="58" t="str"/>
      <x:c r="K44" s="14" t="str"/>
      <x:c r="L44" s="14" t="str"/>
      <x:c r="M44" s="14" t="str"/>
      <x:c r="N44" s="14" t="str"/>
      <x:c r="O44" s="14" t="str"/>
      <x:c r="P44" s="58" t="str"/>
      <x:c r="Q44" s="14" t="str"/>
    </x:row>
    <x:row r="45">
      <x:c r="A45" s="14" t="str">
        <x:v>VATM-0044</x:v>
      </x:c>
      <x:c r="B45" s="14" t="str">
        <x:v>Tuân thủ, pháp chế &amp; quản trị</x:v>
      </x:c>
      <x:c r="C45" s="14" t="str">
        <x:v>Rà soát văn bản, quy trình và GAP</x:v>
      </x:c>
      <x:c r="D45" s="14" t="str">
        <x:v>Cung cấp dữ liệu, hiệp đồng khai thác khi sân bay được xác định là sân bay căn cứ hãng, bảo đảm bố trí bay qua đêm không ảnh hưởng năng lực ANS.</x:v>
      </x:c>
      <x:c r="E45" s="14" t="str">
        <x:v>Văn phòng - Pháp chế; Ban Không lưu; Ban Kỹ thuật - CNS/IT/Môi trường; Các Công ty Quản lý bay khu vực Bắc/Trung/Nam</x:v>
      </x:c>
      <x:c r="F45" s="14" t="str">
        <x:v>P1</x:v>
      </x:c>
      <x:c r="G45" s="14" t="str">
        <x:v>Thường xuyên; rà soát định kỳ hàng năm hoặc khi thay đổi khai thác</x:v>
      </x:c>
      <x:c r="H45" s="14" t="str">
        <x:v>Chưa bắt đầu</x:v>
      </x:c>
      <x:c r="I45" s="20" t="n">
        <x:f>IF(H45="Hoàn thành",100%,IF(H45="Không áp dụng",100%,IF(H45="Đang thực hiện",50%,IF(H45="Đang chờ phối hợp",25%,0%))))</x:f>
        <x:v>0</x:v>
      </x:c>
      <x:c r="J45" s="58" t="str"/>
      <x:c r="K45" s="14" t="str"/>
      <x:c r="L45" s="14" t="str"/>
      <x:c r="M45" s="14" t="str"/>
      <x:c r="N45" s="14" t="str"/>
      <x:c r="O45" s="14" t="str"/>
      <x:c r="P45" s="58" t="str"/>
      <x:c r="Q45" s="14" t="str"/>
    </x:row>
    <x:row r="46">
      <x:c r="A46" s="14" t="str">
        <x:v>VATM-0045</x:v>
      </x:c>
      <x:c r="B46" s="14" t="str">
        <x:v>Tuân thủ, pháp chế &amp; quản trị</x:v>
      </x:c>
      <x:c r="C46" s="14" t="str">
        <x:v>Rà soát văn bản, quy trình và GAP</x:v>
      </x:c>
      <x:c r="D46" s="14" t="str">
        <x:v>Theo dõi văn bản hướng dẫn, quy chuẩn, tiêu chuẩn và chỉ đạo của Bộ Xây dựng để cập nhật hệ thống quản trị tuân thủ của VATM.</x:v>
      </x:c>
      <x:c r="E46" s="14" t="str">
        <x:v>Văn phòng - Pháp chế; Ban Kế hoạch - Đầu tư</x:v>
      </x:c>
      <x:c r="F46" s="14" t="str">
        <x:v>P2</x:v>
      </x:c>
      <x:c r="G46" s="14" t="str">
        <x:v>Ngay sau ban hành; hoàn thành trước/sát 01/7/2026; cập nhật khi có hướng dẫn</x:v>
      </x:c>
      <x:c r="H46" s="14" t="str">
        <x:v>Chưa bắt đầu</x:v>
      </x:c>
      <x:c r="I46" s="20" t="n">
        <x:f>IF(H46="Hoàn thành",100%,IF(H46="Không áp dụng",100%,IF(H46="Đang thực hiện",50%,IF(H46="Đang chờ phối hợp",25%,0%))))</x:f>
        <x:v>0</x:v>
      </x:c>
      <x:c r="J46" s="58" t="str"/>
      <x:c r="K46" s="14" t="str"/>
      <x:c r="L46" s="14" t="str"/>
      <x:c r="M46" s="14" t="str"/>
      <x:c r="N46" s="14" t="str"/>
      <x:c r="O46" s="14" t="str"/>
      <x:c r="P46" s="58" t="str"/>
      <x:c r="Q46" s="14" t="str"/>
    </x:row>
    <x:row r="47">
      <x:c r="A47" s="14" t="str">
        <x:v>VATM-0046</x:v>
      </x:c>
      <x:c r="B47" s="14" t="str">
        <x:v>Tuân thủ, pháp chế &amp; quản trị</x:v>
      </x:c>
      <x:c r="C47" s="14" t="str">
        <x:v>Rà soát văn bản, quy trình và GAP</x:v>
      </x:c>
      <x:c r="D47" s="14" t="str">
        <x:v>Phối hợp với địa phương trong quản lý tĩnh không, quy hoạch, quảng cáo, xây dựng, an ninh trật tự, bảo vệ môi trường khu vực lân cận cảng khi ảnh hưởng ANS.</x:v>
      </x:c>
      <x:c r="E47" s="14" t="str">
        <x:v>Văn phòng - Pháp chế; Ban Kế hoạch - Đầu tư</x:v>
      </x:c>
      <x:c r="F47" s="14" t="str">
        <x:v>P1</x:v>
      </x:c>
      <x:c r="G47" s="14" t="str">
        <x:v>Ngay sau ban hành; hoàn thành trước/sát 01/7/2026; cập nhật khi có hướng dẫn</x:v>
      </x:c>
      <x:c r="H47" s="14" t="str">
        <x:v>Chưa bắt đầu</x:v>
      </x:c>
      <x:c r="I47" s="20" t="n">
        <x:f>IF(H47="Hoàn thành",100%,IF(H47="Không áp dụng",100%,IF(H47="Đang thực hiện",50%,IF(H47="Đang chờ phối hợp",25%,0%))))</x:f>
        <x:v>0</x:v>
      </x:c>
      <x:c r="J47" s="58" t="str"/>
      <x:c r="K47" s="14" t="str"/>
      <x:c r="L47" s="14" t="str"/>
      <x:c r="M47" s="14" t="str"/>
      <x:c r="N47" s="14" t="str"/>
      <x:c r="O47" s="14" t="str"/>
      <x:c r="P47" s="58" t="str"/>
      <x:c r="Q47" s="14" t="str"/>
    </x:row>
    <x:row r="48">
      <x:c r="A48" s="14" t="str">
        <x:v>VATM-0047</x:v>
      </x:c>
      <x:c r="B48" s="14" t="str">
        <x:v>Tuân thủ, pháp chế &amp; quản trị</x:v>
      </x:c>
      <x:c r="C48" s="14" t="str">
        <x:v>Rà soát văn bản, quy trình và GAP</x:v>
      </x:c>
      <x:c r="D48" s="14" t="str">
        <x:v>Cập nhật danh mục văn bản nội bộ viện dẫn các nghị định bị thay thế; loại bỏ căn cứ cũ và chuyển sang NĐ205 từ 01/7/2026.</x:v>
      </x:c>
      <x:c r="E48" s="14" t="str">
        <x:v>Văn phòng - Pháp chế; Ban Kế hoạch - Đầu tư</x:v>
      </x:c>
      <x:c r="F48" s="14" t="str">
        <x:v>P1</x:v>
      </x:c>
      <x:c r="G48" s="14" t="str">
        <x:v>Ngay sau ban hành; hoàn thành trước/sát 01/7/2026; cập nhật khi có hướng dẫn</x:v>
      </x:c>
      <x:c r="H48" s="14" t="str">
        <x:v>Chưa bắt đầu</x:v>
      </x:c>
      <x:c r="I48" s="20" t="n">
        <x:f>IF(H48="Hoàn thành",100%,IF(H48="Không áp dụng",100%,IF(H48="Đang thực hiện",50%,IF(H48="Đang chờ phối hợp",25%,0%))))</x:f>
        <x:v>0</x:v>
      </x:c>
      <x:c r="J48" s="58" t="str"/>
      <x:c r="K48" s="14" t="str"/>
      <x:c r="L48" s="14" t="str"/>
      <x:c r="M48" s="14" t="str"/>
      <x:c r="N48" s="14" t="str"/>
      <x:c r="O48" s="14" t="str"/>
      <x:c r="P48" s="58" t="str"/>
      <x:c r="Q48" s="14" t="str"/>
    </x:row>
    <x:row r="49">
      <x:c r="A49" s="14" t="str">
        <x:v>VATM-0048</x:v>
      </x:c>
      <x:c r="B49" s="14" t="str">
        <x:v>Tuân thủ, pháp chế &amp; quản trị</x:v>
      </x:c>
      <x:c r="C49" s="14" t="str">
        <x:v>Rà soát văn bản, quy trình và GAP</x:v>
      </x:c>
      <x:c r="D49" s="14" t="str">
        <x:v>Rà soát hồ sơ đang xử lý, giấy phép, giấy chứng nhận, phương tiện, quy hoạch, công trình của VATM để xác định xử lý chuyển tiếp sau 01/7/2026.</x:v>
      </x:c>
      <x:c r="E49" s="14" t="str">
        <x:v>Văn phòng - Pháp chế; Ban Kế hoạch - Đầu tư</x:v>
      </x:c>
      <x:c r="F49" s="14" t="str">
        <x:v>P1</x:v>
      </x:c>
      <x:c r="G49" s="14" t="str">
        <x:v>Ngay sau ban hành; hoàn thành trước/sát 01/7/2026; cập nhật khi có hướng dẫn</x:v>
      </x:c>
      <x:c r="H49" s="14" t="str">
        <x:v>Chưa bắt đầu</x:v>
      </x:c>
      <x:c r="I49" s="20" t="n">
        <x:f>IF(H49="Hoàn thành",100%,IF(H49="Không áp dụng",100%,IF(H49="Đang thực hiện",50%,IF(H49="Đang chờ phối hợp",25%,0%))))</x:f>
        <x:v>0</x:v>
      </x:c>
      <x:c r="J49" s="58" t="str"/>
      <x:c r="K49" s="14" t="str"/>
      <x:c r="L49" s="14" t="str"/>
      <x:c r="M49" s="14" t="str"/>
      <x:c r="N49" s="14" t="str"/>
      <x:c r="O49" s="14" t="str"/>
      <x:c r="P49" s="58" t="str"/>
      <x:c r="Q49" s="14" t="str"/>
    </x:row>
    <x:row r="50">
      <x:c r="A50" s="14" t="str">
        <x:v>VATM-0049</x:v>
      </x:c>
      <x:c r="B50" s="14" t="str">
        <x:v>Tuân thủ, pháp chế &amp; quản trị</x:v>
      </x:c>
      <x:c r="C50" s="14" t="str">
        <x:v>Rà soát văn bản, quy trình và GAP</x:v>
      </x:c>
      <x:c r="D50" s="14" t="str">
        <x:v>Theo dõi trách nhiệm thi hành của các bộ, ngành, địa phương để chủ động phối hợp khi có văn bản triển khai.</x:v>
      </x:c>
      <x:c r="E50" s="14" t="str">
        <x:v>Văn phòng - Pháp chế; Ban Kế hoạch - Đầu tư</x:v>
      </x:c>
      <x:c r="F50" s="14" t="str">
        <x:v>P2</x:v>
      </x:c>
      <x:c r="G50" s="14" t="str">
        <x:v>Ngay sau ban hành; hoàn thành trước/sát 01/7/2026; cập nhật khi có hướng dẫn</x:v>
      </x:c>
      <x:c r="H50" s="14" t="str">
        <x:v>Chưa bắt đầu</x:v>
      </x:c>
      <x:c r="I50" s="20" t="n">
        <x:f>IF(H50="Hoàn thành",100%,IF(H50="Không áp dụng",100%,IF(H50="Đang thực hiện",50%,IF(H50="Đang chờ phối hợp",25%,0%))))</x:f>
        <x:v>0</x:v>
      </x:c>
      <x:c r="J50" s="58" t="str"/>
      <x:c r="K50" s="14" t="str"/>
      <x:c r="L50" s="14" t="str"/>
      <x:c r="M50" s="14" t="str"/>
      <x:c r="N50" s="14" t="str"/>
      <x:c r="O50" s="14" t="str"/>
      <x:c r="P50" s="58" t="str"/>
      <x:c r="Q50" s="14" t="str"/>
    </x:row>
    <x:row r="51">
      <x:c r="A51" s="14" t="str">
        <x:v>VATM-0050</x:v>
      </x:c>
      <x:c r="B51" s="14" t="str">
        <x:v>ANS - ATM/ATS/ATFM</x:v>
      </x:c>
      <x:c r="C51" s="14" t="str">
        <x:v>Phối hợp ATS với cảng/sân bay</x:v>
      </x:c>
      <x:c r="D51" s="14" t="str">
        <x:v>Rà soát phương án điều hành khi có thi công, dừng/đưa khai thác công trình, thay đổi đường CHC/đường lăn/sân đỗ.</x:v>
      </x:c>
      <x:c r="E51" s="14" t="str">
        <x:v>Ban Không lưu</x:v>
      </x:c>
      <x:c r="F51" s="14" t="str">
        <x:v>P1</x:v>
      </x:c>
      <x:c r="G51" s="14" t="str">
        <x:v>Trước ngày hiệu lực thay đổi; rà soát sau 30 ngày</x:v>
      </x:c>
      <x:c r="H51" s="14" t="str">
        <x:v>Chưa bắt đầu</x:v>
      </x:c>
      <x:c r="I51" s="20" t="n">
        <x:f>IF(H51="Hoàn thành",100%,IF(H51="Không áp dụng",100%,IF(H51="Đang thực hiện",50%,IF(H51="Đang chờ phối hợp",25%,0%))))</x:f>
        <x:v>0</x:v>
      </x:c>
      <x:c r="J51" s="58" t="str"/>
      <x:c r="K51" s="14" t="str"/>
      <x:c r="L51" s="14" t="str"/>
      <x:c r="M51" s="14" t="str"/>
      <x:c r="N51" s="14" t="str"/>
      <x:c r="O51" s="14" t="str"/>
      <x:c r="P51" s="58" t="str"/>
      <x:c r="Q51" s="14" t="str"/>
    </x:row>
    <x:row r="52">
      <x:c r="A52" s="14" t="str">
        <x:v>VATM-0051</x:v>
      </x:c>
      <x:c r="B52" s="14" t="str">
        <x:v>ANS - ATM/ATS/ATFM</x:v>
      </x:c>
      <x:c r="C52" s="14" t="str">
        <x:v>Phối hợp ATS với cảng/sân bay</x:v>
      </x:c>
      <x:c r="D52" s="14" t="str">
        <x:v>Rà soát MVA/MSA, phương thức bay, vectoring, vùng trời tiếp cận khi có công trình cao, quảng cáo, cần cẩu, chiếu sáng, laser.</x:v>
      </x:c>
      <x:c r="E52" s="14" t="str">
        <x:v>Ban Không lưu</x:v>
      </x:c>
      <x:c r="F52" s="14" t="str">
        <x:v>P1</x:v>
      </x:c>
      <x:c r="G52" s="14" t="str">
        <x:v>Trước ngày hiệu lực thay đổi; rà soát sau 30 ngày</x:v>
      </x:c>
      <x:c r="H52" s="14" t="str">
        <x:v>Chưa bắt đầu</x:v>
      </x:c>
      <x:c r="I52" s="20" t="n">
        <x:f>IF(H52="Hoàn thành",100%,IF(H52="Không áp dụng",100%,IF(H52="Đang thực hiện",50%,IF(H52="Đang chờ phối hợp",25%,0%))))</x:f>
        <x:v>0</x:v>
      </x:c>
      <x:c r="J52" s="58" t="str"/>
      <x:c r="K52" s="14" t="str"/>
      <x:c r="L52" s="14" t="str"/>
      <x:c r="M52" s="14" t="str"/>
      <x:c r="N52" s="14" t="str"/>
      <x:c r="O52" s="14" t="str"/>
      <x:c r="P52" s="58" t="str"/>
      <x:c r="Q52" s="14" t="str"/>
    </x:row>
    <x:row r="53">
      <x:c r="A53" s="14" t="str">
        <x:v>VATM-0052</x:v>
      </x:c>
      <x:c r="B53" s="14" t="str">
        <x:v>ANS - ATM/ATS/ATFM</x:v>
      </x:c>
      <x:c r="C53" s="14" t="str">
        <x:v>Phối hợp ATS với cảng/sân bay</x:v>
      </x:c>
      <x:c r="D53" s="14" t="str">
        <x:v>Hiệp đồng tại chỗ với người khai thác cảng, Cảng vụ, đơn vị thi công; kiểm soát phương tiện và tình huống bất thường trên khu bay.</x:v>
      </x:c>
      <x:c r="E53" s="14" t="str">
        <x:v>Ban Không lưu</x:v>
      </x:c>
      <x:c r="F53" s="14" t="str">
        <x:v>P1</x:v>
      </x:c>
      <x:c r="G53" s="14" t="str">
        <x:v>Trước ngày hiệu lực thay đổi; rà soát sau 30 ngày</x:v>
      </x:c>
      <x:c r="H53" s="14" t="str">
        <x:v>Chưa bắt đầu</x:v>
      </x:c>
      <x:c r="I53" s="20" t="n">
        <x:f>IF(H53="Hoàn thành",100%,IF(H53="Không áp dụng",100%,IF(H53="Đang thực hiện",50%,IF(H53="Đang chờ phối hợp",25%,0%))))</x:f>
        <x:v>0</x:v>
      </x:c>
      <x:c r="J53" s="58" t="str"/>
      <x:c r="K53" s="14" t="str"/>
      <x:c r="L53" s="14" t="str"/>
      <x:c r="M53" s="14" t="str"/>
      <x:c r="N53" s="14" t="str"/>
      <x:c r="O53" s="14" t="str"/>
      <x:c r="P53" s="58" t="str"/>
      <x:c r="Q53" s="14" t="str"/>
    </x:row>
    <x:row r="54">
      <x:c r="A54" s="14" t="str">
        <x:v>VATM-0053</x:v>
      </x:c>
      <x:c r="B54" s="14" t="str">
        <x:v>ANS - AIS/AIM/Tin tức HK</x:v>
      </x:c>
      <x:c r="C54" s="14" t="str">
        <x:v>AIP/NOTAM/dữ liệu hàng không</x:v>
      </x:c>
      <x:c r="D54" s="14" t="str">
        <x:v>Tiếp nhận dữ liệu thay đổi, kiểm tra chất lượng dữ liệu, phát hành NOTAM/AIP SUP/AIC theo quy trình khi đủ điều kiện.</x:v>
      </x:c>
      <x:c r="E54" s="14" t="str">
        <x:v>Trung tâm Thông báo tin tức hàng không</x:v>
      </x:c>
      <x:c r="F54" s="14" t="str">
        <x:v>P1</x:v>
      </x:c>
      <x:c r="G54" s="14" t="str">
        <x:v>Trước ngày hiệu lực thay đổi; rà soát sau 30 ngày</x:v>
      </x:c>
      <x:c r="H54" s="14" t="str">
        <x:v>Chưa bắt đầu</x:v>
      </x:c>
      <x:c r="I54" s="20" t="n">
        <x:f>IF(H54="Hoàn thành",100%,IF(H54="Không áp dụng",100%,IF(H54="Đang thực hiện",50%,IF(H54="Đang chờ phối hợp",25%,0%))))</x:f>
        <x:v>0</x:v>
      </x:c>
      <x:c r="J54" s="58" t="str"/>
      <x:c r="K54" s="14" t="str"/>
      <x:c r="L54" s="14" t="str"/>
      <x:c r="M54" s="14" t="str"/>
      <x:c r="N54" s="14" t="str"/>
      <x:c r="O54" s="14" t="str"/>
      <x:c r="P54" s="58" t="str"/>
      <x:c r="Q54" s="14" t="str"/>
    </x:row>
    <x:row r="55">
      <x:c r="A55" s="14" t="str">
        <x:v>VATM-0054</x:v>
      </x:c>
      <x:c r="B55" s="14" t="str">
        <x:v>ANS - CNS/IT/Kỹ thuật</x:v>
      </x:c>
      <x:c r="C55" s="14" t="str">
        <x:v>CNS, trang thiết bị và bảo trì kỹ thuật</x:v>
      </x:c>
      <x:c r="D55" s="14" t="str">
        <x:v>Đánh giá nhiễu, che khuất, vùng phủ, nguồn điện, truyền dẫn, bảo vệ công trình CNS khi quy hoạch/thi công/cải tạo cảng.</x:v>
      </x:c>
      <x:c r="E55" s="14" t="str">
        <x:v>Ban Kỹ thuật - CNS/IT/Môi trường</x:v>
      </x:c>
      <x:c r="F55" s="14" t="str">
        <x:v>P1</x:v>
      </x:c>
      <x:c r="G55" s="14" t="str">
        <x:v>Trước ngày hiệu lực thay đổi; rà soát sau 30 ngày</x:v>
      </x:c>
      <x:c r="H55" s="14" t="str">
        <x:v>Chưa bắt đầu</x:v>
      </x:c>
      <x:c r="I55" s="20" t="n">
        <x:f>IF(H55="Hoàn thành",100%,IF(H55="Không áp dụng",100%,IF(H55="Đang thực hiện",50%,IF(H55="Đang chờ phối hợp",25%,0%))))</x:f>
        <x:v>0</x:v>
      </x:c>
      <x:c r="J55" s="58" t="str"/>
      <x:c r="K55" s="14" t="str"/>
      <x:c r="L55" s="14" t="str"/>
      <x:c r="M55" s="14" t="str"/>
      <x:c r="N55" s="14" t="str"/>
      <x:c r="O55" s="14" t="str"/>
      <x:c r="P55" s="58" t="str"/>
      <x:c r="Q55" s="14" t="str"/>
    </x:row>
    <x:row r="56">
      <x:c r="A56" s="14" t="str">
        <x:v>VATM-0055</x:v>
      </x:c>
      <x:c r="B56" s="14" t="str">
        <x:v>ANS - MET/Khí tượng hàng không</x:v>
      </x:c>
      <x:c r="C56" s="14" t="str">
        <x:v>Quan trắc, dự báo và cảnh báo MET</x:v>
      </x:c>
      <x:c r="D56" s="14" t="str">
        <x:v>Đánh giá tác động tới thiết bị quan trắc, vị trí cảm biến, đường truyền dữ liệu khí tượng, cung cấp thông tin MET cho khai thác.</x:v>
      </x:c>
      <x:c r="E56" s="14" t="str">
        <x:v>Trung tâm Khí tượng hàng không</x:v>
      </x:c>
      <x:c r="F56" s="14" t="str">
        <x:v>P1</x:v>
      </x:c>
      <x:c r="G56" s="14" t="str">
        <x:v>Trước ngày hiệu lực thay đổi; rà soát sau 30 ngày</x:v>
      </x:c>
      <x:c r="H56" s="14" t="str">
        <x:v>Chưa bắt đầu</x:v>
      </x:c>
      <x:c r="I56" s="20" t="n">
        <x:f>IF(H56="Hoàn thành",100%,IF(H56="Không áp dụng",100%,IF(H56="Đang thực hiện",50%,IF(H56="Đang chờ phối hợp",25%,0%))))</x:f>
        <x:v>0</x:v>
      </x:c>
      <x:c r="J56" s="58" t="str"/>
      <x:c r="K56" s="14" t="str"/>
      <x:c r="L56" s="14" t="str"/>
      <x:c r="M56" s="14" t="str"/>
      <x:c r="N56" s="14" t="str"/>
      <x:c r="O56" s="14" t="str"/>
      <x:c r="P56" s="58" t="str"/>
      <x:c r="Q56" s="14" t="str"/>
    </x:row>
    <x:row r="57">
      <x:c r="A57" s="14" t="str">
        <x:v>VATM-0056</x:v>
      </x:c>
      <x:c r="B57" s="14" t="str">
        <x:v>ANS - Tìm kiếm cứu nạn &amp; khẩn nguy</x:v>
      </x:c>
      <x:c r="C57" s="14" t="str">
        <x:v>SAR, khẩn nguy và hiệp đồng</x:v>
      </x:c>
      <x:c r="D57" s="14" t="str">
        <x:v>Cập nhật phương án SAR khi mở/đóng bãi cất hạ cánh, chuyển cảng, thay đổi khai thác quốc tế/nội địa.</x:v>
      </x:c>
      <x:c r="E57" s="14" t="str">
        <x:v>Trung tâm Tìm kiếm cứu nạn hàng không</x:v>
      </x:c>
      <x:c r="F57" s="14" t="str">
        <x:v>P1</x:v>
      </x:c>
      <x:c r="G57" s="14" t="str">
        <x:v>Trước ngày hiệu lực thay đổi; rà soát sau 30 ngày</x:v>
      </x:c>
      <x:c r="H57" s="14" t="str">
        <x:v>Chưa bắt đầu</x:v>
      </x:c>
      <x:c r="I57" s="20" t="n">
        <x:f>IF(H57="Hoàn thành",100%,IF(H57="Không áp dụng",100%,IF(H57="Đang thực hiện",50%,IF(H57="Đang chờ phối hợp",25%,0%))))</x:f>
        <x:v>0</x:v>
      </x:c>
      <x:c r="J57" s="58" t="str"/>
      <x:c r="K57" s="14" t="str"/>
      <x:c r="L57" s="14" t="str"/>
      <x:c r="M57" s="14" t="str"/>
      <x:c r="N57" s="14" t="str"/>
      <x:c r="O57" s="14" t="str"/>
      <x:c r="P57" s="58" t="str"/>
      <x:c r="Q57" s="14" t="str"/>
    </x:row>
    <x:row r="58">
      <x:c r="A58" s="14" t="str">
        <x:v>VATM-0057</x:v>
      </x:c>
      <x:c r="B58" s="14" t="str">
        <x:v>ANS - AIS/AIM/Tin tức HK</x:v>
      </x:c>
      <x:c r="C58" s="14" t="str">
        <x:v>AIP/NOTAM/dữ liệu hàng không</x:v>
      </x:c>
      <x:c r="D58" s="14" t="str">
        <x:v>Cung cấp dữ liệu năng lực khai thác, phương án điều tiết khi công trình/cảng tạm dừng, hạn chế hoặc thay đổi năng lực.</x:v>
      </x:c>
      <x:c r="E58" s="14" t="str">
        <x:v>Trung tâm Thông báo tin tức hàng không; Trung tâm Quản lý luồng không lưu</x:v>
      </x:c>
      <x:c r="F58" s="14" t="str">
        <x:v>P1</x:v>
      </x:c>
      <x:c r="G58" s="14" t="str">
        <x:v>Trước ngày hiệu lực thay đổi; rà soát sau 30 ngày</x:v>
      </x:c>
      <x:c r="H58" s="14" t="str">
        <x:v>Chưa bắt đầu</x:v>
      </x:c>
      <x:c r="I58" s="20" t="n">
        <x:f>IF(H58="Hoàn thành",100%,IF(H58="Không áp dụng",100%,IF(H58="Đang thực hiện",50%,IF(H58="Đang chờ phối hợp",25%,0%))))</x:f>
        <x:v>0</x:v>
      </x:c>
      <x:c r="J58" s="58" t="str"/>
      <x:c r="K58" s="14" t="str"/>
      <x:c r="L58" s="14" t="str"/>
      <x:c r="M58" s="14" t="str"/>
      <x:c r="N58" s="14" t="str"/>
      <x:c r="O58" s="14" t="str"/>
      <x:c r="P58" s="58" t="str"/>
      <x:c r="Q58" s="14" t="str"/>
    </x:row>
    <x:row r="59">
      <x:c r="A59" s="14" t="str">
        <x:v>VATM-0058</x:v>
      </x:c>
      <x:c r="B59" s="14" t="str">
        <x:v>Tuân thủ, pháp chế &amp; quản trị</x:v>
      </x:c>
      <x:c r="C59" s="14" t="str">
        <x:v>Rà soát văn bản, quy trình và GAP</x:v>
      </x:c>
      <x:c r="D59" s="14" t="str">
        <x:v>Áp dụng quản lý thay đổi đối với mọi thay đổi quy hoạch, công trình, thi công, đưa/dừng khai thác có ảnh hưởng hoạt động bay.</x:v>
      </x:c>
      <x:c r="E59" s="14" t="str">
        <x:v>Văn phòng - Pháp chế; Ban An toàn - Chất lượng</x:v>
      </x:c>
      <x:c r="F59" s="14" t="str">
        <x:v>P1</x:v>
      </x:c>
      <x:c r="G59" s="14" t="str">
        <x:v>Hoàn thành trong 60-90 ngày từ khi áp dụng NĐ</x:v>
      </x:c>
      <x:c r="H59" s="14" t="str">
        <x:v>Chưa bắt đầu</x:v>
      </x:c>
      <x:c r="I59" s="20" t="n">
        <x:f>IF(H59="Hoàn thành",100%,IF(H59="Không áp dụng",100%,IF(H59="Đang thực hiện",50%,IF(H59="Đang chờ phối hợp",25%,0%))))</x:f>
        <x:v>0</x:v>
      </x:c>
      <x:c r="J59" s="58" t="str"/>
      <x:c r="K59" s="14" t="str"/>
      <x:c r="L59" s="14" t="str"/>
      <x:c r="M59" s="14" t="str"/>
      <x:c r="N59" s="14" t="str"/>
      <x:c r="O59" s="14" t="str"/>
      <x:c r="P59" s="58" t="str"/>
      <x:c r="Q59" s="14" t="str"/>
    </x:row>
    <x:row r="60">
      <x:c r="A60" s="14" t="str">
        <x:v>VATM-0059</x:v>
      </x:c>
      <x:c r="B60" s="14" t="str">
        <x:v>Tuân thủ, pháp chế &amp; quản trị</x:v>
      </x:c>
      <x:c r="C60" s="14" t="str">
        <x:v>Rà soát văn bản, quy trình và GAP</x:v>
      </x:c>
      <x:c r="D60" s="14" t="str">
        <x:v>Phân tích mối nguy và đánh giá rủi ro đối với thi công, cần cẩu, chiếu sáng, laser, vật thể, phương tiện chuyên ngành.</x:v>
      </x:c>
      <x:c r="E60" s="14" t="str">
        <x:v>Văn phòng - Pháp chế; Ban An toàn - Chất lượng</x:v>
      </x:c>
      <x:c r="F60" s="14" t="str">
        <x:v>P1</x:v>
      </x:c>
      <x:c r="G60" s="14" t="str">
        <x:v>Hoàn thành trong 60-90 ngày từ khi áp dụng NĐ</x:v>
      </x:c>
      <x:c r="H60" s="14" t="str">
        <x:v>Chưa bắt đầu</x:v>
      </x:c>
      <x:c r="I60" s="20" t="n">
        <x:f>IF(H60="Hoàn thành",100%,IF(H60="Không áp dụng",100%,IF(H60="Đang thực hiện",50%,IF(H60="Đang chờ phối hợp",25%,0%))))</x:f>
        <x:v>0</x:v>
      </x:c>
      <x:c r="J60" s="58" t="str"/>
      <x:c r="K60" s="14" t="str"/>
      <x:c r="L60" s="14" t="str"/>
      <x:c r="M60" s="14" t="str"/>
      <x:c r="N60" s="14" t="str"/>
      <x:c r="O60" s="14" t="str"/>
      <x:c r="P60" s="58" t="str"/>
      <x:c r="Q60" s="14" t="str"/>
    </x:row>
    <x:row r="61">
      <x:c r="A61" s="14" t="str">
        <x:v>VATM-0060</x:v>
      </x:c>
      <x:c r="B61" s="14" t="str">
        <x:v>Tuân thủ, pháp chế &amp; quản trị</x:v>
      </x:c>
      <x:c r="C61" s="14" t="str">
        <x:v>Rà soát văn bản, quy trình và GAP</x:v>
      </x:c>
      <x:c r="D61" s="14" t="str">
        <x:v>Kiểm soát chất lượng dữ liệu tọa độ, cao độ, trạng thái công trình/cảng/bãi, thời điểm hiệu lực trước khi công bố.</x:v>
      </x:c>
      <x:c r="E61" s="14" t="str">
        <x:v>Văn phòng - Pháp chế; Ban An toàn - Chất lượng</x:v>
      </x:c>
      <x:c r="F61" s="14" t="str">
        <x:v>P1</x:v>
      </x:c>
      <x:c r="G61" s="14" t="str">
        <x:v>Hoàn thành trong 60-90 ngày từ khi áp dụng NĐ</x:v>
      </x:c>
      <x:c r="H61" s="14" t="str">
        <x:v>Chưa bắt đầu</x:v>
      </x:c>
      <x:c r="I61" s="20" t="n">
        <x:f>IF(H61="Hoàn thành",100%,IF(H61="Không áp dụng",100%,IF(H61="Đang thực hiện",50%,IF(H61="Đang chờ phối hợp",25%,0%))))</x:f>
        <x:v>0</x:v>
      </x:c>
      <x:c r="J61" s="58" t="str"/>
      <x:c r="K61" s="14" t="str"/>
      <x:c r="L61" s="14" t="str"/>
      <x:c r="M61" s="14" t="str"/>
      <x:c r="N61" s="14" t="str"/>
      <x:c r="O61" s="14" t="str"/>
      <x:c r="P61" s="58" t="str"/>
      <x:c r="Q61" s="14" t="str"/>
    </x:row>
    <x:row r="62">
      <x:c r="A62" s="14" t="str">
        <x:v>VATM-0061</x:v>
      </x:c>
      <x:c r="B62" s="14" t="str">
        <x:v>Tuân thủ, pháp chế &amp; quản trị</x:v>
      </x:c>
      <x:c r="C62" s="14" t="str">
        <x:v>Rà soát văn bản, quy trình và GAP</x:v>
      </x:c>
      <x:c r="D62" s="14" t="str">
        <x:v>Chuẩn hóa yêu cầu phát hành NOTAM/AIP SUP/AIC khi thay đổi khai thác, thi công, đóng/mở, chuyển cảng.</x:v>
      </x:c>
      <x:c r="E62" s="14" t="str">
        <x:v>Văn phòng - Pháp chế; Ban An toàn - Chất lượng</x:v>
      </x:c>
      <x:c r="F62" s="14" t="str">
        <x:v>P1</x:v>
      </x:c>
      <x:c r="G62" s="14" t="str">
        <x:v>Hoàn thành trong 60-90 ngày từ khi áp dụng NĐ</x:v>
      </x:c>
      <x:c r="H62" s="14" t="str">
        <x:v>Chưa bắt đầu</x:v>
      </x:c>
      <x:c r="I62" s="20" t="n">
        <x:f>IF(H62="Hoàn thành",100%,IF(H62="Không áp dụng",100%,IF(H62="Đang thực hiện",50%,IF(H62="Đang chờ phối hợp",25%,0%))))</x:f>
        <x:v>0</x:v>
      </x:c>
      <x:c r="J62" s="58" t="str"/>
      <x:c r="K62" s="14" t="str"/>
      <x:c r="L62" s="14" t="str"/>
      <x:c r="M62" s="14" t="str"/>
      <x:c r="N62" s="14" t="str"/>
      <x:c r="O62" s="14" t="str"/>
      <x:c r="P62" s="58" t="str"/>
      <x:c r="Q62" s="14" t="str"/>
    </x:row>
    <x:row r="63">
      <x:c r="A63" s="14" t="str">
        <x:v>VATM-0062</x:v>
      </x:c>
      <x:c r="B63" s="14" t="str">
        <x:v>Tuân thủ, pháp chế &amp; quản trị</x:v>
      </x:c>
      <x:c r="C63" s="14" t="str">
        <x:v>Rà soát văn bản, quy trình và GAP</x:v>
      </x:c>
      <x:c r="D63" s="14" t="str">
        <x:v>Bảo vệ công trình CNS, đánh giá ảnh hưởng công trình mới/cải tạo đến vùng phủ, nguồn điện, truyền dẫn, nhiễu.</x:v>
      </x:c>
      <x:c r="E63" s="14" t="str">
        <x:v>Văn phòng - Pháp chế; Ban An toàn - Chất lượng</x:v>
      </x:c>
      <x:c r="F63" s="14" t="str">
        <x:v>P1</x:v>
      </x:c>
      <x:c r="G63" s="14" t="str">
        <x:v>Hoàn thành trong 60-90 ngày từ khi áp dụng NĐ</x:v>
      </x:c>
      <x:c r="H63" s="14" t="str">
        <x:v>Chưa bắt đầu</x:v>
      </x:c>
      <x:c r="I63" s="20" t="n">
        <x:f>IF(H63="Hoàn thành",100%,IF(H63="Không áp dụng",100%,IF(H63="Đang thực hiện",50%,IF(H63="Đang chờ phối hợp",25%,0%))))</x:f>
        <x:v>0</x:v>
      </x:c>
      <x:c r="J63" s="58" t="str"/>
      <x:c r="K63" s="14" t="str"/>
      <x:c r="L63" s="14" t="str"/>
      <x:c r="M63" s="14" t="str"/>
      <x:c r="N63" s="14" t="str"/>
      <x:c r="O63" s="14" t="str"/>
      <x:c r="P63" s="58" t="str"/>
      <x:c r="Q63" s="14" t="str"/>
    </x:row>
    <x:row r="64">
      <x:c r="A64" s="14" t="str">
        <x:v>VATM-0063</x:v>
      </x:c>
      <x:c r="B64" s="14" t="str">
        <x:v>Tuân thủ, pháp chế &amp; quản trị</x:v>
      </x:c>
      <x:c r="C64" s="14" t="str">
        <x:v>Rà soát văn bản, quy trình và GAP</x:v>
      </x:c>
      <x:c r="D64" s="14" t="str">
        <x:v>Sửa hiệp đồng điều hành bay với cảng/quân sự/hãng khi có thay đổi sân bay lưỡng dụng, dây chuyền khai thác.</x:v>
      </x:c>
      <x:c r="E64" s="14" t="str">
        <x:v>Văn phòng - Pháp chế; Ban An toàn - Chất lượng</x:v>
      </x:c>
      <x:c r="F64" s="14" t="str">
        <x:v>P1</x:v>
      </x:c>
      <x:c r="G64" s="14" t="str">
        <x:v>Hoàn thành trong 60-90 ngày từ khi áp dụng NĐ</x:v>
      </x:c>
      <x:c r="H64" s="14" t="str">
        <x:v>Chưa bắt đầu</x:v>
      </x:c>
      <x:c r="I64" s="20" t="n">
        <x:f>IF(H64="Hoàn thành",100%,IF(H64="Không áp dụng",100%,IF(H64="Đang thực hiện",50%,IF(H64="Đang chờ phối hợp",25%,0%))))</x:f>
        <x:v>0</x:v>
      </x:c>
      <x:c r="J64" s="58" t="str"/>
      <x:c r="K64" s="14" t="str"/>
      <x:c r="L64" s="14" t="str"/>
      <x:c r="M64" s="14" t="str"/>
      <x:c r="N64" s="14" t="str"/>
      <x:c r="O64" s="14" t="str"/>
      <x:c r="P64" s="58" t="str"/>
      <x:c r="Q64" s="14" t="str"/>
    </x:row>
    <x:row r="65">
      <x:c r="A65" s="14" t="str">
        <x:v>VATM-0064</x:v>
      </x:c>
      <x:c r="B65" s="14" t="str">
        <x:v>Tuân thủ, pháp chế &amp; quản trị</x:v>
      </x:c>
      <x:c r="C65" s="14" t="str">
        <x:v>Rà soát văn bản, quy trình và GAP</x:v>
      </x:c>
      <x:c r="D65" s="14" t="str">
        <x:v>Cập nhật căn cứ pháp lý, danh mục văn bản hết hiệu lực và điều khoản chuyển tiếp.</x:v>
      </x:c>
      <x:c r="E65" s="14" t="str">
        <x:v>Văn phòng - Pháp chế; Ban An toàn - Chất lượng</x:v>
      </x:c>
      <x:c r="F65" s="14" t="str">
        <x:v>P1</x:v>
      </x:c>
      <x:c r="G65" s="14" t="str">
        <x:v>Hoàn thành trong 60-90 ngày từ khi áp dụng NĐ</x:v>
      </x:c>
      <x:c r="H65" s="14" t="str">
        <x:v>Chưa bắt đầu</x:v>
      </x:c>
      <x:c r="I65" s="20" t="n">
        <x:f>IF(H65="Hoàn thành",100%,IF(H65="Không áp dụng",100%,IF(H65="Đang thực hiện",50%,IF(H65="Đang chờ phối hợp",25%,0%))))</x:f>
        <x:v>0</x:v>
      </x:c>
      <x:c r="J65" s="58" t="str"/>
      <x:c r="K65" s="14" t="str"/>
      <x:c r="L65" s="14" t="str"/>
      <x:c r="M65" s="14" t="str"/>
      <x:c r="N65" s="14" t="str"/>
      <x:c r="O65" s="14" t="str"/>
      <x:c r="P65" s="58" t="str"/>
      <x:c r="Q65" s="14" t="str"/>
    </x:row>
    <x:row r="66">
      <x:c r="A66" s="14" t="str">
        <x:v>VATM-0065</x:v>
      </x:c>
      <x:c r="B66" s="14" t="str">
        <x:v>Tuân thủ, pháp chế &amp; quản trị</x:v>
      </x:c>
      <x:c r="C66" s="14" t="str">
        <x:v>Rà soát văn bản, quy trình và GAP</x:v>
      </x:c>
      <x:c r="D66" s="14" t="str">
        <x:v>Bổ sung điều khoản phối hợp, cung cấp dữ liệu, an toàn bay trong hợp đồng/thoả thuận với người khai thác cảng/chủ đầu tư.</x:v>
      </x:c>
      <x:c r="E66" s="14" t="str">
        <x:v>Văn phòng - Pháp chế; Ban An toàn - Chất lượng</x:v>
      </x:c>
      <x:c r="F66" s="14" t="str">
        <x:v>P1</x:v>
      </x:c>
      <x:c r="G66" s="14" t="str">
        <x:v>Hoàn thành trong 60-90 ngày từ khi áp dụng NĐ</x:v>
      </x:c>
      <x:c r="H66" s="14" t="str">
        <x:v>Chưa bắt đầu</x:v>
      </x:c>
      <x:c r="I66" s="20" t="n">
        <x:f>IF(H66="Hoàn thành",100%,IF(H66="Không áp dụng",100%,IF(H66="Đang thực hiện",50%,IF(H66="Đang chờ phối hợp",25%,0%))))</x:f>
        <x:v>0</x:v>
      </x:c>
      <x:c r="J66" s="58" t="str"/>
      <x:c r="K66" s="14" t="str"/>
      <x:c r="L66" s="14" t="str"/>
      <x:c r="M66" s="14" t="str"/>
      <x:c r="N66" s="14" t="str"/>
      <x:c r="O66" s="14" t="str"/>
      <x:c r="P66" s="58" t="str"/>
      <x:c r="Q66" s="14" t="str"/>
    </x:row>
    <x:row r="67">
      <x:c r="A67" s="14" t="str">
        <x:v>VATM-0066</x:v>
      </x:c>
      <x:c r="B67" s="14" t="str">
        <x:v>Tuân thủ, pháp chế &amp; quản trị</x:v>
      </x:c>
      <x:c r="C67" s="14" t="str">
        <x:v>Rà soát văn bản, quy trình và GAP</x:v>
      </x:c>
      <x:c r="D67" s="14" t="str">
        <x:v>Cập nhật phương án ứng phó khi cảng/công trình tạm dừng, sự cố thi công, sự cố hạ tầng, thiên tai.</x:v>
      </x:c>
      <x:c r="E67" s="14" t="str">
        <x:v>Văn phòng - Pháp chế; Ban An toàn - Chất lượng</x:v>
      </x:c>
      <x:c r="F67" s="14" t="str">
        <x:v>P1</x:v>
      </x:c>
      <x:c r="G67" s="14" t="str">
        <x:v>Hoàn thành trong 60-90 ngày từ khi áp dụng NĐ</x:v>
      </x:c>
      <x:c r="H67" s="14" t="str">
        <x:v>Chưa bắt đầu</x:v>
      </x:c>
      <x:c r="I67" s="20" t="n">
        <x:f>IF(H67="Hoàn thành",100%,IF(H67="Không áp dụng",100%,IF(H67="Đang thực hiện",50%,IF(H67="Đang chờ phối hợp",25%,0%))))</x:f>
        <x:v>0</x:v>
      </x:c>
      <x:c r="J67" s="58" t="str"/>
      <x:c r="K67" s="14" t="str"/>
      <x:c r="L67" s="14" t="str"/>
      <x:c r="M67" s="14" t="str"/>
      <x:c r="N67" s="14" t="str"/>
      <x:c r="O67" s="14" t="str"/>
      <x:c r="P67" s="58" t="str"/>
      <x:c r="Q67" s="14" t="str"/>
    </x:row>
    <x:row r="68">
      <x:c r="A68" s="14" t="str">
        <x:v>VATM-0067</x:v>
      </x:c>
      <x:c r="B68" s="14" t="str">
        <x:v>Tuân thủ, pháp chế &amp; quản trị</x:v>
      </x:c>
      <x:c r="C68" s="14" t="str">
        <x:v>Rà soát văn bản, quy trình và GAP</x:v>
      </x:c>
      <x:c r="D68" s="14" t="str">
        <x:v>Đào tạo/phổ biến NĐ205 cho các Ban, Công ty QLB khu vực, cơ sở ANS liên quan.</x:v>
      </x:c>
      <x:c r="E68" s="14" t="str">
        <x:v>Văn phòng - Pháp chế; Ban An toàn - Chất lượng</x:v>
      </x:c>
      <x:c r="F68" s="14" t="str">
        <x:v>P2</x:v>
      </x:c>
      <x:c r="G68" s="14" t="str">
        <x:v>Hoàn thành trong 60-90 ngày từ khi áp dụng NĐ</x:v>
      </x:c>
      <x:c r="H68" s="14" t="str">
        <x:v>Chưa bắt đầu</x:v>
      </x:c>
      <x:c r="I68" s="20" t="n">
        <x:f>IF(H68="Hoàn thành",100%,IF(H68="Không áp dụng",100%,IF(H68="Đang thực hiện",50%,IF(H68="Đang chờ phối hợp",25%,0%))))</x:f>
        <x:v>0</x:v>
      </x:c>
      <x:c r="J68" s="58" t="str"/>
      <x:c r="K68" s="14" t="str"/>
      <x:c r="L68" s="14" t="str"/>
      <x:c r="M68" s="14" t="str"/>
      <x:c r="N68" s="14" t="str"/>
      <x:c r="O68" s="14" t="str"/>
      <x:c r="P68" s="58" t="str"/>
      <x:c r="Q68" s="14" t="str"/>
    </x:row>
    <x:row r="69">
      <x:c r="A69" s="14" t="str">
        <x:v>VATM-0068</x:v>
      </x:c>
      <x:c r="B69" s="14" t="str">
        <x:v>Tài chính - Kế hoạch đầu tư</x:v>
      </x:c>
      <x:c r="C69" s="14" t="str">
        <x:v>Phí, thanh toán, hợp đồng và billing</x:v>
      </x:c>
      <x:c r="D69" s="14" t="str">
        <x:v>Theo dõi điều khoản này để xác định điểm chạm khi cơ quan lập/thẩm định quy hoạch yêu cầu ý kiến hoặc dữ liệu kỹ thuật từ VATM; không phát sinh thẩm quyền phê duyệt cho VATM.</x:v>
      </x:c>
      <x:c r="E69" s="14" t="str">
        <x:v>Ban Tài chính; Ban Kế hoạch - Đầu tư; Ban Không lưu; Ban Kỹ thuật - CNS/IT/Môi trường; Trung tâm Thông báo tin tức hàng không</x:v>
      </x:c>
      <x:c r="F69" s="14" t="str">
        <x:v>P1</x:v>
      </x:c>
      <x:c r="G69" s="14" t="str">
        <x:v>Theo từng lần lấy ý kiến</x:v>
      </x:c>
      <x:c r="H69" s="14" t="str">
        <x:v>Chưa bắt đầu</x:v>
      </x:c>
      <x:c r="I69" s="20" t="n">
        <x:f>IF(H69="Hoàn thành",100%,IF(H69="Không áp dụng",100%,IF(H69="Đang thực hiện",50%,IF(H69="Đang chờ phối hợp",25%,0%))))</x:f>
        <x:v>0</x:v>
      </x:c>
      <x:c r="J69" s="58" t="str"/>
      <x:c r="K69" s="14" t="str"/>
      <x:c r="L69" s="14" t="str"/>
      <x:c r="M69" s="14" t="str"/>
      <x:c r="N69" s="14" t="str"/>
      <x:c r="O69" s="14" t="str"/>
      <x:c r="P69" s="58" t="str"/>
      <x:c r="Q69" s="14" t="str"/>
    </x:row>
    <x:row r="70">
      <x:c r="A70" s="14" t="str">
        <x:v>VATM-0069</x:v>
      </x:c>
      <x:c r="B70" s="14" t="str">
        <x:v>Tài chính - Kế hoạch đầu tư</x:v>
      </x:c>
      <x:c r="C70" s="14" t="str">
        <x:v>Phí, thanh toán, hợp đồng và billing</x:v>
      </x:c>
      <x:c r="D70" s="14" t="str">
        <x:v>Theo dõi điều khoản này để xác định điểm chạm khi cơ quan lập/thẩm định quy hoạch yêu cầu ý kiến hoặc dữ liệu kỹ thuật từ VATM; không phát sinh thẩm quyền phê duyệt cho VATM.</x:v>
      </x:c>
      <x:c r="E70" s="14" t="str">
        <x:v>Ban Tài chính; Ban Kế hoạch - Đầu tư; Ban Không lưu; Ban Kỹ thuật - CNS/IT/Môi trường; Trung tâm Thông báo tin tức hàng không</x:v>
      </x:c>
      <x:c r="F70" s="14" t="str">
        <x:v>P1</x:v>
      </x:c>
      <x:c r="G70" s="14" t="str">
        <x:v>Theo từng lần lấy ý kiến</x:v>
      </x:c>
      <x:c r="H70" s="14" t="str">
        <x:v>Chưa bắt đầu</x:v>
      </x:c>
      <x:c r="I70" s="20" t="n">
        <x:f>IF(H70="Hoàn thành",100%,IF(H70="Không áp dụng",100%,IF(H70="Đang thực hiện",50%,IF(H70="Đang chờ phối hợp",25%,0%))))</x:f>
        <x:v>0</x:v>
      </x:c>
      <x:c r="J70" s="58" t="str"/>
      <x:c r="K70" s="14" t="str"/>
      <x:c r="L70" s="14" t="str"/>
      <x:c r="M70" s="14" t="str"/>
      <x:c r="N70" s="14" t="str"/>
      <x:c r="O70" s="14" t="str"/>
      <x:c r="P70" s="58" t="str"/>
      <x:c r="Q70" s="14" t="str"/>
    </x:row>
    <x:row r="71">
      <x:c r="A71" s="14" t="str">
        <x:v>VATM-0070</x:v>
      </x:c>
      <x:c r="B71" s="14" t="str">
        <x:v>Tài chính - Kế hoạch đầu tư</x:v>
      </x:c>
      <x:c r="C71" s="14" t="str">
        <x:v>Phí, thanh toán, hợp đồng và billing</x:v>
      </x:c>
      <x:c r="D71" s="14" t="str">
        <x:v>Theo dõi điều khoản này để xác định điểm chạm khi cơ quan lập/thẩm định quy hoạch yêu cầu ý kiến hoặc dữ liệu kỹ thuật từ VATM; không phát sinh thẩm quyền phê duyệt cho VATM.</x:v>
      </x:c>
      <x:c r="E71" s="14" t="str">
        <x:v>Ban Tài chính; Ban Kế hoạch - Đầu tư; Ban Không lưu; Ban Kỹ thuật - CNS/IT/Môi trường; Trung tâm Thông báo tin tức hàng không</x:v>
      </x:c>
      <x:c r="F71" s="14" t="str">
        <x:v>P1</x:v>
      </x:c>
      <x:c r="G71" s="14" t="str">
        <x:v>Theo từng lần lấy ý kiến</x:v>
      </x:c>
      <x:c r="H71" s="14" t="str">
        <x:v>Chưa bắt đầu</x:v>
      </x:c>
      <x:c r="I71" s="20" t="n">
        <x:f>IF(H71="Hoàn thành",100%,IF(H71="Không áp dụng",100%,IF(H71="Đang thực hiện",50%,IF(H71="Đang chờ phối hợp",25%,0%))))</x:f>
        <x:v>0</x:v>
      </x:c>
      <x:c r="J71" s="58" t="str"/>
      <x:c r="K71" s="14" t="str"/>
      <x:c r="L71" s="14" t="str"/>
      <x:c r="M71" s="14" t="str"/>
      <x:c r="N71" s="14" t="str"/>
      <x:c r="O71" s="14" t="str"/>
      <x:c r="P71" s="58" t="str"/>
      <x:c r="Q71" s="14" t="str"/>
    </x:row>
    <x:row r="72">
      <x:c r="A72" s="14" t="str">
        <x:v>VATM-0071</x:v>
      </x:c>
      <x:c r="B72" s="14" t="str">
        <x:v>Tài chính - Kế hoạch đầu tư</x:v>
      </x:c>
      <x:c r="C72" s="14" t="str">
        <x:v>Phí, thanh toán, hợp đồng và billing</x:v>
      </x:c>
      <x:c r="D72" s="14" t="str">
        <x:v>Theo dõi điều khoản này để xác định điểm chạm khi cơ quan lập/thẩm định quy hoạch yêu cầu ý kiến hoặc dữ liệu kỹ thuật từ VATM; không phát sinh thẩm quyền phê duyệt cho VATM.</x:v>
      </x:c>
      <x:c r="E72" s="14" t="str">
        <x:v>Ban Tài chính; Ban Kế hoạch - Đầu tư; Ban Không lưu; Ban Kỹ thuật - CNS/IT/Môi trường; Trung tâm Thông báo tin tức hàng không</x:v>
      </x:c>
      <x:c r="F72" s="14" t="str">
        <x:v>P1</x:v>
      </x:c>
      <x:c r="G72" s="14" t="str">
        <x:v>Theo từng lần lấy ý kiến</x:v>
      </x:c>
      <x:c r="H72" s="14" t="str">
        <x:v>Chưa bắt đầu</x:v>
      </x:c>
      <x:c r="I72" s="20" t="n">
        <x:f>IF(H72="Hoàn thành",100%,IF(H72="Không áp dụng",100%,IF(H72="Đang thực hiện",50%,IF(H72="Đang chờ phối hợp",25%,0%))))</x:f>
        <x:v>0</x:v>
      </x:c>
      <x:c r="J72" s="58" t="str"/>
      <x:c r="K72" s="14" t="str"/>
      <x:c r="L72" s="14" t="str"/>
      <x:c r="M72" s="14" t="str"/>
      <x:c r="N72" s="14" t="str"/>
      <x:c r="O72" s="14" t="str"/>
      <x:c r="P72" s="58" t="str"/>
      <x:c r="Q72" s="14" t="str"/>
    </x:row>
    <x:row r="73">
      <x:c r="A73" s="14" t="str">
        <x:v>VATM-0072</x:v>
      </x:c>
      <x:c r="B73" s="14" t="str">
        <x:v>Tài chính - Kế hoạch đầu tư</x:v>
      </x:c>
      <x:c r="C73" s="14" t="str">
        <x:v>Phí, thanh toán, hợp đồng và billing</x:v>
      </x:c>
      <x:c r="D73" s="14" t="str">
        <x:v>Theo dõi điều khoản này để xác định điểm chạm khi cơ quan lập/thẩm định quy hoạch yêu cầu ý kiến hoặc dữ liệu kỹ thuật từ VATM; không phát sinh thẩm quyền phê duyệt cho VATM.</x:v>
      </x:c>
      <x:c r="E73" s="14" t="str">
        <x:v>Ban Tài chính; Ban Kế hoạch - Đầu tư; Ban Không lưu; Ban Kỹ thuật - CNS/IT/Môi trường; Trung tâm Thông báo tin tức hàng không</x:v>
      </x:c>
      <x:c r="F73" s="14" t="str">
        <x:v>P1</x:v>
      </x:c>
      <x:c r="G73" s="14" t="str">
        <x:v>Theo từng lần lấy ý kiến</x:v>
      </x:c>
      <x:c r="H73" s="14" t="str">
        <x:v>Chưa bắt đầu</x:v>
      </x:c>
      <x:c r="I73" s="20" t="n">
        <x:f>IF(H73="Hoàn thành",100%,IF(H73="Không áp dụng",100%,IF(H73="Đang thực hiện",50%,IF(H73="Đang chờ phối hợp",25%,0%))))</x:f>
        <x:v>0</x:v>
      </x:c>
      <x:c r="J73" s="58" t="str"/>
      <x:c r="K73" s="14" t="str"/>
      <x:c r="L73" s="14" t="str"/>
      <x:c r="M73" s="14" t="str"/>
      <x:c r="N73" s="14" t="str"/>
      <x:c r="O73" s="14" t="str"/>
      <x:c r="P73" s="58" t="str"/>
      <x:c r="Q73" s="14" t="str"/>
    </x:row>
    <x:row r="74">
      <x:c r="A74" s="14" t="str">
        <x:v>VATM-0073</x:v>
      </x:c>
      <x:c r="B74" s="14" t="str">
        <x:v>Tài chính - Kế hoạch đầu tư</x:v>
      </x:c>
      <x:c r="C74" s="14" t="str">
        <x:v>Phí, thanh toán, hợp đồng và billing</x:v>
      </x:c>
      <x:c r="D74" s="14" t="str">
        <x:v>Theo dõi điều khoản này để xác định điểm chạm khi cơ quan lập/thẩm định quy hoạch yêu cầu ý kiến hoặc dữ liệu kỹ thuật từ VATM; không phát sinh thẩm quyền phê duyệt cho VATM.</x:v>
      </x:c>
      <x:c r="E74" s="14" t="str">
        <x:v>Ban Tài chính; Ban Kế hoạch - Đầu tư; Ban Không lưu; Ban Kỹ thuật - CNS/IT/Môi trường; Trung tâm Thông báo tin tức hàng không</x:v>
      </x:c>
      <x:c r="F74" s="14" t="str">
        <x:v>P1</x:v>
      </x:c>
      <x:c r="G74" s="14" t="str">
        <x:v>Theo từng lần lấy ý kiến</x:v>
      </x:c>
      <x:c r="H74" s="14" t="str">
        <x:v>Chưa bắt đầu</x:v>
      </x:c>
      <x:c r="I74" s="20" t="n">
        <x:f>IF(H74="Hoàn thành",100%,IF(H74="Không áp dụng",100%,IF(H74="Đang thực hiện",50%,IF(H74="Đang chờ phối hợp",25%,0%))))</x:f>
        <x:v>0</x:v>
      </x:c>
      <x:c r="J74" s="58" t="str"/>
      <x:c r="K74" s="14" t="str"/>
      <x:c r="L74" s="14" t="str"/>
      <x:c r="M74" s="14" t="str"/>
      <x:c r="N74" s="14" t="str"/>
      <x:c r="O74" s="14" t="str"/>
      <x:c r="P74" s="58" t="str"/>
      <x:c r="Q74" s="14" t="str"/>
    </x:row>
    <x:row r="75">
      <x:c r="A75" s="14" t="str">
        <x:v>VATM-0074</x:v>
      </x:c>
      <x:c r="B75" s="14" t="str">
        <x:v>Tài chính - Kế hoạch đầu tư</x:v>
      </x:c>
      <x:c r="C75" s="14" t="str">
        <x:v>Phí, thanh toán, hợp đồng và billing</x:v>
      </x:c>
      <x:c r="D75" s="14" t="str">
        <x:v>Theo dõi điều khoản này để xác định điểm chạm khi cơ quan lập/thẩm định quy hoạch yêu cầu ý kiến hoặc dữ liệu kỹ thuật từ VATM; không phát sinh thẩm quyền phê duyệt cho VATM.</x:v>
      </x:c>
      <x:c r="E75" s="14" t="str">
        <x:v>Ban Tài chính; Ban Kế hoạch - Đầu tư; Ban Không lưu; Ban Kỹ thuật - CNS/IT/Môi trường; Trung tâm Thông báo tin tức hàng không</x:v>
      </x:c>
      <x:c r="F75" s="14" t="str">
        <x:v>P1</x:v>
      </x:c>
      <x:c r="G75" s="14" t="str">
        <x:v>Theo từng lần lấy ý kiến</x:v>
      </x:c>
      <x:c r="H75" s="14" t="str">
        <x:v>Chưa bắt đầu</x:v>
      </x:c>
      <x:c r="I75" s="20" t="n">
        <x:f>IF(H75="Hoàn thành",100%,IF(H75="Không áp dụng",100%,IF(H75="Đang thực hiện",50%,IF(H75="Đang chờ phối hợp",25%,0%))))</x:f>
        <x:v>0</x:v>
      </x:c>
      <x:c r="J75" s="58" t="str"/>
      <x:c r="K75" s="14" t="str"/>
      <x:c r="L75" s="14" t="str"/>
      <x:c r="M75" s="14" t="str"/>
      <x:c r="N75" s="14" t="str"/>
      <x:c r="O75" s="14" t="str"/>
      <x:c r="P75" s="58" t="str"/>
      <x:c r="Q75" s="14" t="str"/>
    </x:row>
    <x:row r="76">
      <x:c r="A76" s="14" t="str">
        <x:v>VATM-0075</x:v>
      </x:c>
      <x:c r="B76" s="14" t="str">
        <x:v>Tài chính - Kế hoạch đầu tư</x:v>
      </x:c>
      <x:c r="C76" s="14" t="str">
        <x:v>Phí, thanh toán, hợp đồng và billing</x:v>
      </x:c>
      <x:c r="D76" s="14" t="str">
        <x:v>Theo dõi điều khoản này để xác định điểm chạm khi cơ quan lập/thẩm định quy hoạch yêu cầu ý kiến hoặc dữ liệu kỹ thuật từ VATM; không phát sinh thẩm quyền phê duyệt cho VATM.</x:v>
      </x:c>
      <x:c r="E76" s="14" t="str">
        <x:v>Ban Tài chính; Ban Kế hoạch - Đầu tư; Ban Không lưu; Ban Kỹ thuật - CNS/IT/Môi trường; Trung tâm Thông báo tin tức hàng không</x:v>
      </x:c>
      <x:c r="F76" s="14" t="str">
        <x:v>P1</x:v>
      </x:c>
      <x:c r="G76" s="14" t="str">
        <x:v>Theo từng lần lấy ý kiến</x:v>
      </x:c>
      <x:c r="H76" s="14" t="str">
        <x:v>Chưa bắt đầu</x:v>
      </x:c>
      <x:c r="I76" s="20" t="n">
        <x:f>IF(H76="Hoàn thành",100%,IF(H76="Không áp dụng",100%,IF(H76="Đang thực hiện",50%,IF(H76="Đang chờ phối hợp",25%,0%))))</x:f>
        <x:v>0</x:v>
      </x:c>
      <x:c r="J76" s="58" t="str"/>
      <x:c r="K76" s="14" t="str"/>
      <x:c r="L76" s="14" t="str"/>
      <x:c r="M76" s="14" t="str"/>
      <x:c r="N76" s="14" t="str"/>
      <x:c r="O76" s="14" t="str"/>
      <x:c r="P76" s="58" t="str"/>
      <x:c r="Q76" s="14" t="str"/>
    </x:row>
    <x:row r="77">
      <x:c r="A77" s="14" t="str">
        <x:v>VATM-0076</x:v>
      </x:c>
      <x:c r="B77" s="14" t="str">
        <x:v>Tài chính - Kế hoạch đầu tư</x:v>
      </x:c>
      <x:c r="C77" s="14" t="str">
        <x:v>Phí, thanh toán, hợp đồng và billing</x:v>
      </x:c>
      <x:c r="D77" s="14" t="str">
        <x:v>Theo dõi điều khoản này để xác định điểm chạm khi cơ quan lập/thẩm định quy hoạch yêu cầu ý kiến hoặc dữ liệu kỹ thuật từ VATM; không phát sinh thẩm quyền phê duyệt cho VATM.</x:v>
      </x:c>
      <x:c r="E77" s="14" t="str">
        <x:v>Ban Tài chính; Ban Kế hoạch - Đầu tư; Ban Không lưu; Ban Kỹ thuật - CNS/IT/Môi trường; Trung tâm Thông báo tin tức hàng không</x:v>
      </x:c>
      <x:c r="F77" s="14" t="str">
        <x:v>P1</x:v>
      </x:c>
      <x:c r="G77" s="14" t="str">
        <x:v>Theo từng lần lấy ý kiến</x:v>
      </x:c>
      <x:c r="H77" s="14" t="str">
        <x:v>Chưa bắt đầu</x:v>
      </x:c>
      <x:c r="I77" s="20" t="n">
        <x:f>IF(H77="Hoàn thành",100%,IF(H77="Không áp dụng",100%,IF(H77="Đang thực hiện",50%,IF(H77="Đang chờ phối hợp",25%,0%))))</x:f>
        <x:v>0</x:v>
      </x:c>
      <x:c r="J77" s="58" t="str"/>
      <x:c r="K77" s="14" t="str"/>
      <x:c r="L77" s="14" t="str"/>
      <x:c r="M77" s="14" t="str"/>
      <x:c r="N77" s="14" t="str"/>
      <x:c r="O77" s="14" t="str"/>
      <x:c r="P77" s="58" t="str"/>
      <x:c r="Q77" s="14" t="str"/>
    </x:row>
    <x:row r="78">
      <x:c r="A78" s="14" t="str">
        <x:v>VATM-0077</x:v>
      </x:c>
      <x:c r="B78" s="14" t="str">
        <x:v>Tài chính - Kế hoạch đầu tư</x:v>
      </x:c>
      <x:c r="C78" s="14" t="str">
        <x:v>Phí, thanh toán, hợp đồng và billing</x:v>
      </x:c>
      <x:c r="D78" s="14" t="str">
        <x:v>Theo dõi điều khoản này để xác định điểm chạm khi cơ quan lập/thẩm định quy hoạch yêu cầu ý kiến hoặc dữ liệu kỹ thuật từ VATM; không phát sinh thẩm quyền phê duyệt cho VATM.</x:v>
      </x:c>
      <x:c r="E78" s="14" t="str">
        <x:v>Ban Tài chính; Ban Kế hoạch - Đầu tư; Ban Không lưu; Ban Kỹ thuật - CNS/IT/Môi trường; Trung tâm Thông báo tin tức hàng không</x:v>
      </x:c>
      <x:c r="F78" s="14" t="str">
        <x:v>P1</x:v>
      </x:c>
      <x:c r="G78" s="14" t="str">
        <x:v>Theo từng lần lấy ý kiến</x:v>
      </x:c>
      <x:c r="H78" s="14" t="str">
        <x:v>Chưa bắt đầu</x:v>
      </x:c>
      <x:c r="I78" s="20" t="n">
        <x:f>IF(H78="Hoàn thành",100%,IF(H78="Không áp dụng",100%,IF(H78="Đang thực hiện",50%,IF(H78="Đang chờ phối hợp",25%,0%))))</x:f>
        <x:v>0</x:v>
      </x:c>
      <x:c r="J78" s="58" t="str"/>
      <x:c r="K78" s="14" t="str"/>
      <x:c r="L78" s="14" t="str"/>
      <x:c r="M78" s="14" t="str"/>
      <x:c r="N78" s="14" t="str"/>
      <x:c r="O78" s="14" t="str"/>
      <x:c r="P78" s="58" t="str"/>
      <x:c r="Q78" s="14" t="str"/>
    </x:row>
    <x:row r="79">
      <x:c r="A79" s="14" t="str">
        <x:v>VATM-0078</x:v>
      </x:c>
      <x:c r="B79" s="14" t="str">
        <x:v>Tài chính - Kế hoạch đầu tư</x:v>
      </x:c>
      <x:c r="C79" s="14" t="str">
        <x:v>Phí, thanh toán, hợp đồng và billing</x:v>
      </x:c>
      <x:c r="D79" s="14" t="str">
        <x:v>Theo dõi điều khoản này để xác định điểm chạm khi cơ quan lập/thẩm định quy hoạch yêu cầu ý kiến hoặc dữ liệu kỹ thuật từ VATM; không phát sinh thẩm quyền phê duyệt cho VATM.</x:v>
      </x:c>
      <x:c r="E79" s="14" t="str">
        <x:v>Ban Tài chính; Ban Kế hoạch - Đầu tư; Ban Không lưu; Ban Kỹ thuật - CNS/IT/Môi trường; Trung tâm Thông báo tin tức hàng không</x:v>
      </x:c>
      <x:c r="F79" s="14" t="str">
        <x:v>P1</x:v>
      </x:c>
      <x:c r="G79" s="14" t="str">
        <x:v>Theo từng lần lấy ý kiến</x:v>
      </x:c>
      <x:c r="H79" s="14" t="str">
        <x:v>Chưa bắt đầu</x:v>
      </x:c>
      <x:c r="I79" s="20" t="n">
        <x:f>IF(H79="Hoàn thành",100%,IF(H79="Không áp dụng",100%,IF(H79="Đang thực hiện",50%,IF(H79="Đang chờ phối hợp",25%,0%))))</x:f>
        <x:v>0</x:v>
      </x:c>
      <x:c r="J79" s="58" t="str"/>
      <x:c r="K79" s="14" t="str"/>
      <x:c r="L79" s="14" t="str"/>
      <x:c r="M79" s="14" t="str"/>
      <x:c r="N79" s="14" t="str"/>
      <x:c r="O79" s="14" t="str"/>
      <x:c r="P79" s="58" t="str"/>
      <x:c r="Q79" s="14" t="str"/>
    </x:row>
    <x:row r="80">
      <x:c r="A80" s="14" t="str">
        <x:v>VATM-0079</x:v>
      </x:c>
      <x:c r="B80" s="14" t="str">
        <x:v>Tài chính - Kế hoạch đầu tư</x:v>
      </x:c>
      <x:c r="C80" s="14" t="str">
        <x:v>Phí, thanh toán, hợp đồng và billing</x:v>
      </x:c>
      <x:c r="D80" s="14" t="str">
        <x:v>Theo dõi điều khoản này để xác định điểm chạm khi cơ quan lập/thẩm định quy hoạch yêu cầu ý kiến hoặc dữ liệu kỹ thuật từ VATM; không phát sinh thẩm quyền phê duyệt cho VATM.</x:v>
      </x:c>
      <x:c r="E80" s="14" t="str">
        <x:v>Ban Tài chính; Ban Kế hoạch - Đầu tư; Ban Không lưu; Ban Kỹ thuật - CNS/IT/Môi trường; Trung tâm Thông báo tin tức hàng không</x:v>
      </x:c>
      <x:c r="F80" s="14" t="str">
        <x:v>P1</x:v>
      </x:c>
      <x:c r="G80" s="14" t="str">
        <x:v>Theo từng lần lấy ý kiến</x:v>
      </x:c>
      <x:c r="H80" s="14" t="str">
        <x:v>Chưa bắt đầu</x:v>
      </x:c>
      <x:c r="I80" s="20" t="n">
        <x:f>IF(H80="Hoàn thành",100%,IF(H80="Không áp dụng",100%,IF(H80="Đang thực hiện",50%,IF(H80="Đang chờ phối hợp",25%,0%))))</x:f>
        <x:v>0</x:v>
      </x:c>
      <x:c r="J80" s="58" t="str"/>
      <x:c r="K80" s="14" t="str"/>
      <x:c r="L80" s="14" t="str"/>
      <x:c r="M80" s="14" t="str"/>
      <x:c r="N80" s="14" t="str"/>
      <x:c r="O80" s="14" t="str"/>
      <x:c r="P80" s="58" t="str"/>
      <x:c r="Q80" s="14" t="str"/>
    </x:row>
    <x:row r="81">
      <x:c r="A81" s="14" t="str">
        <x:v>VATM-0080</x:v>
      </x:c>
      <x:c r="B81" s="14" t="str">
        <x:v>Tài chính - Kế hoạch đầu tư</x:v>
      </x:c>
      <x:c r="C81" s="14" t="str">
        <x:v>Phí, thanh toán, hợp đồng và billing</x:v>
      </x:c>
      <x:c r="D81" s="14" t="str">
        <x:v>Theo dõi điều khoản này để xác định điểm chạm khi cơ quan lập/thẩm định quy hoạch yêu cầu ý kiến hoặc dữ liệu kỹ thuật từ VATM; không phát sinh thẩm quyền phê duyệt cho VATM.</x:v>
      </x:c>
      <x:c r="E81" s="14" t="str">
        <x:v>Ban Tài chính; Ban Kế hoạch - Đầu tư; Ban Không lưu; Ban Kỹ thuật - CNS/IT/Môi trường; Trung tâm Thông báo tin tức hàng không</x:v>
      </x:c>
      <x:c r="F81" s="14" t="str">
        <x:v>P1</x:v>
      </x:c>
      <x:c r="G81" s="14" t="str">
        <x:v>Theo từng lần lấy ý kiến</x:v>
      </x:c>
      <x:c r="H81" s="14" t="str">
        <x:v>Chưa bắt đầu</x:v>
      </x:c>
      <x:c r="I81" s="20" t="n">
        <x:f>IF(H81="Hoàn thành",100%,IF(H81="Không áp dụng",100%,IF(H81="Đang thực hiện",50%,IF(H81="Đang chờ phối hợp",25%,0%))))</x:f>
        <x:v>0</x:v>
      </x:c>
      <x:c r="J81" s="58" t="str"/>
      <x:c r="K81" s="14" t="str"/>
      <x:c r="L81" s="14" t="str"/>
      <x:c r="M81" s="14" t="str"/>
      <x:c r="N81" s="14" t="str"/>
      <x:c r="O81" s="14" t="str"/>
      <x:c r="P81" s="58" t="str"/>
      <x:c r="Q81" s="14" t="str"/>
    </x:row>
    <x:row r="82">
      <x:c r="A82" s="14" t="str">
        <x:v>VATM-0081</x:v>
      </x:c>
      <x:c r="B82" s="14" t="str">
        <x:v>Tài chính - Kế hoạch đầu tư</x:v>
      </x:c>
      <x:c r="C82" s="14" t="str">
        <x:v>Phí, thanh toán, hợp đồng và billing</x:v>
      </x:c>
      <x:c r="D82" s="14" t="str">
        <x:v>Theo dõi điều khoản này để xác định điểm chạm khi cơ quan lập/thẩm định quy hoạch yêu cầu ý kiến hoặc dữ liệu kỹ thuật từ VATM; không phát sinh thẩm quyền phê duyệt cho VATM.</x:v>
      </x:c>
      <x:c r="E82" s="14" t="str">
        <x:v>Ban Tài chính; Ban Kế hoạch - Đầu tư; Ban Không lưu; Ban Kỹ thuật - CNS/IT/Môi trường; Trung tâm Thông báo tin tức hàng không</x:v>
      </x:c>
      <x:c r="F82" s="14" t="str">
        <x:v>P1</x:v>
      </x:c>
      <x:c r="G82" s="14" t="str">
        <x:v>Theo từng lần lấy ý kiến</x:v>
      </x:c>
      <x:c r="H82" s="14" t="str">
        <x:v>Chưa bắt đầu</x:v>
      </x:c>
      <x:c r="I82" s="20" t="n">
        <x:f>IF(H82="Hoàn thành",100%,IF(H82="Không áp dụng",100%,IF(H82="Đang thực hiện",50%,IF(H82="Đang chờ phối hợp",25%,0%))))</x:f>
        <x:v>0</x:v>
      </x:c>
      <x:c r="J82" s="58" t="str"/>
      <x:c r="K82" s="14" t="str"/>
      <x:c r="L82" s="14" t="str"/>
      <x:c r="M82" s="14" t="str"/>
      <x:c r="N82" s="14" t="str"/>
      <x:c r="O82" s="14" t="str"/>
      <x:c r="P82" s="58" t="str"/>
      <x:c r="Q82" s="14" t="str"/>
    </x:row>
    <x:row r="83">
      <x:c r="A83" s="14" t="str">
        <x:v>VATM-0082</x:v>
      </x:c>
      <x:c r="B83" s="14" t="str">
        <x:v>Tài chính - Kế hoạch đầu tư</x:v>
      </x:c>
      <x:c r="C83" s="14" t="str">
        <x:v>Phí, thanh toán, hợp đồng và billing</x:v>
      </x:c>
      <x:c r="D83" s="14" t="str">
        <x:v>Theo dõi điều khoản này để xác định điểm chạm khi cơ quan lập/thẩm định quy hoạch yêu cầu ý kiến hoặc dữ liệu kỹ thuật từ VATM; không phát sinh thẩm quyền phê duyệt cho VATM.</x:v>
      </x:c>
      <x:c r="E83" s="14" t="str">
        <x:v>Ban Tài chính; Ban Kế hoạch - Đầu tư; Ban Không lưu; Ban Kỹ thuật - CNS/IT/Môi trường; Trung tâm Thông báo tin tức hàng không</x:v>
      </x:c>
      <x:c r="F83" s="14" t="str">
        <x:v>P1</x:v>
      </x:c>
      <x:c r="G83" s="14" t="str">
        <x:v>Theo từng lần lấy ý kiến</x:v>
      </x:c>
      <x:c r="H83" s="14" t="str">
        <x:v>Chưa bắt đầu</x:v>
      </x:c>
      <x:c r="I83" s="20" t="n">
        <x:f>IF(H83="Hoàn thành",100%,IF(H83="Không áp dụng",100%,IF(H83="Đang thực hiện",50%,IF(H83="Đang chờ phối hợp",25%,0%))))</x:f>
        <x:v>0</x:v>
      </x:c>
      <x:c r="J83" s="58" t="str"/>
      <x:c r="K83" s="14" t="str"/>
      <x:c r="L83" s="14" t="str"/>
      <x:c r="M83" s="14" t="str"/>
      <x:c r="N83" s="14" t="str"/>
      <x:c r="O83" s="14" t="str"/>
      <x:c r="P83" s="58" t="str"/>
      <x:c r="Q83" s="14" t="str"/>
    </x:row>
    <x:row r="84">
      <x:c r="A84" s="14" t="str">
        <x:v>VATM-0083</x:v>
      </x:c>
      <x:c r="B84" s="14" t="str">
        <x:v>Tài chính - Kế hoạch đầu tư</x:v>
      </x:c>
      <x:c r="C84" s="14" t="str">
        <x:v>Phí, thanh toán, hợp đồng và billing</x:v>
      </x:c>
      <x:c r="D84" s="14" t="str">
        <x:v>Theo dõi điều khoản này để xác định điểm chạm khi cơ quan lập/thẩm định quy hoạch yêu cầu ý kiến hoặc dữ liệu kỹ thuật từ VATM; không phát sinh thẩm quyền phê duyệt cho VATM.</x:v>
      </x:c>
      <x:c r="E84" s="14" t="str">
        <x:v>Ban Tài chính; Ban Kế hoạch - Đầu tư; Ban Không lưu; Ban Kỹ thuật - CNS/IT/Môi trường; Trung tâm Thông báo tin tức hàng không</x:v>
      </x:c>
      <x:c r="F84" s="14" t="str">
        <x:v>P1</x:v>
      </x:c>
      <x:c r="G84" s="14" t="str">
        <x:v>Theo từng lần lấy ý kiến</x:v>
      </x:c>
      <x:c r="H84" s="14" t="str">
        <x:v>Chưa bắt đầu</x:v>
      </x:c>
      <x:c r="I84" s="20" t="n">
        <x:f>IF(H84="Hoàn thành",100%,IF(H84="Không áp dụng",100%,IF(H84="Đang thực hiện",50%,IF(H84="Đang chờ phối hợp",25%,0%))))</x:f>
        <x:v>0</x:v>
      </x:c>
      <x:c r="J84" s="58" t="str"/>
      <x:c r="K84" s="14" t="str"/>
      <x:c r="L84" s="14" t="str"/>
      <x:c r="M84" s="14" t="str"/>
      <x:c r="N84" s="14" t="str"/>
      <x:c r="O84" s="14" t="str"/>
      <x:c r="P84" s="58" t="str"/>
      <x:c r="Q84" s="14" t="str"/>
    </x:row>
    <x:row r="85">
      <x:c r="A85" s="14" t="str">
        <x:v>VATM-0084</x:v>
      </x:c>
      <x:c r="B85" s="14" t="str">
        <x:v>Tài chính - Kế hoạch đầu tư</x:v>
      </x:c>
      <x:c r="C85" s="14" t="str">
        <x:v>Phí, thanh toán, hợp đồng và billing</x:v>
      </x:c>
      <x:c r="D85" s="14" t="str">
        <x:v>Theo dõi điều khoản này để xác định điểm chạm khi cơ quan lập/thẩm định quy hoạch yêu cầu ý kiến hoặc dữ liệu kỹ thuật từ VATM; không phát sinh thẩm quyền phê duyệt cho VATM.</x:v>
      </x:c>
      <x:c r="E85" s="14" t="str">
        <x:v>Ban Tài chính; Ban Kế hoạch - Đầu tư; Ban Không lưu; Ban Kỹ thuật - CNS/IT/Môi trường; Trung tâm Thông báo tin tức hàng không</x:v>
      </x:c>
      <x:c r="F85" s="14" t="str">
        <x:v>P1</x:v>
      </x:c>
      <x:c r="G85" s="14" t="str">
        <x:v>Theo từng lần lấy ý kiến</x:v>
      </x:c>
      <x:c r="H85" s="14" t="str">
        <x:v>Chưa bắt đầu</x:v>
      </x:c>
      <x:c r="I85" s="20" t="n">
        <x:f>IF(H85="Hoàn thành",100%,IF(H85="Không áp dụng",100%,IF(H85="Đang thực hiện",50%,IF(H85="Đang chờ phối hợp",25%,0%))))</x:f>
        <x:v>0</x:v>
      </x:c>
      <x:c r="J85" s="58" t="str"/>
      <x:c r="K85" s="14" t="str"/>
      <x:c r="L85" s="14" t="str"/>
      <x:c r="M85" s="14" t="str"/>
      <x:c r="N85" s="14" t="str"/>
      <x:c r="O85" s="14" t="str"/>
      <x:c r="P85" s="58" t="str"/>
      <x:c r="Q85" s="14" t="str"/>
    </x:row>
    <x:row r="86">
      <x:c r="A86" s="14" t="str">
        <x:v>VATM-0085</x:v>
      </x:c>
      <x:c r="B86" s="14" t="str">
        <x:v>Tài chính - Kế hoạch đầu tư</x:v>
      </x:c>
      <x:c r="C86" s="14" t="str">
        <x:v>Phí, thanh toán, hợp đồng và billing</x:v>
      </x:c>
      <x:c r="D86" s="14" t="str">
        <x:v>Theo dõi điều khoản này để xác định điểm chạm khi cơ quan lập/thẩm định quy hoạch yêu cầu ý kiến hoặc dữ liệu kỹ thuật từ VATM; không phát sinh thẩm quyền phê duyệt cho VATM.</x:v>
      </x:c>
      <x:c r="E86" s="14" t="str">
        <x:v>Ban Tài chính; Ban Kế hoạch - Đầu tư; Ban Không lưu; Ban Kỹ thuật - CNS/IT/Môi trường; Trung tâm Thông báo tin tức hàng không</x:v>
      </x:c>
      <x:c r="F86" s="14" t="str">
        <x:v>P1</x:v>
      </x:c>
      <x:c r="G86" s="14" t="str">
        <x:v>Theo từng lần lấy ý kiến</x:v>
      </x:c>
      <x:c r="H86" s="14" t="str">
        <x:v>Chưa bắt đầu</x:v>
      </x:c>
      <x:c r="I86" s="20" t="n">
        <x:f>IF(H86="Hoàn thành",100%,IF(H86="Không áp dụng",100%,IF(H86="Đang thực hiện",50%,IF(H86="Đang chờ phối hợp",25%,0%))))</x:f>
        <x:v>0</x:v>
      </x:c>
      <x:c r="J86" s="58" t="str"/>
      <x:c r="K86" s="14" t="str"/>
      <x:c r="L86" s="14" t="str"/>
      <x:c r="M86" s="14" t="str"/>
      <x:c r="N86" s="14" t="str"/>
      <x:c r="O86" s="14" t="str"/>
      <x:c r="P86" s="58" t="str"/>
      <x:c r="Q86" s="14" t="str"/>
    </x:row>
    <x:row r="87">
      <x:c r="A87" s="14" t="str">
        <x:v>VATM-0086</x:v>
      </x:c>
      <x:c r="B87" s="14" t="str">
        <x:v>Quản lý khai thác cảng/sân bay</x:v>
      </x:c>
      <x:c r="C87" s="14" t="str">
        <x:v>Công trình, chướng ngại và thi công</x:v>
      </x:c>
      <x:c r="D87" s="14" t="str">
        <x:v>Xác định hồ sơ, bản vẽ, thiết kế, phương án đầu tư hoặc xử lý công trình theo điều này có tác động đến hoạt động bay/công trình ANS; lập ý kiến chuyên ngành VATM.</x:v>
      </x:c>
      <x:c r="E87" s="14" t="str">
        <x:v>Ban Kế hoạch - Đầu tư; Ban Không lưu; Ban Kỹ thuật - CNS/IT/Môi trường</x:v>
      </x:c>
      <x:c r="F87" s="14" t="str">
        <x:v>P1</x:v>
      </x:c>
      <x:c r="G87" s="14" t="str">
        <x:v>Theo từng hồ sơ/dự án</x:v>
      </x:c>
      <x:c r="H87" s="14" t="str">
        <x:v>Chưa bắt đầu</x:v>
      </x:c>
      <x:c r="I87" s="20" t="n">
        <x:f>IF(H87="Hoàn thành",100%,IF(H87="Không áp dụng",100%,IF(H87="Đang thực hiện",50%,IF(H87="Đang chờ phối hợp",25%,0%))))</x:f>
        <x:v>0</x:v>
      </x:c>
      <x:c r="J87" s="58" t="str"/>
      <x:c r="K87" s="14" t="str"/>
      <x:c r="L87" s="14" t="str"/>
      <x:c r="M87" s="14" t="str"/>
      <x:c r="N87" s="14" t="str"/>
      <x:c r="O87" s="14" t="str"/>
      <x:c r="P87" s="58" t="str"/>
      <x:c r="Q87" s="14" t="str"/>
    </x:row>
    <x:row r="88">
      <x:c r="A88" s="14" t="str">
        <x:v>VATM-0087</x:v>
      </x:c>
      <x:c r="B88" s="14" t="str">
        <x:v>Quản lý khai thác cảng/sân bay</x:v>
      </x:c>
      <x:c r="C88" s="14" t="str">
        <x:v>Công trình, chướng ngại và thi công</x:v>
      </x:c>
      <x:c r="D88" s="14" t="str">
        <x:v>Xác định hồ sơ, bản vẽ, thiết kế, phương án đầu tư hoặc xử lý công trình theo điều này có tác động đến hoạt động bay/công trình ANS; lập ý kiến chuyên ngành VATM.</x:v>
      </x:c>
      <x:c r="E88" s="14" t="str">
        <x:v>Ban Kế hoạch - Đầu tư; Ban Không lưu; Ban Kỹ thuật - CNS/IT/Môi trường</x:v>
      </x:c>
      <x:c r="F88" s="14" t="str">
        <x:v>P1</x:v>
      </x:c>
      <x:c r="G88" s="14" t="str">
        <x:v>Theo từng hồ sơ/dự án</x:v>
      </x:c>
      <x:c r="H88" s="14" t="str">
        <x:v>Chưa bắt đầu</x:v>
      </x:c>
      <x:c r="I88" s="20" t="n">
        <x:f>IF(H88="Hoàn thành",100%,IF(H88="Không áp dụng",100%,IF(H88="Đang thực hiện",50%,IF(H88="Đang chờ phối hợp",25%,0%))))</x:f>
        <x:v>0</x:v>
      </x:c>
      <x:c r="J88" s="58" t="str"/>
      <x:c r="K88" s="14" t="str"/>
      <x:c r="L88" s="14" t="str"/>
      <x:c r="M88" s="14" t="str"/>
      <x:c r="N88" s="14" t="str"/>
      <x:c r="O88" s="14" t="str"/>
      <x:c r="P88" s="58" t="str"/>
      <x:c r="Q88" s="14" t="str"/>
    </x:row>
    <x:row r="89">
      <x:c r="A89" s="14" t="str">
        <x:v>VATM-0088</x:v>
      </x:c>
      <x:c r="B89" s="14" t="str">
        <x:v>Quản lý khai thác cảng/sân bay</x:v>
      </x:c>
      <x:c r="C89" s="14" t="str">
        <x:v>Công trình, chướng ngại và thi công</x:v>
      </x:c>
      <x:c r="D89" s="14" t="str">
        <x:v>Xác định hồ sơ, bản vẽ, thiết kế, phương án đầu tư hoặc xử lý công trình theo điều này có tác động đến hoạt động bay/công trình ANS; lập ý kiến chuyên ngành VATM.</x:v>
      </x:c>
      <x:c r="E89" s="14" t="str">
        <x:v>Ban Kế hoạch - Đầu tư; Ban Không lưu; Ban Kỹ thuật - CNS/IT/Môi trường</x:v>
      </x:c>
      <x:c r="F89" s="14" t="str">
        <x:v>P1</x:v>
      </x:c>
      <x:c r="G89" s="14" t="str">
        <x:v>Theo từng hồ sơ/dự án</x:v>
      </x:c>
      <x:c r="H89" s="14" t="str">
        <x:v>Chưa bắt đầu</x:v>
      </x:c>
      <x:c r="I89" s="20" t="n">
        <x:f>IF(H89="Hoàn thành",100%,IF(H89="Không áp dụng",100%,IF(H89="Đang thực hiện",50%,IF(H89="Đang chờ phối hợp",25%,0%))))</x:f>
        <x:v>0</x:v>
      </x:c>
      <x:c r="J89" s="58" t="str"/>
      <x:c r="K89" s="14" t="str"/>
      <x:c r="L89" s="14" t="str"/>
      <x:c r="M89" s="14" t="str"/>
      <x:c r="N89" s="14" t="str"/>
      <x:c r="O89" s="14" t="str"/>
      <x:c r="P89" s="58" t="str"/>
      <x:c r="Q89" s="14" t="str"/>
    </x:row>
    <x:row r="90">
      <x:c r="A90" s="14" t="str">
        <x:v>VATM-0089</x:v>
      </x:c>
      <x:c r="B90" s="14" t="str">
        <x:v>Quản lý khai thác cảng/sân bay</x:v>
      </x:c>
      <x:c r="C90" s="14" t="str">
        <x:v>Công trình, chướng ngại và thi công</x:v>
      </x:c>
      <x:c r="D90" s="14" t="str">
        <x:v>Xác định hồ sơ, bản vẽ, thiết kế, phương án đầu tư hoặc xử lý công trình theo điều này có tác động đến hoạt động bay/công trình ANS; lập ý kiến chuyên ngành VATM.</x:v>
      </x:c>
      <x:c r="E90" s="14" t="str">
        <x:v>Ban Kế hoạch - Đầu tư; Ban Không lưu; Ban Kỹ thuật - CNS/IT/Môi trường</x:v>
      </x:c>
      <x:c r="F90" s="14" t="str">
        <x:v>P1</x:v>
      </x:c>
      <x:c r="G90" s="14" t="str">
        <x:v>Theo từng hồ sơ/dự án</x:v>
      </x:c>
      <x:c r="H90" s="14" t="str">
        <x:v>Chưa bắt đầu</x:v>
      </x:c>
      <x:c r="I90" s="20" t="n">
        <x:f>IF(H90="Hoàn thành",100%,IF(H90="Không áp dụng",100%,IF(H90="Đang thực hiện",50%,IF(H90="Đang chờ phối hợp",25%,0%))))</x:f>
        <x:v>0</x:v>
      </x:c>
      <x:c r="J90" s="58" t="str"/>
      <x:c r="K90" s="14" t="str"/>
      <x:c r="L90" s="14" t="str"/>
      <x:c r="M90" s="14" t="str"/>
      <x:c r="N90" s="14" t="str"/>
      <x:c r="O90" s="14" t="str"/>
      <x:c r="P90" s="58" t="str"/>
      <x:c r="Q90" s="14" t="str"/>
    </x:row>
    <x:row r="91">
      <x:c r="A91" s="14" t="str">
        <x:v>VATM-0090</x:v>
      </x:c>
      <x:c r="B91" s="14" t="str">
        <x:v>Quản lý khai thác cảng/sân bay</x:v>
      </x:c>
      <x:c r="C91" s="14" t="str">
        <x:v>Công trình, chướng ngại và thi công</x:v>
      </x:c>
      <x:c r="D91" s="14" t="str">
        <x:v>Xác định hồ sơ, bản vẽ, thiết kế, phương án đầu tư hoặc xử lý công trình theo điều này có tác động đến hoạt động bay/công trình ANS; lập ý kiến chuyên ngành VATM.</x:v>
      </x:c>
      <x:c r="E91" s="14" t="str">
        <x:v>Ban Kế hoạch - Đầu tư; Ban Không lưu; Ban Kỹ thuật - CNS/IT/Môi trường</x:v>
      </x:c>
      <x:c r="F91" s="14" t="str">
        <x:v>P1</x:v>
      </x:c>
      <x:c r="G91" s="14" t="str">
        <x:v>Theo từng hồ sơ/dự án</x:v>
      </x:c>
      <x:c r="H91" s="14" t="str">
        <x:v>Chưa bắt đầu</x:v>
      </x:c>
      <x:c r="I91" s="20" t="n">
        <x:f>IF(H91="Hoàn thành",100%,IF(H91="Không áp dụng",100%,IF(H91="Đang thực hiện",50%,IF(H91="Đang chờ phối hợp",25%,0%))))</x:f>
        <x:v>0</x:v>
      </x:c>
      <x:c r="J91" s="58" t="str"/>
      <x:c r="K91" s="14" t="str"/>
      <x:c r="L91" s="14" t="str"/>
      <x:c r="M91" s="14" t="str"/>
      <x:c r="N91" s="14" t="str"/>
      <x:c r="O91" s="14" t="str"/>
      <x:c r="P91" s="58" t="str"/>
      <x:c r="Q91" s="14" t="str"/>
    </x:row>
    <x:row r="92">
      <x:c r="A92" s="14" t="str">
        <x:v>VATM-0091</x:v>
      </x:c>
      <x:c r="B92" s="14" t="str">
        <x:v>Quản lý khai thác cảng/sân bay</x:v>
      </x:c>
      <x:c r="C92" s="14" t="str">
        <x:v>Công trình, chướng ngại và thi công</x:v>
      </x:c>
      <x:c r="D92" s="14" t="str">
        <x:v>Xác định hồ sơ, bản vẽ, thiết kế, phương án đầu tư hoặc xử lý công trình theo điều này có tác động đến hoạt động bay/công trình ANS; lập ý kiến chuyên ngành VATM.</x:v>
      </x:c>
      <x:c r="E92" s="14" t="str">
        <x:v>Ban Kế hoạch - Đầu tư; Ban Không lưu; Ban Kỹ thuật - CNS/IT/Môi trường</x:v>
      </x:c>
      <x:c r="F92" s="14" t="str">
        <x:v>P1</x:v>
      </x:c>
      <x:c r="G92" s="14" t="str">
        <x:v>Theo từng hồ sơ/dự án</x:v>
      </x:c>
      <x:c r="H92" s="14" t="str">
        <x:v>Chưa bắt đầu</x:v>
      </x:c>
      <x:c r="I92" s="20" t="n">
        <x:f>IF(H92="Hoàn thành",100%,IF(H92="Không áp dụng",100%,IF(H92="Đang thực hiện",50%,IF(H92="Đang chờ phối hợp",25%,0%))))</x:f>
        <x:v>0</x:v>
      </x:c>
      <x:c r="J92" s="58" t="str"/>
      <x:c r="K92" s="14" t="str"/>
      <x:c r="L92" s="14" t="str"/>
      <x:c r="M92" s="14" t="str"/>
      <x:c r="N92" s="14" t="str"/>
      <x:c r="O92" s="14" t="str"/>
      <x:c r="P92" s="58" t="str"/>
      <x:c r="Q92" s="14" t="str"/>
    </x:row>
    <x:row r="93">
      <x:c r="A93" s="14" t="str">
        <x:v>VATM-0092</x:v>
      </x:c>
      <x:c r="B93" s="14" t="str">
        <x:v>Quản lý khai thác cảng/sân bay</x:v>
      </x:c>
      <x:c r="C93" s="14" t="str">
        <x:v>Công trình, chướng ngại và thi công</x:v>
      </x:c>
      <x:c r="D93" s="14" t="str">
        <x:v>Xác định hồ sơ, bản vẽ, thiết kế, phương án đầu tư hoặc xử lý công trình theo điều này có tác động đến hoạt động bay/công trình ANS; lập ý kiến chuyên ngành VATM.</x:v>
      </x:c>
      <x:c r="E93" s="14" t="str">
        <x:v>Ban Kế hoạch - Đầu tư; Ban Không lưu; Ban Kỹ thuật - CNS/IT/Môi trường</x:v>
      </x:c>
      <x:c r="F93" s="14" t="str">
        <x:v>P1</x:v>
      </x:c>
      <x:c r="G93" s="14" t="str">
        <x:v>Theo từng hồ sơ/dự án</x:v>
      </x:c>
      <x:c r="H93" s="14" t="str">
        <x:v>Chưa bắt đầu</x:v>
      </x:c>
      <x:c r="I93" s="20" t="n">
        <x:f>IF(H93="Hoàn thành",100%,IF(H93="Không áp dụng",100%,IF(H93="Đang thực hiện",50%,IF(H93="Đang chờ phối hợp",25%,0%))))</x:f>
        <x:v>0</x:v>
      </x:c>
      <x:c r="J93" s="58" t="str"/>
      <x:c r="K93" s="14" t="str"/>
      <x:c r="L93" s="14" t="str"/>
      <x:c r="M93" s="14" t="str"/>
      <x:c r="N93" s="14" t="str"/>
      <x:c r="O93" s="14" t="str"/>
      <x:c r="P93" s="58" t="str"/>
      <x:c r="Q93" s="14" t="str"/>
    </x:row>
    <x:row r="94">
      <x:c r="A94" s="14" t="str">
        <x:v>VATM-0093</x:v>
      </x:c>
      <x:c r="B94" s="14" t="str">
        <x:v>Quản lý khai thác cảng/sân bay</x:v>
      </x:c>
      <x:c r="C94" s="14" t="str">
        <x:v>Công trình, chướng ngại và thi công</x:v>
      </x:c>
      <x:c r="D94" s="14" t="str">
        <x:v>Xác định hồ sơ, bản vẽ, thiết kế, phương án đầu tư hoặc xử lý công trình theo điều này có tác động đến hoạt động bay/công trình ANS; lập ý kiến chuyên ngành VATM.</x:v>
      </x:c>
      <x:c r="E94" s="14" t="str">
        <x:v>Ban Kế hoạch - Đầu tư; Ban Không lưu; Ban Kỹ thuật - CNS/IT/Môi trường</x:v>
      </x:c>
      <x:c r="F94" s="14" t="str">
        <x:v>P1</x:v>
      </x:c>
      <x:c r="G94" s="14" t="str">
        <x:v>Theo từng hồ sơ/dự án</x:v>
      </x:c>
      <x:c r="H94" s="14" t="str">
        <x:v>Chưa bắt đầu</x:v>
      </x:c>
      <x:c r="I94" s="20" t="n">
        <x:f>IF(H94="Hoàn thành",100%,IF(H94="Không áp dụng",100%,IF(H94="Đang thực hiện",50%,IF(H94="Đang chờ phối hợp",25%,0%))))</x:f>
        <x:v>0</x:v>
      </x:c>
      <x:c r="J94" s="58" t="str"/>
      <x:c r="K94" s="14" t="str"/>
      <x:c r="L94" s="14" t="str"/>
      <x:c r="M94" s="14" t="str"/>
      <x:c r="N94" s="14" t="str"/>
      <x:c r="O94" s="14" t="str"/>
      <x:c r="P94" s="58" t="str"/>
      <x:c r="Q94" s="14" t="str"/>
    </x:row>
    <x:row r="95">
      <x:c r="A95" s="14" t="str">
        <x:v>VATM-0094</x:v>
      </x:c>
      <x:c r="B95" s="14" t="str">
        <x:v>Quản lý khai thác cảng/sân bay</x:v>
      </x:c>
      <x:c r="C95" s="14" t="str">
        <x:v>Công trình, chướng ngại và thi công</x:v>
      </x:c>
      <x:c r="D95" s="14" t="str">
        <x:v>Xác định hồ sơ, bản vẽ, thiết kế, phương án đầu tư hoặc xử lý công trình theo điều này có tác động đến hoạt động bay/công trình ANS; lập ý kiến chuyên ngành VATM.</x:v>
      </x:c>
      <x:c r="E95" s="14" t="str">
        <x:v>Ban Kế hoạch - Đầu tư; Ban Không lưu; Ban Kỹ thuật - CNS/IT/Môi trường</x:v>
      </x:c>
      <x:c r="F95" s="14" t="str">
        <x:v>P1</x:v>
      </x:c>
      <x:c r="G95" s="14" t="str">
        <x:v>Theo từng hồ sơ/dự án</x:v>
      </x:c>
      <x:c r="H95" s="14" t="str">
        <x:v>Chưa bắt đầu</x:v>
      </x:c>
      <x:c r="I95" s="20" t="n">
        <x:f>IF(H95="Hoàn thành",100%,IF(H95="Không áp dụng",100%,IF(H95="Đang thực hiện",50%,IF(H95="Đang chờ phối hợp",25%,0%))))</x:f>
        <x:v>0</x:v>
      </x:c>
      <x:c r="J95" s="58" t="str"/>
      <x:c r="K95" s="14" t="str"/>
      <x:c r="L95" s="14" t="str"/>
      <x:c r="M95" s="14" t="str"/>
      <x:c r="N95" s="14" t="str"/>
      <x:c r="O95" s="14" t="str"/>
      <x:c r="P95" s="58" t="str"/>
      <x:c r="Q95" s="14" t="str"/>
    </x:row>
    <x:row r="96">
      <x:c r="A96" s="14" t="str">
        <x:v>VATM-0095</x:v>
      </x:c>
      <x:c r="B96" s="14" t="str">
        <x:v>Quản lý khai thác cảng/sân bay</x:v>
      </x:c>
      <x:c r="C96" s="14" t="str">
        <x:v>Công trình, chướng ngại và thi công</x:v>
      </x:c>
      <x:c r="D96" s="14" t="str">
        <x:v>Xác định hồ sơ, bản vẽ, thiết kế, phương án đầu tư hoặc xử lý công trình theo điều này có tác động đến hoạt động bay/công trình ANS; lập ý kiến chuyên ngành VATM.</x:v>
      </x:c>
      <x:c r="E96" s="14" t="str">
        <x:v>Ban Kế hoạch - Đầu tư; Ban Không lưu; Ban Kỹ thuật - CNS/IT/Môi trường</x:v>
      </x:c>
      <x:c r="F96" s="14" t="str">
        <x:v>P1</x:v>
      </x:c>
      <x:c r="G96" s="14" t="str">
        <x:v>Theo từng hồ sơ/dự án</x:v>
      </x:c>
      <x:c r="H96" s="14" t="str">
        <x:v>Chưa bắt đầu</x:v>
      </x:c>
      <x:c r="I96" s="20" t="n">
        <x:f>IF(H96="Hoàn thành",100%,IF(H96="Không áp dụng",100%,IF(H96="Đang thực hiện",50%,IF(H96="Đang chờ phối hợp",25%,0%))))</x:f>
        <x:v>0</x:v>
      </x:c>
      <x:c r="J96" s="58" t="str"/>
      <x:c r="K96" s="14" t="str"/>
      <x:c r="L96" s="14" t="str"/>
      <x:c r="M96" s="14" t="str"/>
      <x:c r="N96" s="14" t="str"/>
      <x:c r="O96" s="14" t="str"/>
      <x:c r="P96" s="58" t="str"/>
      <x:c r="Q96" s="14" t="str"/>
    </x:row>
    <x:row r="97">
      <x:c r="A97" s="14" t="str">
        <x:v>VATM-0096</x:v>
      </x:c>
      <x:c r="B97" s="14" t="str">
        <x:v>Quản lý khai thác cảng/sân bay</x:v>
      </x:c>
      <x:c r="C97" s="14" t="str">
        <x:v>Công trình, chướng ngại và thi công</x:v>
      </x:c>
      <x:c r="D97" s="14" t="str">
        <x:v>Xác định hồ sơ, bản vẽ, thiết kế, phương án đầu tư hoặc xử lý công trình theo điều này có tác động đến hoạt động bay/công trình ANS; lập ý kiến chuyên ngành VATM.</x:v>
      </x:c>
      <x:c r="E97" s="14" t="str">
        <x:v>Ban Kế hoạch - Đầu tư; Ban Không lưu; Ban Kỹ thuật - CNS/IT/Môi trường</x:v>
      </x:c>
      <x:c r="F97" s="14" t="str">
        <x:v>P1</x:v>
      </x:c>
      <x:c r="G97" s="14" t="str">
        <x:v>Theo từng hồ sơ/dự án</x:v>
      </x:c>
      <x:c r="H97" s="14" t="str">
        <x:v>Chưa bắt đầu</x:v>
      </x:c>
      <x:c r="I97" s="20" t="n">
        <x:f>IF(H97="Hoàn thành",100%,IF(H97="Không áp dụng",100%,IF(H97="Đang thực hiện",50%,IF(H97="Đang chờ phối hợp",25%,0%))))</x:f>
        <x:v>0</x:v>
      </x:c>
      <x:c r="J97" s="58" t="str"/>
      <x:c r="K97" s="14" t="str"/>
      <x:c r="L97" s="14" t="str"/>
      <x:c r="M97" s="14" t="str"/>
      <x:c r="N97" s="14" t="str"/>
      <x:c r="O97" s="14" t="str"/>
      <x:c r="P97" s="58" t="str"/>
      <x:c r="Q97" s="14" t="str"/>
    </x:row>
    <x:row r="98">
      <x:c r="A98" s="14" t="str">
        <x:v>VATM-0097</x:v>
      </x:c>
      <x:c r="B98" s="14" t="str">
        <x:v>Quản lý khai thác cảng/sân bay</x:v>
      </x:c>
      <x:c r="C98" s="14" t="str">
        <x:v>Công trình, chướng ngại và thi công</x:v>
      </x:c>
      <x:c r="D98" s="14" t="str">
        <x:v>Xác định hồ sơ, bản vẽ, thiết kế, phương án đầu tư hoặc xử lý công trình theo điều này có tác động đến hoạt động bay/công trình ANS; lập ý kiến chuyên ngành VATM.</x:v>
      </x:c>
      <x:c r="E98" s="14" t="str">
        <x:v>Ban Kế hoạch - Đầu tư; Ban Không lưu; Ban Kỹ thuật - CNS/IT/Môi trường</x:v>
      </x:c>
      <x:c r="F98" s="14" t="str">
        <x:v>P1</x:v>
      </x:c>
      <x:c r="G98" s="14" t="str">
        <x:v>Theo từng hồ sơ/dự án</x:v>
      </x:c>
      <x:c r="H98" s="14" t="str">
        <x:v>Chưa bắt đầu</x:v>
      </x:c>
      <x:c r="I98" s="20" t="n">
        <x:f>IF(H98="Hoàn thành",100%,IF(H98="Không áp dụng",100%,IF(H98="Đang thực hiện",50%,IF(H98="Đang chờ phối hợp",25%,0%))))</x:f>
        <x:v>0</x:v>
      </x:c>
      <x:c r="J98" s="58" t="str"/>
      <x:c r="K98" s="14" t="str"/>
      <x:c r="L98" s="14" t="str"/>
      <x:c r="M98" s="14" t="str"/>
      <x:c r="N98" s="14" t="str"/>
      <x:c r="O98" s="14" t="str"/>
      <x:c r="P98" s="58" t="str"/>
      <x:c r="Q98" s="14" t="str"/>
    </x:row>
    <x:row r="99">
      <x:c r="A99" s="14" t="str">
        <x:v>VATM-0098</x:v>
      </x:c>
      <x:c r="B99" s="14" t="str">
        <x:v>Quản lý khai thác cảng/sân bay</x:v>
      </x:c>
      <x:c r="C99" s="14" t="str">
        <x:v>Công trình, chướng ngại và thi công</x:v>
      </x:c>
      <x:c r="D99" s="14" t="str">
        <x:v>Xác định hồ sơ, bản vẽ, thiết kế, phương án đầu tư hoặc xử lý công trình theo điều này có tác động đến hoạt động bay/công trình ANS; lập ý kiến chuyên ngành VATM.</x:v>
      </x:c>
      <x:c r="E99" s="14" t="str">
        <x:v>Ban Kế hoạch - Đầu tư; Ban Không lưu; Ban Kỹ thuật - CNS/IT/Môi trường</x:v>
      </x:c>
      <x:c r="F99" s="14" t="str">
        <x:v>P1</x:v>
      </x:c>
      <x:c r="G99" s="14" t="str">
        <x:v>Theo từng hồ sơ/dự án</x:v>
      </x:c>
      <x:c r="H99" s="14" t="str">
        <x:v>Chưa bắt đầu</x:v>
      </x:c>
      <x:c r="I99" s="20" t="n">
        <x:f>IF(H99="Hoàn thành",100%,IF(H99="Không áp dụng",100%,IF(H99="Đang thực hiện",50%,IF(H99="Đang chờ phối hợp",25%,0%))))</x:f>
        <x:v>0</x:v>
      </x:c>
      <x:c r="J99" s="58" t="str"/>
      <x:c r="K99" s="14" t="str"/>
      <x:c r="L99" s="14" t="str"/>
      <x:c r="M99" s="14" t="str"/>
      <x:c r="N99" s="14" t="str"/>
      <x:c r="O99" s="14" t="str"/>
      <x:c r="P99" s="58" t="str"/>
      <x:c r="Q99" s="14" t="str"/>
    </x:row>
    <x:row r="100">
      <x:c r="A100" s="14" t="str">
        <x:v>VATM-0099</x:v>
      </x:c>
      <x:c r="B100" s="14" t="str">
        <x:v>Quản lý khai thác cảng/sân bay</x:v>
      </x:c>
      <x:c r="C100" s="14" t="str">
        <x:v>Công trình, chướng ngại và thi công</x:v>
      </x:c>
      <x:c r="D100" s="14" t="str">
        <x:v>Xác định hồ sơ, bản vẽ, thiết kế, phương án đầu tư hoặc xử lý công trình theo điều này có tác động đến hoạt động bay/công trình ANS; lập ý kiến chuyên ngành VATM.</x:v>
      </x:c>
      <x:c r="E100" s="14" t="str">
        <x:v>Ban Kế hoạch - Đầu tư; Ban Không lưu; Ban Kỹ thuật - CNS/IT/Môi trường</x:v>
      </x:c>
      <x:c r="F100" s="14" t="str">
        <x:v>P1</x:v>
      </x:c>
      <x:c r="G100" s="14" t="str">
        <x:v>Theo từng hồ sơ/dự án</x:v>
      </x:c>
      <x:c r="H100" s="14" t="str">
        <x:v>Chưa bắt đầu</x:v>
      </x:c>
      <x:c r="I100" s="20" t="n">
        <x:f>IF(H100="Hoàn thành",100%,IF(H100="Không áp dụng",100%,IF(H100="Đang thực hiện",50%,IF(H100="Đang chờ phối hợp",25%,0%))))</x:f>
        <x:v>0</x:v>
      </x:c>
      <x:c r="J100" s="58" t="str"/>
      <x:c r="K100" s="14" t="str"/>
      <x:c r="L100" s="14" t="str"/>
      <x:c r="M100" s="14" t="str"/>
      <x:c r="N100" s="14" t="str"/>
      <x:c r="O100" s="14" t="str"/>
      <x:c r="P100" s="58" t="str"/>
      <x:c r="Q100" s="14" t="str"/>
    </x:row>
    <x:row r="101">
      <x:c r="A101" s="14" t="str">
        <x:v>VATM-0100</x:v>
      </x:c>
      <x:c r="B101" s="14" t="str">
        <x:v>Quản lý khai thác cảng/sân bay</x:v>
      </x:c>
      <x:c r="C101" s="14" t="str">
        <x:v>Công trình, chướng ngại và thi công</x:v>
      </x:c>
      <x:c r="D101" s="14" t="str">
        <x:v>Xác định hồ sơ, bản vẽ, thiết kế, phương án đầu tư hoặc xử lý công trình theo điều này có tác động đến hoạt động bay/công trình ANS; lập ý kiến chuyên ngành VATM.</x:v>
      </x:c>
      <x:c r="E101" s="14" t="str">
        <x:v>Ban Kế hoạch - Đầu tư; Ban Không lưu; Ban Kỹ thuật - CNS/IT/Môi trường</x:v>
      </x:c>
      <x:c r="F101" s="14" t="str">
        <x:v>P1</x:v>
      </x:c>
      <x:c r="G101" s="14" t="str">
        <x:v>Theo từng hồ sơ/dự án</x:v>
      </x:c>
      <x:c r="H101" s="14" t="str">
        <x:v>Chưa bắt đầu</x:v>
      </x:c>
      <x:c r="I101" s="20" t="n">
        <x:f>IF(H101="Hoàn thành",100%,IF(H101="Không áp dụng",100%,IF(H101="Đang thực hiện",50%,IF(H101="Đang chờ phối hợp",25%,0%))))</x:f>
        <x:v>0</x:v>
      </x:c>
      <x:c r="J101" s="58" t="str"/>
      <x:c r="K101" s="14" t="str"/>
      <x:c r="L101" s="14" t="str"/>
      <x:c r="M101" s="14" t="str"/>
      <x:c r="N101" s="14" t="str"/>
      <x:c r="O101" s="14" t="str"/>
      <x:c r="P101" s="58" t="str"/>
      <x:c r="Q101" s="14" t="str"/>
    </x:row>
    <x:row r="102">
      <x:c r="A102" s="14" t="str">
        <x:v>VATM-0101</x:v>
      </x:c>
      <x:c r="B102" s="14" t="str">
        <x:v>Tài chính - Kế hoạch đầu tư</x:v>
      </x:c>
      <x:c r="C102" s="14" t="str">
        <x:v>Phí, thanh toán, hợp đồng và billing</x:v>
      </x:c>
      <x:c r="D102" s="14" t="str">
        <x:v>Theo dõi điều kiện, giấy phép, tạm dừng, bảo đảm kinh doanh dịch vụ tại cảng không ảnh hưởng dây chuyền bảo đảm hoạt động bay; đề xuất phối hợp/NOTAM nếu thay đổi tác động khai thác.</x:v>
      </x:c>
      <x:c r="E102" s="14" t="str">
        <x:v>Ban Tài chính; Văn phòng - Pháp chế; Ban Không lưu; Các Công ty Quản lý bay khu vực Bắc/Trung/Nam</x:v>
      </x:c>
      <x:c r="F102" s="14" t="str">
        <x:v>P1</x:v>
      </x:c>
      <x:c r="G102" s="14" t="str">
        <x:v>Khi cấp phép/thay đổi/tạm dừng/dừng dịch vụ</x:v>
      </x:c>
      <x:c r="H102" s="14" t="str">
        <x:v>Chưa bắt đầu</x:v>
      </x:c>
      <x:c r="I102" s="20" t="n">
        <x:f>IF(H102="Hoàn thành",100%,IF(H102="Không áp dụng",100%,IF(H102="Đang thực hiện",50%,IF(H102="Đang chờ phối hợp",25%,0%))))</x:f>
        <x:v>0</x:v>
      </x:c>
      <x:c r="J102" s="58" t="str"/>
      <x:c r="K102" s="14" t="str"/>
      <x:c r="L102" s="14" t="str"/>
      <x:c r="M102" s="14" t="str"/>
      <x:c r="N102" s="14" t="str"/>
      <x:c r="O102" s="14" t="str"/>
      <x:c r="P102" s="58" t="str"/>
      <x:c r="Q102" s="14" t="str"/>
    </x:row>
    <x:row r="103">
      <x:c r="A103" s="14" t="str">
        <x:v>VATM-0102</x:v>
      </x:c>
      <x:c r="B103" s="14" t="str">
        <x:v>Tài chính - Kế hoạch đầu tư</x:v>
      </x:c>
      <x:c r="C103" s="14" t="str">
        <x:v>Phí, thanh toán, hợp đồng và billing</x:v>
      </x:c>
      <x:c r="D103" s="14" t="str">
        <x:v>Theo dõi điều kiện, giấy phép, tạm dừng, bảo đảm kinh doanh dịch vụ tại cảng không ảnh hưởng dây chuyền bảo đảm hoạt động bay; đề xuất phối hợp/NOTAM nếu thay đổi tác động khai thác.</x:v>
      </x:c>
      <x:c r="E103" s="14" t="str">
        <x:v>Ban Tài chính; Văn phòng - Pháp chế; Ban Không lưu; Các Công ty Quản lý bay khu vực Bắc/Trung/Nam</x:v>
      </x:c>
      <x:c r="F103" s="14" t="str">
        <x:v>P1</x:v>
      </x:c>
      <x:c r="G103" s="14" t="str">
        <x:v>Khi cấp phép/thay đổi/tạm dừng/dừng dịch vụ</x:v>
      </x:c>
      <x:c r="H103" s="14" t="str">
        <x:v>Chưa bắt đầu</x:v>
      </x:c>
      <x:c r="I103" s="20" t="n">
        <x:f>IF(H103="Hoàn thành",100%,IF(H103="Không áp dụng",100%,IF(H103="Đang thực hiện",50%,IF(H103="Đang chờ phối hợp",25%,0%))))</x:f>
        <x:v>0</x:v>
      </x:c>
      <x:c r="J103" s="58" t="str"/>
      <x:c r="K103" s="14" t="str"/>
      <x:c r="L103" s="14" t="str"/>
      <x:c r="M103" s="14" t="str"/>
      <x:c r="N103" s="14" t="str"/>
      <x:c r="O103" s="14" t="str"/>
      <x:c r="P103" s="58" t="str"/>
      <x:c r="Q103" s="14" t="str"/>
    </x:row>
    <x:row r="104">
      <x:c r="A104" s="14" t="str">
        <x:v>VATM-0103</x:v>
      </x:c>
      <x:c r="B104" s="14" t="str">
        <x:v>Tài chính - Kế hoạch đầu tư</x:v>
      </x:c>
      <x:c r="C104" s="14" t="str">
        <x:v>Phí, thanh toán, hợp đồng và billing</x:v>
      </x:c>
      <x:c r="D104" s="14" t="str">
        <x:v>Theo dõi điều kiện, giấy phép, tạm dừng, bảo đảm kinh doanh dịch vụ tại cảng không ảnh hưởng dây chuyền bảo đảm hoạt động bay; đề xuất phối hợp/NOTAM nếu thay đổi tác động khai thác.</x:v>
      </x:c>
      <x:c r="E104" s="14" t="str">
        <x:v>Ban Tài chính; Văn phòng - Pháp chế; Ban Không lưu; Các Công ty Quản lý bay khu vực Bắc/Trung/Nam</x:v>
      </x:c>
      <x:c r="F104" s="14" t="str">
        <x:v>P1</x:v>
      </x:c>
      <x:c r="G104" s="14" t="str">
        <x:v>Khi cấp phép/thay đổi/tạm dừng/dừng dịch vụ</x:v>
      </x:c>
      <x:c r="H104" s="14" t="str">
        <x:v>Chưa bắt đầu</x:v>
      </x:c>
      <x:c r="I104" s="20" t="n">
        <x:f>IF(H104="Hoàn thành",100%,IF(H104="Không áp dụng",100%,IF(H104="Đang thực hiện",50%,IF(H104="Đang chờ phối hợp",25%,0%))))</x:f>
        <x:v>0</x:v>
      </x:c>
      <x:c r="J104" s="58" t="str"/>
      <x:c r="K104" s="14" t="str"/>
      <x:c r="L104" s="14" t="str"/>
      <x:c r="M104" s="14" t="str"/>
      <x:c r="N104" s="14" t="str"/>
      <x:c r="O104" s="14" t="str"/>
      <x:c r="P104" s="58" t="str"/>
      <x:c r="Q104" s="14" t="str"/>
    </x:row>
    <x:row r="105">
      <x:c r="A105" s="14" t="str">
        <x:v>VATM-0104</x:v>
      </x:c>
      <x:c r="B105" s="14" t="str">
        <x:v>Tài chính - Kế hoạch đầu tư</x:v>
      </x:c>
      <x:c r="C105" s="14" t="str">
        <x:v>Phí, thanh toán, hợp đồng và billing</x:v>
      </x:c>
      <x:c r="D105" s="14" t="str">
        <x:v>Theo dõi điều kiện, giấy phép, tạm dừng, bảo đảm kinh doanh dịch vụ tại cảng không ảnh hưởng dây chuyền bảo đảm hoạt động bay; đề xuất phối hợp/NOTAM nếu thay đổi tác động khai thác.</x:v>
      </x:c>
      <x:c r="E105" s="14" t="str">
        <x:v>Ban Tài chính; Văn phòng - Pháp chế; Ban Không lưu; Các Công ty Quản lý bay khu vực Bắc/Trung/Nam</x:v>
      </x:c>
      <x:c r="F105" s="14" t="str">
        <x:v>P1</x:v>
      </x:c>
      <x:c r="G105" s="14" t="str">
        <x:v>Khi cấp phép/thay đổi/tạm dừng/dừng dịch vụ</x:v>
      </x:c>
      <x:c r="H105" s="14" t="str">
        <x:v>Chưa bắt đầu</x:v>
      </x:c>
      <x:c r="I105" s="20" t="n">
        <x:f>IF(H105="Hoàn thành",100%,IF(H105="Không áp dụng",100%,IF(H105="Đang thực hiện",50%,IF(H105="Đang chờ phối hợp",25%,0%))))</x:f>
        <x:v>0</x:v>
      </x:c>
      <x:c r="J105" s="58" t="str"/>
      <x:c r="K105" s="14" t="str"/>
      <x:c r="L105" s="14" t="str"/>
      <x:c r="M105" s="14" t="str"/>
      <x:c r="N105" s="14" t="str"/>
      <x:c r="O105" s="14" t="str"/>
      <x:c r="P105" s="58" t="str"/>
      <x:c r="Q105" s="14" t="str"/>
    </x:row>
    <x:row r="106">
      <x:c r="A106" s="14" t="str">
        <x:v>VATM-0105</x:v>
      </x:c>
      <x:c r="B106" s="14" t="str">
        <x:v>Tài chính - Kế hoạch đầu tư</x:v>
      </x:c>
      <x:c r="C106" s="14" t="str">
        <x:v>Phí, thanh toán, hợp đồng và billing</x:v>
      </x:c>
      <x:c r="D106" s="14" t="str">
        <x:v>Theo dõi điều kiện, giấy phép, tạm dừng, bảo đảm kinh doanh dịch vụ tại cảng không ảnh hưởng dây chuyền bảo đảm hoạt động bay; đề xuất phối hợp/NOTAM nếu thay đổi tác động khai thác.</x:v>
      </x:c>
      <x:c r="E106" s="14" t="str">
        <x:v>Ban Tài chính; Văn phòng - Pháp chế; Ban Không lưu; Các Công ty Quản lý bay khu vực Bắc/Trung/Nam</x:v>
      </x:c>
      <x:c r="F106" s="14" t="str">
        <x:v>P1</x:v>
      </x:c>
      <x:c r="G106" s="14" t="str">
        <x:v>Khi cấp phép/thay đổi/tạm dừng/dừng dịch vụ</x:v>
      </x:c>
      <x:c r="H106" s="14" t="str">
        <x:v>Chưa bắt đầu</x:v>
      </x:c>
      <x:c r="I106" s="20" t="n">
        <x:f>IF(H106="Hoàn thành",100%,IF(H106="Không áp dụng",100%,IF(H106="Đang thực hiện",50%,IF(H106="Đang chờ phối hợp",25%,0%))))</x:f>
        <x:v>0</x:v>
      </x:c>
      <x:c r="J106" s="58" t="str"/>
      <x:c r="K106" s="14" t="str"/>
      <x:c r="L106" s="14" t="str"/>
      <x:c r="M106" s="14" t="str"/>
      <x:c r="N106" s="14" t="str"/>
      <x:c r="O106" s="14" t="str"/>
      <x:c r="P106" s="58" t="str"/>
      <x:c r="Q106" s="14" t="str"/>
    </x:row>
    <x:row r="107">
      <x:c r="A107" s="14" t="str">
        <x:v>VATM-0106</x:v>
      </x:c>
      <x:c r="B107" s="14" t="str">
        <x:v>Tài chính - Kế hoạch đầu tư</x:v>
      </x:c>
      <x:c r="C107" s="14" t="str">
        <x:v>Phí, thanh toán, hợp đồng và billing</x:v>
      </x:c>
      <x:c r="D107" s="14" t="str">
        <x:v>Theo dõi điều kiện, giấy phép, tạm dừng, bảo đảm kinh doanh dịch vụ tại cảng không ảnh hưởng dây chuyền bảo đảm hoạt động bay; đề xuất phối hợp/NOTAM nếu thay đổi tác động khai thác.</x:v>
      </x:c>
      <x:c r="E107" s="14" t="str">
        <x:v>Ban Tài chính; Văn phòng - Pháp chế; Ban Không lưu; Các Công ty Quản lý bay khu vực Bắc/Trung/Nam</x:v>
      </x:c>
      <x:c r="F107" s="14" t="str">
        <x:v>P1</x:v>
      </x:c>
      <x:c r="G107" s="14" t="str">
        <x:v>Khi cấp phép/thay đổi/tạm dừng/dừng dịch vụ</x:v>
      </x:c>
      <x:c r="H107" s="14" t="str">
        <x:v>Chưa bắt đầu</x:v>
      </x:c>
      <x:c r="I107" s="20" t="n">
        <x:f>IF(H107="Hoàn thành",100%,IF(H107="Không áp dụng",100%,IF(H107="Đang thực hiện",50%,IF(H107="Đang chờ phối hợp",25%,0%))))</x:f>
        <x:v>0</x:v>
      </x:c>
      <x:c r="J107" s="58" t="str"/>
      <x:c r="K107" s="14" t="str"/>
      <x:c r="L107" s="14" t="str"/>
      <x:c r="M107" s="14" t="str"/>
      <x:c r="N107" s="14" t="str"/>
      <x:c r="O107" s="14" t="str"/>
      <x:c r="P107" s="58" t="str"/>
      <x:c r="Q107" s="14" t="str"/>
    </x:row>
    <x:row r="108">
      <x:c r="A108" s="14" t="str">
        <x:v>VATM-0107</x:v>
      </x:c>
      <x:c r="B108" s="14" t="str">
        <x:v>Tài chính - Kế hoạch đầu tư</x:v>
      </x:c>
      <x:c r="C108" s="14" t="str">
        <x:v>Phí, thanh toán, hợp đồng và billing</x:v>
      </x:c>
      <x:c r="D108" s="14" t="str">
        <x:v>Theo dõi điều kiện, giấy phép, tạm dừng, bảo đảm kinh doanh dịch vụ tại cảng không ảnh hưởng dây chuyền bảo đảm hoạt động bay; đề xuất phối hợp/NOTAM nếu thay đổi tác động khai thác.</x:v>
      </x:c>
      <x:c r="E108" s="14" t="str">
        <x:v>Ban Tài chính; Văn phòng - Pháp chế; Ban Không lưu; Các Công ty Quản lý bay khu vực Bắc/Trung/Nam</x:v>
      </x:c>
      <x:c r="F108" s="14" t="str">
        <x:v>P1</x:v>
      </x:c>
      <x:c r="G108" s="14" t="str">
        <x:v>Khi cấp phép/thay đổi/tạm dừng/dừng dịch vụ</x:v>
      </x:c>
      <x:c r="H108" s="14" t="str">
        <x:v>Chưa bắt đầu</x:v>
      </x:c>
      <x:c r="I108" s="20" t="n">
        <x:f>IF(H108="Hoàn thành",100%,IF(H108="Không áp dụng",100%,IF(H108="Đang thực hiện",50%,IF(H108="Đang chờ phối hợp",25%,0%))))</x:f>
        <x:v>0</x:v>
      </x:c>
      <x:c r="J108" s="58" t="str"/>
      <x:c r="K108" s="14" t="str"/>
      <x:c r="L108" s="14" t="str"/>
      <x:c r="M108" s="14" t="str"/>
      <x:c r="N108" s="14" t="str"/>
      <x:c r="O108" s="14" t="str"/>
      <x:c r="P108" s="58" t="str"/>
      <x:c r="Q108" s="14" t="str"/>
    </x:row>
    <x:row r="109">
      <x:c r="A109" s="14" t="str">
        <x:v>VATM-0108</x:v>
      </x:c>
      <x:c r="B109" s="14" t="str">
        <x:v>Tài chính - Kế hoạch đầu tư</x:v>
      </x:c>
      <x:c r="C109" s="14" t="str">
        <x:v>Phí, thanh toán, hợp đồng và billing</x:v>
      </x:c>
      <x:c r="D109" s="14" t="str">
        <x:v>Theo dõi điều kiện, giấy phép, tạm dừng, bảo đảm kinh doanh dịch vụ tại cảng không ảnh hưởng dây chuyền bảo đảm hoạt động bay; đề xuất phối hợp/NOTAM nếu thay đổi tác động khai thác.</x:v>
      </x:c>
      <x:c r="E109" s="14" t="str">
        <x:v>Ban Tài chính; Văn phòng - Pháp chế; Ban Không lưu; Các Công ty Quản lý bay khu vực Bắc/Trung/Nam</x:v>
      </x:c>
      <x:c r="F109" s="14" t="str">
        <x:v>P1</x:v>
      </x:c>
      <x:c r="G109" s="14" t="str">
        <x:v>Khi cấp phép/thay đổi/tạm dừng/dừng dịch vụ</x:v>
      </x:c>
      <x:c r="H109" s="14" t="str">
        <x:v>Chưa bắt đầu</x:v>
      </x:c>
      <x:c r="I109" s="20" t="n">
        <x:f>IF(H109="Hoàn thành",100%,IF(H109="Không áp dụng",100%,IF(H109="Đang thực hiện",50%,IF(H109="Đang chờ phối hợp",25%,0%))))</x:f>
        <x:v>0</x:v>
      </x:c>
      <x:c r="J109" s="58" t="str"/>
      <x:c r="K109" s="14" t="str"/>
      <x:c r="L109" s="14" t="str"/>
      <x:c r="M109" s="14" t="str"/>
      <x:c r="N109" s="14" t="str"/>
      <x:c r="O109" s="14" t="str"/>
      <x:c r="P109" s="58" t="str"/>
      <x:c r="Q109" s="14" t="str"/>
    </x:row>
    <x:row r="110">
      <x:c r="A110" s="14" t="str">
        <x:v>VATM-0109</x:v>
      </x:c>
      <x:c r="B110" s="14" t="str">
        <x:v>Tài chính - Kế hoạch đầu tư</x:v>
      </x:c>
      <x:c r="C110" s="14" t="str">
        <x:v>Phí, thanh toán, hợp đồng và billing</x:v>
      </x:c>
      <x:c r="D110" s="14" t="str">
        <x:v>Theo dõi điều kiện, giấy phép, tạm dừng, bảo đảm kinh doanh dịch vụ tại cảng không ảnh hưởng dây chuyền bảo đảm hoạt động bay; đề xuất phối hợp/NOTAM nếu thay đổi tác động khai thác.</x:v>
      </x:c>
      <x:c r="E110" s="14" t="str">
        <x:v>Ban Tài chính; Văn phòng - Pháp chế; Ban Không lưu; Các Công ty Quản lý bay khu vực Bắc/Trung/Nam</x:v>
      </x:c>
      <x:c r="F110" s="14" t="str">
        <x:v>P1</x:v>
      </x:c>
      <x:c r="G110" s="14" t="str">
        <x:v>Khi cấp phép/thay đổi/tạm dừng/dừng dịch vụ</x:v>
      </x:c>
      <x:c r="H110" s="14" t="str">
        <x:v>Chưa bắt đầu</x:v>
      </x:c>
      <x:c r="I110" s="20" t="n">
        <x:f>IF(H110="Hoàn thành",100%,IF(H110="Không áp dụng",100%,IF(H110="Đang thực hiện",50%,IF(H110="Đang chờ phối hợp",25%,0%))))</x:f>
        <x:v>0</x:v>
      </x:c>
      <x:c r="J110" s="58" t="str"/>
      <x:c r="K110" s="14" t="str"/>
      <x:c r="L110" s="14" t="str"/>
      <x:c r="M110" s="14" t="str"/>
      <x:c r="N110" s="14" t="str"/>
      <x:c r="O110" s="14" t="str"/>
      <x:c r="P110" s="58" t="str"/>
      <x:c r="Q110" s="14" t="str"/>
    </x:row>
    <x:row r="111">
      <x:c r="A111" s="14" t="str">
        <x:v>VATM-0110</x:v>
      </x:c>
      <x:c r="B111" s="14" t="str">
        <x:v>Tài chính - Kế hoạch đầu tư</x:v>
      </x:c>
      <x:c r="C111" s="14" t="str">
        <x:v>Phí, thanh toán, hợp đồng và billing</x:v>
      </x:c>
      <x:c r="D111" s="14" t="str">
        <x:v>Theo dõi điều kiện, giấy phép, tạm dừng, bảo đảm kinh doanh dịch vụ tại cảng không ảnh hưởng dây chuyền bảo đảm hoạt động bay; đề xuất phối hợp/NOTAM nếu thay đổi tác động khai thác.</x:v>
      </x:c>
      <x:c r="E111" s="14" t="str">
        <x:v>Ban Tài chính; Văn phòng - Pháp chế; Ban Không lưu; Các Công ty Quản lý bay khu vực Bắc/Trung/Nam</x:v>
      </x:c>
      <x:c r="F111" s="14" t="str">
        <x:v>P1</x:v>
      </x:c>
      <x:c r="G111" s="14" t="str">
        <x:v>Khi cấp phép/thay đổi/tạm dừng/dừng dịch vụ</x:v>
      </x:c>
      <x:c r="H111" s="14" t="str">
        <x:v>Chưa bắt đầu</x:v>
      </x:c>
      <x:c r="I111" s="20" t="n">
        <x:f>IF(H111="Hoàn thành",100%,IF(H111="Không áp dụng",100%,IF(H111="Đang thực hiện",50%,IF(H111="Đang chờ phối hợp",25%,0%))))</x:f>
        <x:v>0</x:v>
      </x:c>
      <x:c r="J111" s="58" t="str"/>
      <x:c r="K111" s="14" t="str"/>
      <x:c r="L111" s="14" t="str"/>
      <x:c r="M111" s="14" t="str"/>
      <x:c r="N111" s="14" t="str"/>
      <x:c r="O111" s="14" t="str"/>
      <x:c r="P111" s="58" t="str"/>
      <x:c r="Q111" s="14" t="str"/>
    </x:row>
    <x:row r="112">
      <x:c r="A112" s="14" t="str">
        <x:v>VATM-0111</x:v>
      </x:c>
      <x:c r="B112" s="14" t="str">
        <x:v>Tài chính - Kế hoạch đầu tư</x:v>
      </x:c>
      <x:c r="C112" s="14" t="str">
        <x:v>Phí, thanh toán, hợp đồng và billing</x:v>
      </x:c>
      <x:c r="D112" s="14" t="str">
        <x:v>Theo dõi điều kiện, giấy phép, tạm dừng, bảo đảm kinh doanh dịch vụ tại cảng không ảnh hưởng dây chuyền bảo đảm hoạt động bay; đề xuất phối hợp/NOTAM nếu thay đổi tác động khai thác.</x:v>
      </x:c>
      <x:c r="E112" s="14" t="str">
        <x:v>Ban Tài chính; Văn phòng - Pháp chế; Ban Không lưu; Các Công ty Quản lý bay khu vực Bắc/Trung/Nam</x:v>
      </x:c>
      <x:c r="F112" s="14" t="str">
        <x:v>P1</x:v>
      </x:c>
      <x:c r="G112" s="14" t="str">
        <x:v>Khi cấp phép/thay đổi/tạm dừng/dừng dịch vụ</x:v>
      </x:c>
      <x:c r="H112" s="14" t="str">
        <x:v>Chưa bắt đầu</x:v>
      </x:c>
      <x:c r="I112" s="20" t="n">
        <x:f>IF(H112="Hoàn thành",100%,IF(H112="Không áp dụng",100%,IF(H112="Đang thực hiện",50%,IF(H112="Đang chờ phối hợp",25%,0%))))</x:f>
        <x:v>0</x:v>
      </x:c>
      <x:c r="J112" s="58" t="str"/>
      <x:c r="K112" s="14" t="str"/>
      <x:c r="L112" s="14" t="str"/>
      <x:c r="M112" s="14" t="str"/>
      <x:c r="N112" s="14" t="str"/>
      <x:c r="O112" s="14" t="str"/>
      <x:c r="P112" s="58" t="str"/>
      <x:c r="Q112" s="14" t="str"/>
    </x:row>
    <x:row r="113">
      <x:c r="A113" s="14" t="str">
        <x:v>VATM-0112</x:v>
      </x:c>
      <x:c r="B113" s="14" t="str">
        <x:v>Tài chính - Kế hoạch đầu tư</x:v>
      </x:c>
      <x:c r="C113" s="14" t="str">
        <x:v>Phí, thanh toán, hợp đồng và billing</x:v>
      </x:c>
      <x:c r="D113" s="14" t="str">
        <x:v>Theo dõi điều kiện, giấy phép, tạm dừng, bảo đảm kinh doanh dịch vụ tại cảng không ảnh hưởng dây chuyền bảo đảm hoạt động bay; đề xuất phối hợp/NOTAM nếu thay đổi tác động khai thác.</x:v>
      </x:c>
      <x:c r="E113" s="14" t="str">
        <x:v>Ban Tài chính; Văn phòng - Pháp chế; Ban Không lưu; Các Công ty Quản lý bay khu vực Bắc/Trung/Nam</x:v>
      </x:c>
      <x:c r="F113" s="14" t="str">
        <x:v>P1</x:v>
      </x:c>
      <x:c r="G113" s="14" t="str">
        <x:v>Khi cấp phép/thay đổi/tạm dừng/dừng dịch vụ</x:v>
      </x:c>
      <x:c r="H113" s="14" t="str">
        <x:v>Chưa bắt đầu</x:v>
      </x:c>
      <x:c r="I113" s="20" t="n">
        <x:f>IF(H113="Hoàn thành",100%,IF(H113="Không áp dụng",100%,IF(H113="Đang thực hiện",50%,IF(H113="Đang chờ phối hợp",25%,0%))))</x:f>
        <x:v>0</x:v>
      </x:c>
      <x:c r="J113" s="58" t="str"/>
      <x:c r="K113" s="14" t="str"/>
      <x:c r="L113" s="14" t="str"/>
      <x:c r="M113" s="14" t="str"/>
      <x:c r="N113" s="14" t="str"/>
      <x:c r="O113" s="14" t="str"/>
      <x:c r="P113" s="58" t="str"/>
      <x:c r="Q113" s="14" t="str"/>
    </x:row>
    <x:row r="114">
      <x:c r="A114" s="14" t="str">
        <x:v>VATM-0113</x:v>
      </x:c>
      <x:c r="B114" s="14" t="str">
        <x:v>Tài chính - Kế hoạch đầu tư</x:v>
      </x:c>
      <x:c r="C114" s="14" t="str">
        <x:v>Phí, thanh toán, hợp đồng và billing</x:v>
      </x:c>
      <x:c r="D114" s="14" t="str">
        <x:v>Theo dõi điều kiện, giấy phép, tạm dừng, bảo đảm kinh doanh dịch vụ tại cảng không ảnh hưởng dây chuyền bảo đảm hoạt động bay; đề xuất phối hợp/NOTAM nếu thay đổi tác động khai thác.</x:v>
      </x:c>
      <x:c r="E114" s="14" t="str">
        <x:v>Ban Tài chính; Văn phòng - Pháp chế; Ban Không lưu; Các Công ty Quản lý bay khu vực Bắc/Trung/Nam</x:v>
      </x:c>
      <x:c r="F114" s="14" t="str">
        <x:v>P1</x:v>
      </x:c>
      <x:c r="G114" s="14" t="str">
        <x:v>Khi cấp phép/thay đổi/tạm dừng/dừng dịch vụ</x:v>
      </x:c>
      <x:c r="H114" s="14" t="str">
        <x:v>Chưa bắt đầu</x:v>
      </x:c>
      <x:c r="I114" s="20" t="n">
        <x:f>IF(H114="Hoàn thành",100%,IF(H114="Không áp dụng",100%,IF(H114="Đang thực hiện",50%,IF(H114="Đang chờ phối hợp",25%,0%))))</x:f>
        <x:v>0</x:v>
      </x:c>
      <x:c r="J114" s="58" t="str"/>
      <x:c r="K114" s="14" t="str"/>
      <x:c r="L114" s="14" t="str"/>
      <x:c r="M114" s="14" t="str"/>
      <x:c r="N114" s="14" t="str"/>
      <x:c r="O114" s="14" t="str"/>
      <x:c r="P114" s="58" t="str"/>
      <x:c r="Q114" s="14" t="str"/>
    </x:row>
    <x:row r="115">
      <x:c r="A115" s="14" t="str">
        <x:v>VATM-0114</x:v>
      </x:c>
      <x:c r="B115" s="14" t="str">
        <x:v>Tài chính - Kế hoạch đầu tư</x:v>
      </x:c>
      <x:c r="C115" s="14" t="str">
        <x:v>Phí, thanh toán, hợp đồng và billing</x:v>
      </x:c>
      <x:c r="D115" s="14" t="str">
        <x:v>Theo dõi điều kiện, giấy phép, tạm dừng, bảo đảm kinh doanh dịch vụ tại cảng không ảnh hưởng dây chuyền bảo đảm hoạt động bay; đề xuất phối hợp/NOTAM nếu thay đổi tác động khai thác.</x:v>
      </x:c>
      <x:c r="E115" s="14" t="str">
        <x:v>Ban Tài chính; Văn phòng - Pháp chế; Ban Không lưu; Các Công ty Quản lý bay khu vực Bắc/Trung/Nam</x:v>
      </x:c>
      <x:c r="F115" s="14" t="str">
        <x:v>P1</x:v>
      </x:c>
      <x:c r="G115" s="14" t="str">
        <x:v>Khi cấp phép/thay đổi/tạm dừng/dừng dịch vụ</x:v>
      </x:c>
      <x:c r="H115" s="14" t="str">
        <x:v>Chưa bắt đầu</x:v>
      </x:c>
      <x:c r="I115" s="20" t="n">
        <x:f>IF(H115="Hoàn thành",100%,IF(H115="Không áp dụng",100%,IF(H115="Đang thực hiện",50%,IF(H115="Đang chờ phối hợp",25%,0%))))</x:f>
        <x:v>0</x:v>
      </x:c>
      <x:c r="J115" s="58" t="str"/>
      <x:c r="K115" s="14" t="str"/>
      <x:c r="L115" s="14" t="str"/>
      <x:c r="M115" s="14" t="str"/>
      <x:c r="N115" s="14" t="str"/>
      <x:c r="O115" s="14" t="str"/>
      <x:c r="P115" s="58" t="str"/>
      <x:c r="Q115" s="14" t="str"/>
    </x:row>
    <x:row r="116">
      <x:c r="A116" s="14" t="str">
        <x:v>VATM-0115</x:v>
      </x:c>
      <x:c r="B116" s="14" t="str">
        <x:v>Quản lý khai thác cảng/sân bay</x:v>
      </x:c>
      <x:c r="C116" s="14" t="str">
        <x:v>Công trình, chướng ngại và thi công</x:v>
      </x:c>
      <x:c r="D116" s="14" t="str">
        <x:v>Rà soát chi tiết yêu cầu của điều này trong kế hoạch khai thác, tài liệu khai thác, thi công, đưa/dừng khai thác; xác định việc VATM phải góp ý, phối hợp, giám sát hoặc cập nhật tin tức hàng không.</x:v>
      </x:c>
      <x:c r="E116" s="14" t="str">
        <x:v>Ban Kế hoạch - Đầu tư; Ban Không lưu; Ban Kỹ thuật - CNS/IT/Môi trường; Ban An toàn - Chất lượng; Trung tâm Thông báo tin tức hàng không; Các Công ty Quản lý bay khu vực Bắc/Trung/Nam</x:v>
      </x:c>
      <x:c r="F116" s="14" t="str">
        <x:v>P1</x:v>
      </x:c>
      <x:c r="G116" s="14" t="str">
        <x:v>Trước thời điểm thay đổi/thi công; theo từng hồ sơ</x:v>
      </x:c>
      <x:c r="H116" s="14" t="str">
        <x:v>Chưa bắt đầu</x:v>
      </x:c>
      <x:c r="I116" s="20" t="n">
        <x:f>IF(H116="Hoàn thành",100%,IF(H116="Không áp dụng",100%,IF(H116="Đang thực hiện",50%,IF(H116="Đang chờ phối hợp",25%,0%))))</x:f>
        <x:v>0</x:v>
      </x:c>
      <x:c r="J116" s="58" t="str"/>
      <x:c r="K116" s="14" t="str"/>
      <x:c r="L116" s="14" t="str"/>
      <x:c r="M116" s="14" t="str"/>
      <x:c r="N116" s="14" t="str"/>
      <x:c r="O116" s="14" t="str"/>
      <x:c r="P116" s="58" t="str"/>
      <x:c r="Q116" s="14" t="str"/>
    </x:row>
    <x:row r="117">
      <x:c r="A117" s="14" t="str">
        <x:v>VATM-0116</x:v>
      </x:c>
      <x:c r="B117" s="14" t="str">
        <x:v>Quản lý khai thác cảng/sân bay</x:v>
      </x:c>
      <x:c r="C117" s="14" t="str">
        <x:v>Công trình, chướng ngại và thi công</x:v>
      </x:c>
      <x:c r="D117" s="14" t="str">
        <x:v>Rà soát chi tiết yêu cầu của điều này trong kế hoạch khai thác, tài liệu khai thác, thi công, đưa/dừng khai thác; xác định việc VATM phải góp ý, phối hợp, giám sát hoặc cập nhật tin tức hàng không.</x:v>
      </x:c>
      <x:c r="E117" s="14" t="str">
        <x:v>Ban Kế hoạch - Đầu tư; Ban Không lưu; Ban Kỹ thuật - CNS/IT/Môi trường; Ban An toàn - Chất lượng; Trung tâm Thông báo tin tức hàng không; Các Công ty Quản lý bay khu vực Bắc/Trung/Nam</x:v>
      </x:c>
      <x:c r="F117" s="14" t="str">
        <x:v>P1</x:v>
      </x:c>
      <x:c r="G117" s="14" t="str">
        <x:v>Trước thời điểm thay đổi/thi công; theo từng hồ sơ</x:v>
      </x:c>
      <x:c r="H117" s="14" t="str">
        <x:v>Chưa bắt đầu</x:v>
      </x:c>
      <x:c r="I117" s="20" t="n">
        <x:f>IF(H117="Hoàn thành",100%,IF(H117="Không áp dụng",100%,IF(H117="Đang thực hiện",50%,IF(H117="Đang chờ phối hợp",25%,0%))))</x:f>
        <x:v>0</x:v>
      </x:c>
      <x:c r="J117" s="58" t="str"/>
      <x:c r="K117" s="14" t="str"/>
      <x:c r="L117" s="14" t="str"/>
      <x:c r="M117" s="14" t="str"/>
      <x:c r="N117" s="14" t="str"/>
      <x:c r="O117" s="14" t="str"/>
      <x:c r="P117" s="58" t="str"/>
      <x:c r="Q117" s="14" t="str"/>
    </x:row>
    <x:row r="118">
      <x:c r="A118" s="14" t="str">
        <x:v>VATM-0117</x:v>
      </x:c>
      <x:c r="B118" s="14" t="str">
        <x:v>Quản lý khai thác cảng/sân bay</x:v>
      </x:c>
      <x:c r="C118" s="14" t="str">
        <x:v>Công trình, chướng ngại và thi công</x:v>
      </x:c>
      <x:c r="D118" s="14" t="str">
        <x:v>Rà soát chi tiết yêu cầu của điều này trong kế hoạch khai thác, tài liệu khai thác, thi công, đưa/dừng khai thác; xác định việc VATM phải góp ý, phối hợp, giám sát hoặc cập nhật tin tức hàng không.</x:v>
      </x:c>
      <x:c r="E118" s="14" t="str">
        <x:v>Ban Kế hoạch - Đầu tư; Ban Không lưu; Ban Kỹ thuật - CNS/IT/Môi trường; Ban An toàn - Chất lượng; Trung tâm Thông báo tin tức hàng không; Các Công ty Quản lý bay khu vực Bắc/Trung/Nam</x:v>
      </x:c>
      <x:c r="F118" s="14" t="str">
        <x:v>P1</x:v>
      </x:c>
      <x:c r="G118" s="14" t="str">
        <x:v>Trước thời điểm thay đổi/thi công; theo từng hồ sơ</x:v>
      </x:c>
      <x:c r="H118" s="14" t="str">
        <x:v>Chưa bắt đầu</x:v>
      </x:c>
      <x:c r="I118" s="20" t="n">
        <x:f>IF(H118="Hoàn thành",100%,IF(H118="Không áp dụng",100%,IF(H118="Đang thực hiện",50%,IF(H118="Đang chờ phối hợp",25%,0%))))</x:f>
        <x:v>0</x:v>
      </x:c>
      <x:c r="J118" s="58" t="str"/>
      <x:c r="K118" s="14" t="str"/>
      <x:c r="L118" s="14" t="str"/>
      <x:c r="M118" s="14" t="str"/>
      <x:c r="N118" s="14" t="str"/>
      <x:c r="O118" s="14" t="str"/>
      <x:c r="P118" s="58" t="str"/>
      <x:c r="Q118" s="14" t="str"/>
    </x:row>
    <x:row r="119">
      <x:c r="A119" s="14" t="str">
        <x:v>VATM-0118</x:v>
      </x:c>
      <x:c r="B119" s="14" t="str">
        <x:v>Quản lý khai thác cảng/sân bay</x:v>
      </x:c>
      <x:c r="C119" s="14" t="str">
        <x:v>Công trình, chướng ngại và thi công</x:v>
      </x:c>
      <x:c r="D119" s="14" t="str">
        <x:v>Rà soát chi tiết yêu cầu của điều này trong kế hoạch khai thác, tài liệu khai thác, thi công, đưa/dừng khai thác; xác định việc VATM phải góp ý, phối hợp, giám sát hoặc cập nhật tin tức hàng không.</x:v>
      </x:c>
      <x:c r="E119" s="14" t="str">
        <x:v>Ban Kế hoạch - Đầu tư; Ban Không lưu; Ban Kỹ thuật - CNS/IT/Môi trường; Ban An toàn - Chất lượng; Trung tâm Thông báo tin tức hàng không; Các Công ty Quản lý bay khu vực Bắc/Trung/Nam</x:v>
      </x:c>
      <x:c r="F119" s="14" t="str">
        <x:v>P1</x:v>
      </x:c>
      <x:c r="G119" s="14" t="str">
        <x:v>Trước thời điểm thay đổi/thi công; theo từng hồ sơ</x:v>
      </x:c>
      <x:c r="H119" s="14" t="str">
        <x:v>Chưa bắt đầu</x:v>
      </x:c>
      <x:c r="I119" s="20" t="n">
        <x:f>IF(H119="Hoàn thành",100%,IF(H119="Không áp dụng",100%,IF(H119="Đang thực hiện",50%,IF(H119="Đang chờ phối hợp",25%,0%))))</x:f>
        <x:v>0</x:v>
      </x:c>
      <x:c r="J119" s="58" t="str"/>
      <x:c r="K119" s="14" t="str"/>
      <x:c r="L119" s="14" t="str"/>
      <x:c r="M119" s="14" t="str"/>
      <x:c r="N119" s="14" t="str"/>
      <x:c r="O119" s="14" t="str"/>
      <x:c r="P119" s="58" t="str"/>
      <x:c r="Q119" s="14" t="str"/>
    </x:row>
    <x:row r="120">
      <x:c r="A120" s="14" t="str">
        <x:v>VATM-0119</x:v>
      </x:c>
      <x:c r="B120" s="14" t="str">
        <x:v>Quản lý khai thác cảng/sân bay</x:v>
      </x:c>
      <x:c r="C120" s="14" t="str">
        <x:v>Công trình, chướng ngại và thi công</x:v>
      </x:c>
      <x:c r="D120" s="14" t="str">
        <x:v>Rà soát chi tiết yêu cầu của điều này trong kế hoạch khai thác, tài liệu khai thác, thi công, đưa/dừng khai thác; xác định việc VATM phải góp ý, phối hợp, giám sát hoặc cập nhật tin tức hàng không.</x:v>
      </x:c>
      <x:c r="E120" s="14" t="str">
        <x:v>Ban Kế hoạch - Đầu tư; Ban Không lưu; Ban Kỹ thuật - CNS/IT/Môi trường; Ban An toàn - Chất lượng; Trung tâm Thông báo tin tức hàng không; Các Công ty Quản lý bay khu vực Bắc/Trung/Nam</x:v>
      </x:c>
      <x:c r="F120" s="14" t="str">
        <x:v>P1</x:v>
      </x:c>
      <x:c r="G120" s="14" t="str">
        <x:v>Trước thời điểm thay đổi/thi công; theo từng hồ sơ</x:v>
      </x:c>
      <x:c r="H120" s="14" t="str">
        <x:v>Chưa bắt đầu</x:v>
      </x:c>
      <x:c r="I120" s="20" t="n">
        <x:f>IF(H120="Hoàn thành",100%,IF(H120="Không áp dụng",100%,IF(H120="Đang thực hiện",50%,IF(H120="Đang chờ phối hợp",25%,0%))))</x:f>
        <x:v>0</x:v>
      </x:c>
      <x:c r="J120" s="58" t="str"/>
      <x:c r="K120" s="14" t="str"/>
      <x:c r="L120" s="14" t="str"/>
      <x:c r="M120" s="14" t="str"/>
      <x:c r="N120" s="14" t="str"/>
      <x:c r="O120" s="14" t="str"/>
      <x:c r="P120" s="58" t="str"/>
      <x:c r="Q120" s="14" t="str"/>
    </x:row>
    <x:row r="121">
      <x:c r="A121" s="14" t="str">
        <x:v>VATM-0120</x:v>
      </x:c>
      <x:c r="B121" s="14" t="str">
        <x:v>Quản lý khai thác cảng/sân bay</x:v>
      </x:c>
      <x:c r="C121" s="14" t="str">
        <x:v>Công trình, chướng ngại và thi công</x:v>
      </x:c>
      <x:c r="D121" s="14" t="str">
        <x:v>Rà soát chi tiết yêu cầu của điều này trong kế hoạch khai thác, tài liệu khai thác, thi công, đưa/dừng khai thác; xác định việc VATM phải góp ý, phối hợp, giám sát hoặc cập nhật tin tức hàng không.</x:v>
      </x:c>
      <x:c r="E121" s="14" t="str">
        <x:v>Ban Kế hoạch - Đầu tư; Ban Không lưu; Ban Kỹ thuật - CNS/IT/Môi trường; Ban An toàn - Chất lượng; Trung tâm Thông báo tin tức hàng không; Các Công ty Quản lý bay khu vực Bắc/Trung/Nam</x:v>
      </x:c>
      <x:c r="F121" s="14" t="str">
        <x:v>P1</x:v>
      </x:c>
      <x:c r="G121" s="14" t="str">
        <x:v>Trước thời điểm thay đổi/thi công; theo từng hồ sơ</x:v>
      </x:c>
      <x:c r="H121" s="14" t="str">
        <x:v>Chưa bắt đầu</x:v>
      </x:c>
      <x:c r="I121" s="20" t="n">
        <x:f>IF(H121="Hoàn thành",100%,IF(H121="Không áp dụng",100%,IF(H121="Đang thực hiện",50%,IF(H121="Đang chờ phối hợp",25%,0%))))</x:f>
        <x:v>0</x:v>
      </x:c>
      <x:c r="J121" s="58" t="str"/>
      <x:c r="K121" s="14" t="str"/>
      <x:c r="L121" s="14" t="str"/>
      <x:c r="M121" s="14" t="str"/>
      <x:c r="N121" s="14" t="str"/>
      <x:c r="O121" s="14" t="str"/>
      <x:c r="P121" s="58" t="str"/>
      <x:c r="Q121" s="14" t="str"/>
    </x:row>
    <x:row r="122">
      <x:c r="A122" s="14" t="str">
        <x:v>VATM-0121</x:v>
      </x:c>
      <x:c r="B122" s="14" t="str">
        <x:v>Quản lý khai thác cảng/sân bay</x:v>
      </x:c>
      <x:c r="C122" s="14" t="str">
        <x:v>Công trình, chướng ngại và thi công</x:v>
      </x:c>
      <x:c r="D122" s="14" t="str">
        <x:v>Rà soát chi tiết yêu cầu của điều này trong kế hoạch khai thác, tài liệu khai thác, thi công, đưa/dừng khai thác; xác định việc VATM phải góp ý, phối hợp, giám sát hoặc cập nhật tin tức hàng không.</x:v>
      </x:c>
      <x:c r="E122" s="14" t="str">
        <x:v>Ban Kế hoạch - Đầu tư; Ban Không lưu; Ban Kỹ thuật - CNS/IT/Môi trường; Ban An toàn - Chất lượng; Trung tâm Thông báo tin tức hàng không; Các Công ty Quản lý bay khu vực Bắc/Trung/Nam</x:v>
      </x:c>
      <x:c r="F122" s="14" t="str">
        <x:v>P1</x:v>
      </x:c>
      <x:c r="G122" s="14" t="str">
        <x:v>Trước thời điểm thay đổi/thi công; theo từng hồ sơ</x:v>
      </x:c>
      <x:c r="H122" s="14" t="str">
        <x:v>Chưa bắt đầu</x:v>
      </x:c>
      <x:c r="I122" s="20" t="n">
        <x:f>IF(H122="Hoàn thành",100%,IF(H122="Không áp dụng",100%,IF(H122="Đang thực hiện",50%,IF(H122="Đang chờ phối hợp",25%,0%))))</x:f>
        <x:v>0</x:v>
      </x:c>
      <x:c r="J122" s="58" t="str"/>
      <x:c r="K122" s="14" t="str"/>
      <x:c r="L122" s="14" t="str"/>
      <x:c r="M122" s="14" t="str"/>
      <x:c r="N122" s="14" t="str"/>
      <x:c r="O122" s="14" t="str"/>
      <x:c r="P122" s="58" t="str"/>
      <x:c r="Q122" s="14" t="str"/>
    </x:row>
    <x:row r="123">
      <x:c r="A123" s="14" t="str">
        <x:v>VATM-0122</x:v>
      </x:c>
      <x:c r="B123" s="14" t="str">
        <x:v>Quản lý khai thác cảng/sân bay</x:v>
      </x:c>
      <x:c r="C123" s="14" t="str">
        <x:v>Công trình, chướng ngại và thi công</x:v>
      </x:c>
      <x:c r="D123" s="14" t="str">
        <x:v>Rà soát chi tiết yêu cầu của điều này trong kế hoạch khai thác, tài liệu khai thác, thi công, đưa/dừng khai thác; xác định việc VATM phải góp ý, phối hợp, giám sát hoặc cập nhật tin tức hàng không.</x:v>
      </x:c>
      <x:c r="E123" s="14" t="str">
        <x:v>Ban Kế hoạch - Đầu tư; Ban Không lưu; Ban Kỹ thuật - CNS/IT/Môi trường; Ban An toàn - Chất lượng; Trung tâm Thông báo tin tức hàng không; Các Công ty Quản lý bay khu vực Bắc/Trung/Nam</x:v>
      </x:c>
      <x:c r="F123" s="14" t="str">
        <x:v>P1</x:v>
      </x:c>
      <x:c r="G123" s="14" t="str">
        <x:v>Trước thời điểm thay đổi/thi công; theo từng hồ sơ</x:v>
      </x:c>
      <x:c r="H123" s="14" t="str">
        <x:v>Chưa bắt đầu</x:v>
      </x:c>
      <x:c r="I123" s="20" t="n">
        <x:f>IF(H123="Hoàn thành",100%,IF(H123="Không áp dụng",100%,IF(H123="Đang thực hiện",50%,IF(H123="Đang chờ phối hợp",25%,0%))))</x:f>
        <x:v>0</x:v>
      </x:c>
      <x:c r="J123" s="58" t="str"/>
      <x:c r="K123" s="14" t="str"/>
      <x:c r="L123" s="14" t="str"/>
      <x:c r="M123" s="14" t="str"/>
      <x:c r="N123" s="14" t="str"/>
      <x:c r="O123" s="14" t="str"/>
      <x:c r="P123" s="58" t="str"/>
      <x:c r="Q123" s="14" t="str"/>
    </x:row>
    <x:row r="124">
      <x:c r="A124" s="14" t="str">
        <x:v>VATM-0123</x:v>
      </x:c>
      <x:c r="B124" s="14" t="str">
        <x:v>Quản lý khai thác cảng/sân bay</x:v>
      </x:c>
      <x:c r="C124" s="14" t="str">
        <x:v>Công trình, chướng ngại và thi công</x:v>
      </x:c>
      <x:c r="D124" s="14" t="str">
        <x:v>Rà soát chi tiết yêu cầu của điều này trong kế hoạch khai thác, tài liệu khai thác, thi công, đưa/dừng khai thác; xác định việc VATM phải góp ý, phối hợp, giám sát hoặc cập nhật tin tức hàng không.</x:v>
      </x:c>
      <x:c r="E124" s="14" t="str">
        <x:v>Ban Kế hoạch - Đầu tư; Ban Không lưu; Ban Kỹ thuật - CNS/IT/Môi trường; Ban An toàn - Chất lượng; Trung tâm Thông báo tin tức hàng không; Các Công ty Quản lý bay khu vực Bắc/Trung/Nam</x:v>
      </x:c>
      <x:c r="F124" s="14" t="str">
        <x:v>P1</x:v>
      </x:c>
      <x:c r="G124" s="14" t="str">
        <x:v>Trước thời điểm thay đổi/thi công; theo từng hồ sơ</x:v>
      </x:c>
      <x:c r="H124" s="14" t="str">
        <x:v>Chưa bắt đầu</x:v>
      </x:c>
      <x:c r="I124" s="20" t="n">
        <x:f>IF(H124="Hoàn thành",100%,IF(H124="Không áp dụng",100%,IF(H124="Đang thực hiện",50%,IF(H124="Đang chờ phối hợp",25%,0%))))</x:f>
        <x:v>0</x:v>
      </x:c>
      <x:c r="J124" s="58" t="str"/>
      <x:c r="K124" s="14" t="str"/>
      <x:c r="L124" s="14" t="str"/>
      <x:c r="M124" s="14" t="str"/>
      <x:c r="N124" s="14" t="str"/>
      <x:c r="O124" s="14" t="str"/>
      <x:c r="P124" s="58" t="str"/>
      <x:c r="Q124" s="14" t="str"/>
    </x:row>
    <x:row r="125">
      <x:c r="A125" s="14" t="str">
        <x:v>VATM-0124</x:v>
      </x:c>
      <x:c r="B125" s="14" t="str">
        <x:v>Quản lý khai thác cảng/sân bay</x:v>
      </x:c>
      <x:c r="C125" s="14" t="str">
        <x:v>Công trình, chướng ngại và thi công</x:v>
      </x:c>
      <x:c r="D125" s="14" t="str">
        <x:v>Rà soát chi tiết yêu cầu của điều này trong kế hoạch khai thác, tài liệu khai thác, thi công, đưa/dừng khai thác; xác định việc VATM phải góp ý, phối hợp, giám sát hoặc cập nhật tin tức hàng không.</x:v>
      </x:c>
      <x:c r="E125" s="14" t="str">
        <x:v>Ban Kế hoạch - Đầu tư; Ban Không lưu; Ban Kỹ thuật - CNS/IT/Môi trường; Ban An toàn - Chất lượng; Trung tâm Thông báo tin tức hàng không; Các Công ty Quản lý bay khu vực Bắc/Trung/Nam</x:v>
      </x:c>
      <x:c r="F125" s="14" t="str">
        <x:v>P1</x:v>
      </x:c>
      <x:c r="G125" s="14" t="str">
        <x:v>Trước thời điểm thay đổi/thi công; theo từng hồ sơ</x:v>
      </x:c>
      <x:c r="H125" s="14" t="str">
        <x:v>Chưa bắt đầu</x:v>
      </x:c>
      <x:c r="I125" s="20" t="n">
        <x:f>IF(H125="Hoàn thành",100%,IF(H125="Không áp dụng",100%,IF(H125="Đang thực hiện",50%,IF(H125="Đang chờ phối hợp",25%,0%))))</x:f>
        <x:v>0</x:v>
      </x:c>
      <x:c r="J125" s="58" t="str"/>
      <x:c r="K125" s="14" t="str"/>
      <x:c r="L125" s="14" t="str"/>
      <x:c r="M125" s="14" t="str"/>
      <x:c r="N125" s="14" t="str"/>
      <x:c r="O125" s="14" t="str"/>
      <x:c r="P125" s="58" t="str"/>
      <x:c r="Q125" s="14" t="str"/>
    </x:row>
    <x:row r="126">
      <x:c r="A126" s="14" t="str">
        <x:v>VATM-0125</x:v>
      </x:c>
      <x:c r="B126" s="14" t="str">
        <x:v>Quản lý khai thác cảng/sân bay</x:v>
      </x:c>
      <x:c r="C126" s="14" t="str">
        <x:v>Công trình, chướng ngại và thi công</x:v>
      </x:c>
      <x:c r="D126" s="14" t="str">
        <x:v>Rà soát chi tiết yêu cầu của điều này trong kế hoạch khai thác, tài liệu khai thác, thi công, đưa/dừng khai thác; xác định việc VATM phải góp ý, phối hợp, giám sát hoặc cập nhật tin tức hàng không.</x:v>
      </x:c>
      <x:c r="E126" s="14" t="str">
        <x:v>Ban Kế hoạch - Đầu tư; Ban Không lưu; Ban Kỹ thuật - CNS/IT/Môi trường; Ban An toàn - Chất lượng; Trung tâm Thông báo tin tức hàng không; Các Công ty Quản lý bay khu vực Bắc/Trung/Nam</x:v>
      </x:c>
      <x:c r="F126" s="14" t="str">
        <x:v>P1</x:v>
      </x:c>
      <x:c r="G126" s="14" t="str">
        <x:v>Trước thời điểm thay đổi/thi công; theo từng hồ sơ</x:v>
      </x:c>
      <x:c r="H126" s="14" t="str">
        <x:v>Chưa bắt đầu</x:v>
      </x:c>
      <x:c r="I126" s="20" t="n">
        <x:f>IF(H126="Hoàn thành",100%,IF(H126="Không áp dụng",100%,IF(H126="Đang thực hiện",50%,IF(H126="Đang chờ phối hợp",25%,0%))))</x:f>
        <x:v>0</x:v>
      </x:c>
      <x:c r="J126" s="58" t="str"/>
      <x:c r="K126" s="14" t="str"/>
      <x:c r="L126" s="14" t="str"/>
      <x:c r="M126" s="14" t="str"/>
      <x:c r="N126" s="14" t="str"/>
      <x:c r="O126" s="14" t="str"/>
      <x:c r="P126" s="58" t="str"/>
      <x:c r="Q126" s="14" t="str"/>
    </x:row>
    <x:row r="127">
      <x:c r="A127" s="14" t="str">
        <x:v>VATM-0126</x:v>
      </x:c>
      <x:c r="B127" s="14" t="str">
        <x:v>Quản lý khai thác cảng/sân bay</x:v>
      </x:c>
      <x:c r="C127" s="14" t="str">
        <x:v>Công trình, chướng ngại và thi công</x:v>
      </x:c>
      <x:c r="D127" s="14" t="str">
        <x:v>Rà soát chi tiết yêu cầu của điều này trong kế hoạch khai thác, tài liệu khai thác, thi công, đưa/dừng khai thác; xác định việc VATM phải góp ý, phối hợp, giám sát hoặc cập nhật tin tức hàng không.</x:v>
      </x:c>
      <x:c r="E127" s="14" t="str">
        <x:v>Ban Kế hoạch - Đầu tư; Ban Không lưu; Ban Kỹ thuật - CNS/IT/Môi trường; Ban An toàn - Chất lượng; Trung tâm Thông báo tin tức hàng không; Các Công ty Quản lý bay khu vực Bắc/Trung/Nam</x:v>
      </x:c>
      <x:c r="F127" s="14" t="str">
        <x:v>P1</x:v>
      </x:c>
      <x:c r="G127" s="14" t="str">
        <x:v>Trước thời điểm thay đổi/thi công; theo từng hồ sơ</x:v>
      </x:c>
      <x:c r="H127" s="14" t="str">
        <x:v>Chưa bắt đầu</x:v>
      </x:c>
      <x:c r="I127" s="20" t="n">
        <x:f>IF(H127="Hoàn thành",100%,IF(H127="Không áp dụng",100%,IF(H127="Đang thực hiện",50%,IF(H127="Đang chờ phối hợp",25%,0%))))</x:f>
        <x:v>0</x:v>
      </x:c>
      <x:c r="J127" s="58" t="str"/>
      <x:c r="K127" s="14" t="str"/>
      <x:c r="L127" s="14" t="str"/>
      <x:c r="M127" s="14" t="str"/>
      <x:c r="N127" s="14" t="str"/>
      <x:c r="O127" s="14" t="str"/>
      <x:c r="P127" s="58" t="str"/>
      <x:c r="Q127" s="14" t="str"/>
    </x:row>
    <x:row r="128">
      <x:c r="A128" s="14" t="str">
        <x:v>VATM-0127</x:v>
      </x:c>
      <x:c r="B128" s="14" t="str">
        <x:v>Quản lý khai thác cảng/sân bay</x:v>
      </x:c>
      <x:c r="C128" s="14" t="str">
        <x:v>Công trình, chướng ngại và thi công</x:v>
      </x:c>
      <x:c r="D128" s="14" t="str">
        <x:v>Rà soát chi tiết yêu cầu của điều này trong kế hoạch khai thác, tài liệu khai thác, thi công, đưa/dừng khai thác; xác định việc VATM phải góp ý, phối hợp, giám sát hoặc cập nhật tin tức hàng không.</x:v>
      </x:c>
      <x:c r="E128" s="14" t="str">
        <x:v>Ban Kế hoạch - Đầu tư; Ban Không lưu; Ban Kỹ thuật - CNS/IT/Môi trường; Ban An toàn - Chất lượng; Trung tâm Thông báo tin tức hàng không; Các Công ty Quản lý bay khu vực Bắc/Trung/Nam</x:v>
      </x:c>
      <x:c r="F128" s="14" t="str">
        <x:v>P1</x:v>
      </x:c>
      <x:c r="G128" s="14" t="str">
        <x:v>Trước thời điểm thay đổi/thi công; theo từng hồ sơ</x:v>
      </x:c>
      <x:c r="H128" s="14" t="str">
        <x:v>Chưa bắt đầu</x:v>
      </x:c>
      <x:c r="I128" s="20" t="n">
        <x:f>IF(H128="Hoàn thành",100%,IF(H128="Không áp dụng",100%,IF(H128="Đang thực hiện",50%,IF(H128="Đang chờ phối hợp",25%,0%))))</x:f>
        <x:v>0</x:v>
      </x:c>
      <x:c r="J128" s="58" t="str"/>
      <x:c r="K128" s="14" t="str"/>
      <x:c r="L128" s="14" t="str"/>
      <x:c r="M128" s="14" t="str"/>
      <x:c r="N128" s="14" t="str"/>
      <x:c r="O128" s="14" t="str"/>
      <x:c r="P128" s="58" t="str"/>
      <x:c r="Q128" s="14" t="str"/>
    </x:row>
    <x:row r="129">
      <x:c r="A129" s="14" t="str">
        <x:v>VATM-0128</x:v>
      </x:c>
      <x:c r="B129" s="14" t="str">
        <x:v>Quản lý khai thác cảng/sân bay</x:v>
      </x:c>
      <x:c r="C129" s="14" t="str">
        <x:v>Công trình, chướng ngại và thi công</x:v>
      </x:c>
      <x:c r="D129" s="14" t="str">
        <x:v>Rà soát chi tiết yêu cầu của điều này trong kế hoạch khai thác, tài liệu khai thác, thi công, đưa/dừng khai thác; xác định việc VATM phải góp ý, phối hợp, giám sát hoặc cập nhật tin tức hàng không.</x:v>
      </x:c>
      <x:c r="E129" s="14" t="str">
        <x:v>Ban Kế hoạch - Đầu tư; Ban Không lưu; Ban Kỹ thuật - CNS/IT/Môi trường; Ban An toàn - Chất lượng; Trung tâm Thông báo tin tức hàng không; Các Công ty Quản lý bay khu vực Bắc/Trung/Nam</x:v>
      </x:c>
      <x:c r="F129" s="14" t="str">
        <x:v>P1</x:v>
      </x:c>
      <x:c r="G129" s="14" t="str">
        <x:v>Trước thời điểm thay đổi/thi công; theo từng hồ sơ</x:v>
      </x:c>
      <x:c r="H129" s="14" t="str">
        <x:v>Chưa bắt đầu</x:v>
      </x:c>
      <x:c r="I129" s="20" t="n">
        <x:f>IF(H129="Hoàn thành",100%,IF(H129="Không áp dụng",100%,IF(H129="Đang thực hiện",50%,IF(H129="Đang chờ phối hợp",25%,0%))))</x:f>
        <x:v>0</x:v>
      </x:c>
      <x:c r="J129" s="58" t="str"/>
      <x:c r="K129" s="14" t="str"/>
      <x:c r="L129" s="14" t="str"/>
      <x:c r="M129" s="14" t="str"/>
      <x:c r="N129" s="14" t="str"/>
      <x:c r="O129" s="14" t="str"/>
      <x:c r="P129" s="58" t="str"/>
      <x:c r="Q129" s="14" t="str"/>
    </x:row>
    <x:row r="130">
      <x:c r="A130" s="14" t="str">
        <x:v>VATM-0129</x:v>
      </x:c>
      <x:c r="B130" s="14" t="str">
        <x:v>Quản lý khai thác cảng/sân bay</x:v>
      </x:c>
      <x:c r="C130" s="14" t="str">
        <x:v>Công trình, chướng ngại và thi công</x:v>
      </x:c>
      <x:c r="D130" s="14" t="str">
        <x:v>Rà soát chi tiết yêu cầu của điều này trong kế hoạch khai thác, tài liệu khai thác, thi công, đưa/dừng khai thác; xác định việc VATM phải góp ý, phối hợp, giám sát hoặc cập nhật tin tức hàng không.</x:v>
      </x:c>
      <x:c r="E130" s="14" t="str">
        <x:v>Ban Kế hoạch - Đầu tư; Ban Không lưu; Ban Kỹ thuật - CNS/IT/Môi trường; Ban An toàn - Chất lượng; Trung tâm Thông báo tin tức hàng không; Các Công ty Quản lý bay khu vực Bắc/Trung/Nam</x:v>
      </x:c>
      <x:c r="F130" s="14" t="str">
        <x:v>P1</x:v>
      </x:c>
      <x:c r="G130" s="14" t="str">
        <x:v>Trước thời điểm thay đổi/thi công; theo từng hồ sơ</x:v>
      </x:c>
      <x:c r="H130" s="14" t="str">
        <x:v>Chưa bắt đầu</x:v>
      </x:c>
      <x:c r="I130" s="20" t="n">
        <x:f>IF(H130="Hoàn thành",100%,IF(H130="Không áp dụng",100%,IF(H130="Đang thực hiện",50%,IF(H130="Đang chờ phối hợp",25%,0%))))</x:f>
        <x:v>0</x:v>
      </x:c>
      <x:c r="J130" s="58" t="str"/>
      <x:c r="K130" s="14" t="str"/>
      <x:c r="L130" s="14" t="str"/>
      <x:c r="M130" s="14" t="str"/>
      <x:c r="N130" s="14" t="str"/>
      <x:c r="O130" s="14" t="str"/>
      <x:c r="P130" s="58" t="str"/>
      <x:c r="Q130" s="14" t="str"/>
    </x:row>
    <x:row r="131">
      <x:c r="A131" s="14" t="str">
        <x:v>VATM-0130</x:v>
      </x:c>
      <x:c r="B131" s="14" t="str">
        <x:v>Quản lý khai thác cảng/sân bay</x:v>
      </x:c>
      <x:c r="C131" s="14" t="str">
        <x:v>Công trình, chướng ngại và thi công</x:v>
      </x:c>
      <x:c r="D131" s="14" t="str">
        <x:v>Rà soát chi tiết yêu cầu của điều này trong kế hoạch khai thác, tài liệu khai thác, thi công, đưa/dừng khai thác; xác định việc VATM phải góp ý, phối hợp, giám sát hoặc cập nhật tin tức hàng không.</x:v>
      </x:c>
      <x:c r="E131" s="14" t="str">
        <x:v>Ban Kế hoạch - Đầu tư; Ban Không lưu; Ban Kỹ thuật - CNS/IT/Môi trường; Ban An toàn - Chất lượng; Trung tâm Thông báo tin tức hàng không; Các Công ty Quản lý bay khu vực Bắc/Trung/Nam</x:v>
      </x:c>
      <x:c r="F131" s="14" t="str">
        <x:v>P1</x:v>
      </x:c>
      <x:c r="G131" s="14" t="str">
        <x:v>Trước thời điểm thay đổi/thi công; theo từng hồ sơ</x:v>
      </x:c>
      <x:c r="H131" s="14" t="str">
        <x:v>Chưa bắt đầu</x:v>
      </x:c>
      <x:c r="I131" s="20" t="n">
        <x:f>IF(H131="Hoàn thành",100%,IF(H131="Không áp dụng",100%,IF(H131="Đang thực hiện",50%,IF(H131="Đang chờ phối hợp",25%,0%))))</x:f>
        <x:v>0</x:v>
      </x:c>
      <x:c r="J131" s="58" t="str"/>
      <x:c r="K131" s="14" t="str"/>
      <x:c r="L131" s="14" t="str"/>
      <x:c r="M131" s="14" t="str"/>
      <x:c r="N131" s="14" t="str"/>
      <x:c r="O131" s="14" t="str"/>
      <x:c r="P131" s="58" t="str"/>
      <x:c r="Q131" s="14" t="str"/>
    </x:row>
    <x:row r="132">
      <x:c r="A132" s="14" t="str">
        <x:v>VATM-0131</x:v>
      </x:c>
      <x:c r="B132" s="14" t="str">
        <x:v>Quản lý khai thác cảng/sân bay</x:v>
      </x:c>
      <x:c r="C132" s="14" t="str">
        <x:v>Công trình, chướng ngại và thi công</x:v>
      </x:c>
      <x:c r="D132" s="14" t="str">
        <x:v>Rà soát chi tiết yêu cầu của điều này trong kế hoạch khai thác, tài liệu khai thác, thi công, đưa/dừng khai thác; xác định việc VATM phải góp ý, phối hợp, giám sát hoặc cập nhật tin tức hàng không.</x:v>
      </x:c>
      <x:c r="E132" s="14" t="str">
        <x:v>Ban Kế hoạch - Đầu tư; Ban Không lưu; Ban Kỹ thuật - CNS/IT/Môi trường; Ban An toàn - Chất lượng; Trung tâm Thông báo tin tức hàng không; Các Công ty Quản lý bay khu vực Bắc/Trung/Nam</x:v>
      </x:c>
      <x:c r="F132" s="14" t="str">
        <x:v>P1</x:v>
      </x:c>
      <x:c r="G132" s="14" t="str">
        <x:v>Trước thời điểm thay đổi/thi công; theo từng hồ sơ</x:v>
      </x:c>
      <x:c r="H132" s="14" t="str">
        <x:v>Chưa bắt đầu</x:v>
      </x:c>
      <x:c r="I132" s="20" t="n">
        <x:f>IF(H132="Hoàn thành",100%,IF(H132="Không áp dụng",100%,IF(H132="Đang thực hiện",50%,IF(H132="Đang chờ phối hợp",25%,0%))))</x:f>
        <x:v>0</x:v>
      </x:c>
      <x:c r="J132" s="58" t="str"/>
      <x:c r="K132" s="14" t="str"/>
      <x:c r="L132" s="14" t="str"/>
      <x:c r="M132" s="14" t="str"/>
      <x:c r="N132" s="14" t="str"/>
      <x:c r="O132" s="14" t="str"/>
      <x:c r="P132" s="58" t="str"/>
      <x:c r="Q132" s="14" t="str"/>
    </x:row>
    <x:row r="133">
      <x:c r="A133" s="14" t="str">
        <x:v>VATM-0132</x:v>
      </x:c>
      <x:c r="B133" s="14" t="str">
        <x:v>Quản lý khai thác cảng/sân bay</x:v>
      </x:c>
      <x:c r="C133" s="14" t="str">
        <x:v>Công trình, chướng ngại và thi công</x:v>
      </x:c>
      <x:c r="D133" s="14" t="str">
        <x:v>Rà soát chi tiết yêu cầu của điều này trong kế hoạch khai thác, tài liệu khai thác, thi công, đưa/dừng khai thác; xác định việc VATM phải góp ý, phối hợp, giám sát hoặc cập nhật tin tức hàng không.</x:v>
      </x:c>
      <x:c r="E133" s="14" t="str">
        <x:v>Ban Kế hoạch - Đầu tư; Ban Không lưu; Ban Kỹ thuật - CNS/IT/Môi trường; Ban An toàn - Chất lượng; Trung tâm Thông báo tin tức hàng không; Các Công ty Quản lý bay khu vực Bắc/Trung/Nam</x:v>
      </x:c>
      <x:c r="F133" s="14" t="str">
        <x:v>P1</x:v>
      </x:c>
      <x:c r="G133" s="14" t="str">
        <x:v>Trước thời điểm thay đổi/thi công; theo từng hồ sơ</x:v>
      </x:c>
      <x:c r="H133" s="14" t="str">
        <x:v>Chưa bắt đầu</x:v>
      </x:c>
      <x:c r="I133" s="20" t="n">
        <x:f>IF(H133="Hoàn thành",100%,IF(H133="Không áp dụng",100%,IF(H133="Đang thực hiện",50%,IF(H133="Đang chờ phối hợp",25%,0%))))</x:f>
        <x:v>0</x:v>
      </x:c>
      <x:c r="J133" s="58" t="str"/>
      <x:c r="K133" s="14" t="str"/>
      <x:c r="L133" s="14" t="str"/>
      <x:c r="M133" s="14" t="str"/>
      <x:c r="N133" s="14" t="str"/>
      <x:c r="O133" s="14" t="str"/>
      <x:c r="P133" s="58" t="str"/>
      <x:c r="Q133" s="14" t="str"/>
    </x:row>
    <x:row r="134">
      <x:c r="A134" s="14" t="str">
        <x:v>VATM-0133</x:v>
      </x:c>
      <x:c r="B134" s="14" t="str">
        <x:v>Quản lý khai thác cảng/sân bay</x:v>
      </x:c>
      <x:c r="C134" s="14" t="str">
        <x:v>Công trình, chướng ngại và thi công</x:v>
      </x:c>
      <x:c r="D134" s="14" t="str">
        <x:v>Rà soát chi tiết yêu cầu của điều này trong kế hoạch khai thác, tài liệu khai thác, thi công, đưa/dừng khai thác; xác định việc VATM phải góp ý, phối hợp, giám sát hoặc cập nhật tin tức hàng không.</x:v>
      </x:c>
      <x:c r="E134" s="14" t="str">
        <x:v>Ban Kế hoạch - Đầu tư; Ban Không lưu; Ban Kỹ thuật - CNS/IT/Môi trường; Ban An toàn - Chất lượng; Trung tâm Thông báo tin tức hàng không; Các Công ty Quản lý bay khu vực Bắc/Trung/Nam</x:v>
      </x:c>
      <x:c r="F134" s="14" t="str">
        <x:v>P1</x:v>
      </x:c>
      <x:c r="G134" s="14" t="str">
        <x:v>Trước thời điểm thay đổi/thi công; theo từng hồ sơ</x:v>
      </x:c>
      <x:c r="H134" s="14" t="str">
        <x:v>Chưa bắt đầu</x:v>
      </x:c>
      <x:c r="I134" s="20" t="n">
        <x:f>IF(H134="Hoàn thành",100%,IF(H134="Không áp dụng",100%,IF(H134="Đang thực hiện",50%,IF(H134="Đang chờ phối hợp",25%,0%))))</x:f>
        <x:v>0</x:v>
      </x:c>
      <x:c r="J134" s="58" t="str"/>
      <x:c r="K134" s="14" t="str"/>
      <x:c r="L134" s="14" t="str"/>
      <x:c r="M134" s="14" t="str"/>
      <x:c r="N134" s="14" t="str"/>
      <x:c r="O134" s="14" t="str"/>
      <x:c r="P134" s="58" t="str"/>
      <x:c r="Q134" s="14" t="str"/>
    </x:row>
    <x:row r="135">
      <x:c r="A135" s="14" t="str">
        <x:v>VATM-0134</x:v>
      </x:c>
      <x:c r="B135" s="14" t="str">
        <x:v>Quản lý khai thác cảng/sân bay</x:v>
      </x:c>
      <x:c r="C135" s="14" t="str">
        <x:v>Công trình, chướng ngại và thi công</x:v>
      </x:c>
      <x:c r="D135" s="14" t="str">
        <x:v>Kiểm soát nghĩa vụ phối hợp liên quan đóng/mở bãi cất hạ cánh, dây chuyền hoạt động, phương tiện chuyên ngành, sân bay lưỡng dụng, trách nhiệm địa phương và chuyển tiếp pháp lý.</x:v>
      </x:c>
      <x:c r="E135" s="14" t="str">
        <x:v>Ban Kế hoạch - Đầu tư; Ban Không lưu; Ban Kỹ thuật - CNS/IT/Môi trường; Văn phòng - Pháp chế; Trung tâm Thông báo tin tức hàng không; Các Công ty Quản lý bay khu vực Bắc/Trung/Nam</x:v>
      </x:c>
      <x:c r="F135" s="14" t="str">
        <x:v>P1</x:v>
      </x:c>
      <x:c r="G135" s="14" t="str">
        <x:v>Trước/sau 01/7/2026 và khi phát sinh sự kiện</x:v>
      </x:c>
      <x:c r="H135" s="14" t="str">
        <x:v>Chưa bắt đầu</x:v>
      </x:c>
      <x:c r="I135" s="20" t="n">
        <x:f>IF(H135="Hoàn thành",100%,IF(H135="Không áp dụng",100%,IF(H135="Đang thực hiện",50%,IF(H135="Đang chờ phối hợp",25%,0%))))</x:f>
        <x:v>0</x:v>
      </x:c>
      <x:c r="J135" s="58" t="str"/>
      <x:c r="K135" s="14" t="str"/>
      <x:c r="L135" s="14" t="str"/>
      <x:c r="M135" s="14" t="str"/>
      <x:c r="N135" s="14" t="str"/>
      <x:c r="O135" s="14" t="str"/>
      <x:c r="P135" s="58" t="str"/>
      <x:c r="Q135" s="14" t="str"/>
    </x:row>
    <x:row r="136">
      <x:c r="A136" s="14" t="str">
        <x:v>VATM-0135</x:v>
      </x:c>
      <x:c r="B136" s="14" t="str">
        <x:v>Quản lý khai thác cảng/sân bay</x:v>
      </x:c>
      <x:c r="C136" s="14" t="str">
        <x:v>Công trình, chướng ngại và thi công</x:v>
      </x:c>
      <x:c r="D136" s="14" t="str">
        <x:v>Kiểm soát nghĩa vụ phối hợp liên quan đóng/mở bãi cất hạ cánh, dây chuyền hoạt động, phương tiện chuyên ngành, sân bay lưỡng dụng, trách nhiệm địa phương và chuyển tiếp pháp lý.</x:v>
      </x:c>
      <x:c r="E136" s="14" t="str">
        <x:v>Ban Kế hoạch - Đầu tư; Ban Không lưu; Ban Kỹ thuật - CNS/IT/Môi trường; Văn phòng - Pháp chế; Trung tâm Thông báo tin tức hàng không; Các Công ty Quản lý bay khu vực Bắc/Trung/Nam</x:v>
      </x:c>
      <x:c r="F136" s="14" t="str">
        <x:v>P1</x:v>
      </x:c>
      <x:c r="G136" s="14" t="str">
        <x:v>Trước/sau 01/7/2026 và khi phát sinh sự kiện</x:v>
      </x:c>
      <x:c r="H136" s="14" t="str">
        <x:v>Chưa bắt đầu</x:v>
      </x:c>
      <x:c r="I136" s="20" t="n">
        <x:f>IF(H136="Hoàn thành",100%,IF(H136="Không áp dụng",100%,IF(H136="Đang thực hiện",50%,IF(H136="Đang chờ phối hợp",25%,0%))))</x:f>
        <x:v>0</x:v>
      </x:c>
      <x:c r="J136" s="58" t="str"/>
      <x:c r="K136" s="14" t="str"/>
      <x:c r="L136" s="14" t="str"/>
      <x:c r="M136" s="14" t="str"/>
      <x:c r="N136" s="14" t="str"/>
      <x:c r="O136" s="14" t="str"/>
      <x:c r="P136" s="58" t="str"/>
      <x:c r="Q136" s="14" t="str"/>
    </x:row>
    <x:row r="137">
      <x:c r="A137" s="14" t="str">
        <x:v>VATM-0136</x:v>
      </x:c>
      <x:c r="B137" s="14" t="str">
        <x:v>Quản lý khai thác cảng/sân bay</x:v>
      </x:c>
      <x:c r="C137" s="14" t="str">
        <x:v>Công trình, chướng ngại và thi công</x:v>
      </x:c>
      <x:c r="D137" s="14" t="str">
        <x:v>Kiểm soát nghĩa vụ phối hợp liên quan đóng/mở bãi cất hạ cánh, dây chuyền hoạt động, phương tiện chuyên ngành, sân bay lưỡng dụng, trách nhiệm địa phương và chuyển tiếp pháp lý.</x:v>
      </x:c>
      <x:c r="E137" s="14" t="str">
        <x:v>Ban Kế hoạch - Đầu tư; Ban Không lưu; Ban Kỹ thuật - CNS/IT/Môi trường; Văn phòng - Pháp chế; Trung tâm Thông báo tin tức hàng không; Các Công ty Quản lý bay khu vực Bắc/Trung/Nam</x:v>
      </x:c>
      <x:c r="F137" s="14" t="str">
        <x:v>P1</x:v>
      </x:c>
      <x:c r="G137" s="14" t="str">
        <x:v>Trước/sau 01/7/2026 và khi phát sinh sự kiện</x:v>
      </x:c>
      <x:c r="H137" s="14" t="str">
        <x:v>Chưa bắt đầu</x:v>
      </x:c>
      <x:c r="I137" s="20" t="n">
        <x:f>IF(H137="Hoàn thành",100%,IF(H137="Không áp dụng",100%,IF(H137="Đang thực hiện",50%,IF(H137="Đang chờ phối hợp",25%,0%))))</x:f>
        <x:v>0</x:v>
      </x:c>
      <x:c r="J137" s="58" t="str"/>
      <x:c r="K137" s="14" t="str"/>
      <x:c r="L137" s="14" t="str"/>
      <x:c r="M137" s="14" t="str"/>
      <x:c r="N137" s="14" t="str"/>
      <x:c r="O137" s="14" t="str"/>
      <x:c r="P137" s="58" t="str"/>
      <x:c r="Q137" s="14" t="str"/>
    </x:row>
    <x:row r="138">
      <x:c r="A138" s="14" t="str">
        <x:v>VATM-0137</x:v>
      </x:c>
      <x:c r="B138" s="14" t="str">
        <x:v>Quản lý khai thác cảng/sân bay</x:v>
      </x:c>
      <x:c r="C138" s="14" t="str">
        <x:v>Công trình, chướng ngại và thi công</x:v>
      </x:c>
      <x:c r="D138" s="14" t="str">
        <x:v>Kiểm soát nghĩa vụ phối hợp liên quan đóng/mở bãi cất hạ cánh, dây chuyền hoạt động, phương tiện chuyên ngành, sân bay lưỡng dụng, trách nhiệm địa phương và chuyển tiếp pháp lý.</x:v>
      </x:c>
      <x:c r="E138" s="14" t="str">
        <x:v>Ban Kế hoạch - Đầu tư; Ban Không lưu; Ban Kỹ thuật - CNS/IT/Môi trường; Văn phòng - Pháp chế; Trung tâm Thông báo tin tức hàng không; Các Công ty Quản lý bay khu vực Bắc/Trung/Nam</x:v>
      </x:c>
      <x:c r="F138" s="14" t="str">
        <x:v>P1</x:v>
      </x:c>
      <x:c r="G138" s="14" t="str">
        <x:v>Trước/sau 01/7/2026 và khi phát sinh sự kiện</x:v>
      </x:c>
      <x:c r="H138" s="14" t="str">
        <x:v>Chưa bắt đầu</x:v>
      </x:c>
      <x:c r="I138" s="20" t="n">
        <x:f>IF(H138="Hoàn thành",100%,IF(H138="Không áp dụng",100%,IF(H138="Đang thực hiện",50%,IF(H138="Đang chờ phối hợp",25%,0%))))</x:f>
        <x:v>0</x:v>
      </x:c>
      <x:c r="J138" s="58" t="str"/>
      <x:c r="K138" s="14" t="str"/>
      <x:c r="L138" s="14" t="str"/>
      <x:c r="M138" s="14" t="str"/>
      <x:c r="N138" s="14" t="str"/>
      <x:c r="O138" s="14" t="str"/>
      <x:c r="P138" s="58" t="str"/>
      <x:c r="Q138" s="14" t="str"/>
    </x:row>
    <x:row r="139">
      <x:c r="A139" s="14" t="str">
        <x:v>VATM-0138</x:v>
      </x:c>
      <x:c r="B139" s="14" t="str">
        <x:v>Quản lý khai thác cảng/sân bay</x:v>
      </x:c>
      <x:c r="C139" s="14" t="str">
        <x:v>Công trình, chướng ngại và thi công</x:v>
      </x:c>
      <x:c r="D139" s="14" t="str">
        <x:v>Kiểm soát nghĩa vụ phối hợp liên quan đóng/mở bãi cất hạ cánh, dây chuyền hoạt động, phương tiện chuyên ngành, sân bay lưỡng dụng, trách nhiệm địa phương và chuyển tiếp pháp lý.</x:v>
      </x:c>
      <x:c r="E139" s="14" t="str">
        <x:v>Ban Kế hoạch - Đầu tư; Ban Không lưu; Ban Kỹ thuật - CNS/IT/Môi trường; Văn phòng - Pháp chế; Trung tâm Thông báo tin tức hàng không; Các Công ty Quản lý bay khu vực Bắc/Trung/Nam</x:v>
      </x:c>
      <x:c r="F139" s="14" t="str">
        <x:v>P1</x:v>
      </x:c>
      <x:c r="G139" s="14" t="str">
        <x:v>Trước/sau 01/7/2026 và khi phát sinh sự kiện</x:v>
      </x:c>
      <x:c r="H139" s="14" t="str">
        <x:v>Chưa bắt đầu</x:v>
      </x:c>
      <x:c r="I139" s="20" t="n">
        <x:f>IF(H139="Hoàn thành",100%,IF(H139="Không áp dụng",100%,IF(H139="Đang thực hiện",50%,IF(H139="Đang chờ phối hợp",25%,0%))))</x:f>
        <x:v>0</x:v>
      </x:c>
      <x:c r="J139" s="58" t="str"/>
      <x:c r="K139" s="14" t="str"/>
      <x:c r="L139" s="14" t="str"/>
      <x:c r="M139" s="14" t="str"/>
      <x:c r="N139" s="14" t="str"/>
      <x:c r="O139" s="14" t="str"/>
      <x:c r="P139" s="58" t="str"/>
      <x:c r="Q139" s="14" t="str"/>
    </x:row>
    <x:row r="140">
      <x:c r="A140" s="14" t="str">
        <x:v>VATM-0139</x:v>
      </x:c>
      <x:c r="B140" s="14" t="str">
        <x:v>Quản lý khai thác cảng/sân bay</x:v>
      </x:c>
      <x:c r="C140" s="14" t="str">
        <x:v>Công trình, chướng ngại và thi công</x:v>
      </x:c>
      <x:c r="D140" s="14" t="str">
        <x:v>Kiểm soát nghĩa vụ phối hợp liên quan đóng/mở bãi cất hạ cánh, dây chuyền hoạt động, phương tiện chuyên ngành, sân bay lưỡng dụng, trách nhiệm địa phương và chuyển tiếp pháp lý.</x:v>
      </x:c>
      <x:c r="E140" s="14" t="str">
        <x:v>Ban Kế hoạch - Đầu tư; Ban Không lưu; Ban Kỹ thuật - CNS/IT/Môi trường; Văn phòng - Pháp chế; Trung tâm Thông báo tin tức hàng không; Các Công ty Quản lý bay khu vực Bắc/Trung/Nam</x:v>
      </x:c>
      <x:c r="F140" s="14" t="str">
        <x:v>P1</x:v>
      </x:c>
      <x:c r="G140" s="14" t="str">
        <x:v>Trước/sau 01/7/2026 và khi phát sinh sự kiện</x:v>
      </x:c>
      <x:c r="H140" s="14" t="str">
        <x:v>Chưa bắt đầu</x:v>
      </x:c>
      <x:c r="I140" s="20" t="n">
        <x:f>IF(H140="Hoàn thành",100%,IF(H140="Không áp dụng",100%,IF(H140="Đang thực hiện",50%,IF(H140="Đang chờ phối hợp",25%,0%))))</x:f>
        <x:v>0</x:v>
      </x:c>
      <x:c r="J140" s="58" t="str"/>
      <x:c r="K140" s="14" t="str"/>
      <x:c r="L140" s="14" t="str"/>
      <x:c r="M140" s="14" t="str"/>
      <x:c r="N140" s="14" t="str"/>
      <x:c r="O140" s="14" t="str"/>
      <x:c r="P140" s="58" t="str"/>
      <x:c r="Q140" s="14" t="str"/>
    </x:row>
    <x:row r="141">
      <x:c r="A141" s="14" t="str">
        <x:v>VATM-0140</x:v>
      </x:c>
      <x:c r="B141" s="14" t="str">
        <x:v>Quản lý khai thác cảng/sân bay</x:v>
      </x:c>
      <x:c r="C141" s="14" t="str">
        <x:v>Công trình, chướng ngại và thi công</x:v>
      </x:c>
      <x:c r="D141" s="14" t="str">
        <x:v>Kiểm soát nghĩa vụ phối hợp liên quan đóng/mở bãi cất hạ cánh, dây chuyền hoạt động, phương tiện chuyên ngành, sân bay lưỡng dụng, trách nhiệm địa phương và chuyển tiếp pháp lý.</x:v>
      </x:c>
      <x:c r="E141" s="14" t="str">
        <x:v>Ban Kế hoạch - Đầu tư; Ban Không lưu; Ban Kỹ thuật - CNS/IT/Môi trường; Văn phòng - Pháp chế; Trung tâm Thông báo tin tức hàng không; Các Công ty Quản lý bay khu vực Bắc/Trung/Nam</x:v>
      </x:c>
      <x:c r="F141" s="14" t="str">
        <x:v>P1</x:v>
      </x:c>
      <x:c r="G141" s="14" t="str">
        <x:v>Trước/sau 01/7/2026 và khi phát sinh sự kiện</x:v>
      </x:c>
      <x:c r="H141" s="14" t="str">
        <x:v>Chưa bắt đầu</x:v>
      </x:c>
      <x:c r="I141" s="20" t="n">
        <x:f>IF(H141="Hoàn thành",100%,IF(H141="Không áp dụng",100%,IF(H141="Đang thực hiện",50%,IF(H141="Đang chờ phối hợp",25%,0%))))</x:f>
        <x:v>0</x:v>
      </x:c>
      <x:c r="J141" s="58" t="str"/>
      <x:c r="K141" s="14" t="str"/>
      <x:c r="L141" s="14" t="str"/>
      <x:c r="M141" s="14" t="str"/>
      <x:c r="N141" s="14" t="str"/>
      <x:c r="O141" s="14" t="str"/>
      <x:c r="P141" s="58" t="str"/>
      <x:c r="Q141" s="14" t="str"/>
    </x:row>
    <x:row r="142">
      <x:c r="A142" s="14" t="str">
        <x:v>VATM-0141</x:v>
      </x:c>
      <x:c r="B142" s="14" t="str">
        <x:v>Quản lý khai thác cảng/sân bay</x:v>
      </x:c>
      <x:c r="C142" s="14" t="str">
        <x:v>Công trình, chướng ngại và thi công</x:v>
      </x:c>
      <x:c r="D142" s="14" t="str">
        <x:v>Kiểm soát nghĩa vụ phối hợp liên quan đóng/mở bãi cất hạ cánh, dây chuyền hoạt động, phương tiện chuyên ngành, sân bay lưỡng dụng, trách nhiệm địa phương và chuyển tiếp pháp lý.</x:v>
      </x:c>
      <x:c r="E142" s="14" t="str">
        <x:v>Ban Kế hoạch - Đầu tư; Ban Không lưu; Ban Kỹ thuật - CNS/IT/Môi trường; Văn phòng - Pháp chế; Trung tâm Thông báo tin tức hàng không; Các Công ty Quản lý bay khu vực Bắc/Trung/Nam</x:v>
      </x:c>
      <x:c r="F142" s="14" t="str">
        <x:v>P1</x:v>
      </x:c>
      <x:c r="G142" s="14" t="str">
        <x:v>Trước/sau 01/7/2026 và khi phát sinh sự kiện</x:v>
      </x:c>
      <x:c r="H142" s="14" t="str">
        <x:v>Chưa bắt đầu</x:v>
      </x:c>
      <x:c r="I142" s="20" t="n">
        <x:f>IF(H142="Hoàn thành",100%,IF(H142="Không áp dụng",100%,IF(H142="Đang thực hiện",50%,IF(H142="Đang chờ phối hợp",25%,0%))))</x:f>
        <x:v>0</x:v>
      </x:c>
      <x:c r="J142" s="58" t="str"/>
      <x:c r="K142" s="14" t="str"/>
      <x:c r="L142" s="14" t="str"/>
      <x:c r="M142" s="14" t="str"/>
      <x:c r="N142" s="14" t="str"/>
      <x:c r="O142" s="14" t="str"/>
      <x:c r="P142" s="58" t="str"/>
      <x:c r="Q142" s="14" t="str"/>
    </x:row>
    <x:row r="143">
      <x:c r="A143" s="14" t="str">
        <x:v>VATM-0142</x:v>
      </x:c>
      <x:c r="B143" s="14" t="str">
        <x:v>Quản lý khai thác cảng/sân bay</x:v>
      </x:c>
      <x:c r="C143" s="14" t="str">
        <x:v>Công trình, chướng ngại và thi công</x:v>
      </x:c>
      <x:c r="D143" s="14" t="str">
        <x:v>Kiểm soát nghĩa vụ phối hợp liên quan đóng/mở bãi cất hạ cánh, dây chuyền hoạt động, phương tiện chuyên ngành, sân bay lưỡng dụng, trách nhiệm địa phương và chuyển tiếp pháp lý.</x:v>
      </x:c>
      <x:c r="E143" s="14" t="str">
        <x:v>Ban Kế hoạch - Đầu tư; Ban Không lưu; Ban Kỹ thuật - CNS/IT/Môi trường; Văn phòng - Pháp chế; Trung tâm Thông báo tin tức hàng không; Các Công ty Quản lý bay khu vực Bắc/Trung/Nam</x:v>
      </x:c>
      <x:c r="F143" s="14" t="str">
        <x:v>P1</x:v>
      </x:c>
      <x:c r="G143" s="14" t="str">
        <x:v>Trước/sau 01/7/2026 và khi phát sinh sự kiện</x:v>
      </x:c>
      <x:c r="H143" s="14" t="str">
        <x:v>Chưa bắt đầu</x:v>
      </x:c>
      <x:c r="I143" s="20" t="n">
        <x:f>IF(H143="Hoàn thành",100%,IF(H143="Không áp dụng",100%,IF(H143="Đang thực hiện",50%,IF(H143="Đang chờ phối hợp",25%,0%))))</x:f>
        <x:v>0</x:v>
      </x:c>
      <x:c r="J143" s="58" t="str"/>
      <x:c r="K143" s="14" t="str"/>
      <x:c r="L143" s="14" t="str"/>
      <x:c r="M143" s="14" t="str"/>
      <x:c r="N143" s="14" t="str"/>
      <x:c r="O143" s="14" t="str"/>
      <x:c r="P143" s="58" t="str"/>
      <x:c r="Q143" s="14" t="str"/>
    </x:row>
    <x:row r="144">
      <x:c r="A144" s="14" t="str">
        <x:v>VATM-0143</x:v>
      </x:c>
      <x:c r="B144" s="14" t="str">
        <x:v>Quản lý khai thác cảng/sân bay</x:v>
      </x:c>
      <x:c r="C144" s="14" t="str">
        <x:v>Công trình, chướng ngại và thi công</x:v>
      </x:c>
      <x:c r="D144" s="14" t="str">
        <x:v>Kiểm soát nghĩa vụ phối hợp liên quan đóng/mở bãi cất hạ cánh, dây chuyền hoạt động, phương tiện chuyên ngành, sân bay lưỡng dụng, trách nhiệm địa phương và chuyển tiếp pháp lý.</x:v>
      </x:c>
      <x:c r="E144" s="14" t="str">
        <x:v>Ban Kế hoạch - Đầu tư; Ban Không lưu; Ban Kỹ thuật - CNS/IT/Môi trường; Văn phòng - Pháp chế; Trung tâm Thông báo tin tức hàng không; Các Công ty Quản lý bay khu vực Bắc/Trung/Nam</x:v>
      </x:c>
      <x:c r="F144" s="14" t="str">
        <x:v>P1</x:v>
      </x:c>
      <x:c r="G144" s="14" t="str">
        <x:v>Trước/sau 01/7/2026 và khi phát sinh sự kiện</x:v>
      </x:c>
      <x:c r="H144" s="14" t="str">
        <x:v>Chưa bắt đầu</x:v>
      </x:c>
      <x:c r="I144" s="20" t="n">
        <x:f>IF(H144="Hoàn thành",100%,IF(H144="Không áp dụng",100%,IF(H144="Đang thực hiện",50%,IF(H144="Đang chờ phối hợp",25%,0%))))</x:f>
        <x:v>0</x:v>
      </x:c>
      <x:c r="J144" s="58" t="str"/>
      <x:c r="K144" s="14" t="str"/>
      <x:c r="L144" s="14" t="str"/>
      <x:c r="M144" s="14" t="str"/>
      <x:c r="N144" s="14" t="str"/>
      <x:c r="O144" s="14" t="str"/>
      <x:c r="P144" s="58" t="str"/>
      <x:c r="Q144" s="14" t="str"/>
    </x:row>
    <x:row r="145">
      <x:c r="A145" s="14" t="str">
        <x:v>VATM-0144</x:v>
      </x:c>
      <x:c r="B145" s="14" t="str">
        <x:v>Quản lý khai thác cảng/sân bay</x:v>
      </x:c>
      <x:c r="C145" s="14" t="str">
        <x:v>Công trình, chướng ngại và thi công</x:v>
      </x:c>
      <x:c r="D145" s="14" t="str">
        <x:v>Kiểm soát nghĩa vụ phối hợp liên quan đóng/mở bãi cất hạ cánh, dây chuyền hoạt động, phương tiện chuyên ngành, sân bay lưỡng dụng, trách nhiệm địa phương và chuyển tiếp pháp lý.</x:v>
      </x:c>
      <x:c r="E145" s="14" t="str">
        <x:v>Ban Kế hoạch - Đầu tư; Ban Không lưu; Ban Kỹ thuật - CNS/IT/Môi trường; Văn phòng - Pháp chế; Trung tâm Thông báo tin tức hàng không; Các Công ty Quản lý bay khu vực Bắc/Trung/Nam</x:v>
      </x:c>
      <x:c r="F145" s="14" t="str">
        <x:v>P1</x:v>
      </x:c>
      <x:c r="G145" s="14" t="str">
        <x:v>Trước/sau 01/7/2026 và khi phát sinh sự kiện</x:v>
      </x:c>
      <x:c r="H145" s="14" t="str">
        <x:v>Chưa bắt đầu</x:v>
      </x:c>
      <x:c r="I145" s="20" t="n">
        <x:f>IF(H145="Hoàn thành",100%,IF(H145="Không áp dụng",100%,IF(H145="Đang thực hiện",50%,IF(H145="Đang chờ phối hợp",25%,0%))))</x:f>
        <x:v>0</x:v>
      </x:c>
      <x:c r="J145" s="58" t="str"/>
      <x:c r="K145" s="14" t="str"/>
      <x:c r="L145" s="14" t="str"/>
      <x:c r="M145" s="14" t="str"/>
      <x:c r="N145" s="14" t="str"/>
      <x:c r="O145" s="14" t="str"/>
      <x:c r="P145" s="58" t="str"/>
      <x:c r="Q145" s="14" t="str"/>
    </x:row>
    <x:row r="146">
      <x:c r="A146" s="14" t="str">
        <x:v>VATM-0145</x:v>
      </x:c>
      <x:c r="B146" s="14" t="str">
        <x:v>Quản lý khai thác cảng/sân bay</x:v>
      </x:c>
      <x:c r="C146" s="14" t="str">
        <x:v>Công trình, chướng ngại và thi công</x:v>
      </x:c>
      <x:c r="D146" s="14" t="str">
        <x:v>Kiểm soát nghĩa vụ phối hợp liên quan đóng/mở bãi cất hạ cánh, dây chuyền hoạt động, phương tiện chuyên ngành, sân bay lưỡng dụng, trách nhiệm địa phương và chuyển tiếp pháp lý.</x:v>
      </x:c>
      <x:c r="E146" s="14" t="str">
        <x:v>Ban Kế hoạch - Đầu tư; Ban Không lưu; Ban Kỹ thuật - CNS/IT/Môi trường; Văn phòng - Pháp chế; Trung tâm Thông báo tin tức hàng không; Các Công ty Quản lý bay khu vực Bắc/Trung/Nam</x:v>
      </x:c>
      <x:c r="F146" s="14" t="str">
        <x:v>P1</x:v>
      </x:c>
      <x:c r="G146" s="14" t="str">
        <x:v>Trước/sau 01/7/2026 và khi phát sinh sự kiện</x:v>
      </x:c>
      <x:c r="H146" s="14" t="str">
        <x:v>Chưa bắt đầu</x:v>
      </x:c>
      <x:c r="I146" s="20" t="n">
        <x:f>IF(H146="Hoàn thành",100%,IF(H146="Không áp dụng",100%,IF(H146="Đang thực hiện",50%,IF(H146="Đang chờ phối hợp",25%,0%))))</x:f>
        <x:v>0</x:v>
      </x:c>
      <x:c r="J146" s="58" t="str"/>
      <x:c r="K146" s="14" t="str"/>
      <x:c r="L146" s="14" t="str"/>
      <x:c r="M146" s="14" t="str"/>
      <x:c r="N146" s="14" t="str"/>
      <x:c r="O146" s="14" t="str"/>
      <x:c r="P146" s="58" t="str"/>
      <x:c r="Q146" s="14" t="str"/>
    </x:row>
    <x:row r="147">
      <x:c r="A147" s="14" t="str">
        <x:v>VATM-0146</x:v>
      </x:c>
      <x:c r="B147" s="14" t="str">
        <x:v>Quản lý khai thác cảng/sân bay</x:v>
      </x:c>
      <x:c r="C147" s="14" t="str">
        <x:v>Công trình, chướng ngại và thi công</x:v>
      </x:c>
      <x:c r="D147" s="14" t="str">
        <x:v>Kiểm soát nghĩa vụ phối hợp liên quan đóng/mở bãi cất hạ cánh, dây chuyền hoạt động, phương tiện chuyên ngành, sân bay lưỡng dụng, trách nhiệm địa phương và chuyển tiếp pháp lý.</x:v>
      </x:c>
      <x:c r="E147" s="14" t="str">
        <x:v>Ban Kế hoạch - Đầu tư; Ban Không lưu; Ban Kỹ thuật - CNS/IT/Môi trường; Văn phòng - Pháp chế; Trung tâm Thông báo tin tức hàng không; Các Công ty Quản lý bay khu vực Bắc/Trung/Nam</x:v>
      </x:c>
      <x:c r="F147" s="14" t="str">
        <x:v>P1</x:v>
      </x:c>
      <x:c r="G147" s="14" t="str">
        <x:v>Trước/sau 01/7/2026 và khi phát sinh sự kiện</x:v>
      </x:c>
      <x:c r="H147" s="14" t="str">
        <x:v>Chưa bắt đầu</x:v>
      </x:c>
      <x:c r="I147" s="20" t="n">
        <x:f>IF(H147="Hoàn thành",100%,IF(H147="Không áp dụng",100%,IF(H147="Đang thực hiện",50%,IF(H147="Đang chờ phối hợp",25%,0%))))</x:f>
        <x:v>0</x:v>
      </x:c>
      <x:c r="J147" s="58" t="str"/>
      <x:c r="K147" s="14" t="str"/>
      <x:c r="L147" s="14" t="str"/>
      <x:c r="M147" s="14" t="str"/>
      <x:c r="N147" s="14" t="str"/>
      <x:c r="O147" s="14" t="str"/>
      <x:c r="P147" s="58" t="str"/>
      <x:c r="Q147" s="14" t="str"/>
    </x:row>
    <x:row r="148">
      <x:c r="A148" s="14" t="str">
        <x:v>VATM-0147</x:v>
      </x:c>
      <x:c r="B148" s="14" t="str">
        <x:v>Quản lý khai thác cảng/sân bay</x:v>
      </x:c>
      <x:c r="C148" s="14" t="str">
        <x:v>Công trình, chướng ngại và thi công</x:v>
      </x:c>
      <x:c r="D148" s="14" t="str">
        <x:v>Kiểm soát nghĩa vụ phối hợp liên quan đóng/mở bãi cất hạ cánh, dây chuyền hoạt động, phương tiện chuyên ngành, sân bay lưỡng dụng, trách nhiệm địa phương và chuyển tiếp pháp lý.</x:v>
      </x:c>
      <x:c r="E148" s="14" t="str">
        <x:v>Ban Kế hoạch - Đầu tư; Ban Không lưu; Ban Kỹ thuật - CNS/IT/Môi trường; Văn phòng - Pháp chế; Trung tâm Thông báo tin tức hàng không; Các Công ty Quản lý bay khu vực Bắc/Trung/Nam</x:v>
      </x:c>
      <x:c r="F148" s="14" t="str">
        <x:v>P1</x:v>
      </x:c>
      <x:c r="G148" s="14" t="str">
        <x:v>Trước/sau 01/7/2026 và khi phát sinh sự kiện</x:v>
      </x:c>
      <x:c r="H148" s="14" t="str">
        <x:v>Chưa bắt đầu</x:v>
      </x:c>
      <x:c r="I148" s="20" t="n">
        <x:f>IF(H148="Hoàn thành",100%,IF(H148="Không áp dụng",100%,IF(H148="Đang thực hiện",50%,IF(H148="Đang chờ phối hợp",25%,0%))))</x:f>
        <x:v>0</x:v>
      </x:c>
      <x:c r="J148" s="58" t="str"/>
      <x:c r="K148" s="14" t="str"/>
      <x:c r="L148" s="14" t="str"/>
      <x:c r="M148" s="14" t="str"/>
      <x:c r="N148" s="14" t="str"/>
      <x:c r="O148" s="14" t="str"/>
      <x:c r="P148" s="58" t="str"/>
      <x:c r="Q148" s="14" t="str"/>
    </x:row>
    <x:row r="149">
      <x:c r="A149" s="14" t="str">
        <x:v>VATM-0148</x:v>
      </x:c>
      <x:c r="B149" s="14" t="str">
        <x:v>Quản lý khai thác cảng/sân bay</x:v>
      </x:c>
      <x:c r="C149" s="14" t="str">
        <x:v>Công trình, chướng ngại và thi công</x:v>
      </x:c>
      <x:c r="D149" s="14" t="str">
        <x:v>Kiểm soát nghĩa vụ phối hợp liên quan đóng/mở bãi cất hạ cánh, dây chuyền hoạt động, phương tiện chuyên ngành, sân bay lưỡng dụng, trách nhiệm địa phương và chuyển tiếp pháp lý.</x:v>
      </x:c>
      <x:c r="E149" s="14" t="str">
        <x:v>Ban Kế hoạch - Đầu tư; Ban Không lưu; Ban Kỹ thuật - CNS/IT/Môi trường; Văn phòng - Pháp chế; Trung tâm Thông báo tin tức hàng không; Các Công ty Quản lý bay khu vực Bắc/Trung/Nam</x:v>
      </x:c>
      <x:c r="F149" s="14" t="str">
        <x:v>P1</x:v>
      </x:c>
      <x:c r="G149" s="14" t="str">
        <x:v>Trước/sau 01/7/2026 và khi phát sinh sự kiện</x:v>
      </x:c>
      <x:c r="H149" s="14" t="str">
        <x:v>Chưa bắt đầu</x:v>
      </x:c>
      <x:c r="I149" s="20" t="n">
        <x:f>IF(H149="Hoàn thành",100%,IF(H149="Không áp dụng",100%,IF(H149="Đang thực hiện",50%,IF(H149="Đang chờ phối hợp",25%,0%))))</x:f>
        <x:v>0</x:v>
      </x:c>
      <x:c r="J149" s="58" t="str"/>
      <x:c r="K149" s="14" t="str"/>
      <x:c r="L149" s="14" t="str"/>
      <x:c r="M149" s="14" t="str"/>
      <x:c r="N149" s="14" t="str"/>
      <x:c r="O149" s="14" t="str"/>
      <x:c r="P149" s="58" t="str"/>
      <x:c r="Q149" s="14" t="str"/>
    </x:row>
    <x:row r="150">
      <x:c r="A150" s="14" t="str">
        <x:v>VATM-0149</x:v>
      </x:c>
      <x:c r="B150" s="14" t="str">
        <x:v>Quản lý khai thác cảng/sân bay</x:v>
      </x:c>
      <x:c r="C150" s="14" t="str">
        <x:v>Công trình, chướng ngại và thi công</x:v>
      </x:c>
      <x:c r="D150" s="14" t="str">
        <x:v>Kiểm soát nghĩa vụ phối hợp liên quan đóng/mở bãi cất hạ cánh, dây chuyền hoạt động, phương tiện chuyên ngành, sân bay lưỡng dụng, trách nhiệm địa phương và chuyển tiếp pháp lý.</x:v>
      </x:c>
      <x:c r="E150" s="14" t="str">
        <x:v>Ban Kế hoạch - Đầu tư; Ban Không lưu; Ban Kỹ thuật - CNS/IT/Môi trường; Văn phòng - Pháp chế; Trung tâm Thông báo tin tức hàng không; Các Công ty Quản lý bay khu vực Bắc/Trung/Nam</x:v>
      </x:c>
      <x:c r="F150" s="14" t="str">
        <x:v>P1</x:v>
      </x:c>
      <x:c r="G150" s="14" t="str">
        <x:v>Trước/sau 01/7/2026 và khi phát sinh sự kiện</x:v>
      </x:c>
      <x:c r="H150" s="14" t="str">
        <x:v>Chưa bắt đầu</x:v>
      </x:c>
      <x:c r="I150" s="20" t="n">
        <x:f>IF(H150="Hoàn thành",100%,IF(H150="Không áp dụng",100%,IF(H150="Đang thực hiện",50%,IF(H150="Đang chờ phối hợp",25%,0%))))</x:f>
        <x:v>0</x:v>
      </x:c>
      <x:c r="J150" s="58" t="str"/>
      <x:c r="K150" s="14" t="str"/>
      <x:c r="L150" s="14" t="str"/>
      <x:c r="M150" s="14" t="str"/>
      <x:c r="N150" s="14" t="str"/>
      <x:c r="O150" s="14" t="str"/>
      <x:c r="P150" s="58" t="str"/>
      <x:c r="Q150" s="14" t="str"/>
    </x:row>
    <x:row r="151">
      <x:c r="A151" s="14" t="str">
        <x:v>VATM-0150</x:v>
      </x:c>
      <x:c r="B151" s="14" t="str">
        <x:v>An toàn hàng không / SMS</x:v>
      </x:c>
      <x:c r="C151" s="14" t="str">
        <x:v>Chính sách, mục tiêu và văn hóa an toàn</x:v>
      </x:c>
      <x:c r="D151" s="14" t="str">
        <x:v>Bảo đảm đáp ứng chính sách an toàn hàng không dân dụng Việt Nam: an toàn là mục tiêu cao nhất; quản lý an toàn chủ động; kết hợp giám sát tuân thủ, giám sát dựa trên rủi ro/kết quả; thúc đẩy báo cáo, chia sẻ thông tin và văn hóa an toàn; bảo đảm nguồn lực.</x:v>
      </x:c>
      <x:c r="E151" s="14" t="str">
        <x:v>Ban An toàn - Chất lượng</x:v>
      </x:c>
      <x:c r="F151" s="14" t="str">
        <x:v>P2</x:v>
      </x:c>
      <x:c r="G151" s="14" t="str">
        <x:v>Thường xuyên; rà soát khi chính sách quốc gia hoặc hoạt động của tổ chức thay đổi.</x:v>
      </x:c>
      <x:c r="H151" s="14" t="str">
        <x:v>Chưa bắt đầu</x:v>
      </x:c>
      <x:c r="I151" s="20" t="n">
        <x:f>IF(H151="Hoàn thành",100%,IF(H151="Không áp dụng",100%,IF(H151="Đang thực hiện",50%,IF(H151="Đang chờ phối hợp",25%,0%))))</x:f>
        <x:v>0</x:v>
      </x:c>
      <x:c r="J151" s="58" t="str"/>
      <x:c r="K151" s="14" t="str"/>
      <x:c r="L151" s="14" t="str"/>
      <x:c r="M151" s="14" t="str"/>
      <x:c r="N151" s="14" t="str"/>
      <x:c r="O151" s="14" t="str"/>
      <x:c r="P151" s="58" t="str"/>
      <x:c r="Q151" s="14" t="str"/>
    </x:row>
    <x:row r="152">
      <x:c r="A152" s="14" t="str">
        <x:v>VATM-0151</x:v>
      </x:c>
      <x:c r="B152" s="14" t="str">
        <x:v>An toàn hàng không / SMS</x:v>
      </x:c>
      <x:c r="C152" s="14" t="str">
        <x:v>Khung SMS và quản trị an toàn</x:v>
      </x:c>
      <x:c r="D152" s="14" t="str">
        <x:v>Xây dựng kế hoạch, biện pháp nhằm triển khai, thực hiện Kế hoạch an toàn hàng không dân dụng Việt Nam do Cục Hàng không Việt Nam ban hành.</x:v>
      </x:c>
      <x:c r="E152" s="14" t="str">
        <x:v>Ban An toàn - Chất lượng</x:v>
      </x:c>
      <x:c r="F152" s="14" t="str">
        <x:v>P2</x:v>
      </x:c>
      <x:c r="G152" s="14" t="str">
        <x:v>Theo giai đoạn của Kế hoạch an toàn quốc gia; cập nhật khi Cục HKVN ban hành/sửa đổi.</x:v>
      </x:c>
      <x:c r="H152" s="14" t="str">
        <x:v>Chưa bắt đầu</x:v>
      </x:c>
      <x:c r="I152" s="20" t="n">
        <x:f>IF(H152="Hoàn thành",100%,IF(H152="Không áp dụng",100%,IF(H152="Đang thực hiện",50%,IF(H152="Đang chờ phối hợp",25%,0%))))</x:f>
        <x:v>0</x:v>
      </x:c>
      <x:c r="J152" s="58" t="str"/>
      <x:c r="K152" s="14" t="str"/>
      <x:c r="L152" s="14" t="str"/>
      <x:c r="M152" s="14" t="str"/>
      <x:c r="N152" s="14" t="str"/>
      <x:c r="O152" s="14" t="str"/>
      <x:c r="P152" s="58" t="str"/>
      <x:c r="Q152" s="14" t="str"/>
    </x:row>
    <x:row r="153">
      <x:c r="A153" s="14" t="str">
        <x:v>VATM-0152</x:v>
      </x:c>
      <x:c r="B153" s="14" t="str">
        <x:v>An toàn hàng không / SMS</x:v>
      </x:c>
      <x:c r="C153" s="14" t="str">
        <x:v>Chính sách, mục tiêu và văn hóa an toàn</x:v>
      </x:c>
      <x:c r="D153" s="14" t="str">
        <x:v>Xây dựng, triển khai thực hiện SMS; nội dung SMS thực hiện theo Phụ lục I.</x:v>
      </x:c>
      <x:c r="E153" s="14" t="str">
        <x:v>Ban An toàn - Chất lượng</x:v>
      </x:c>
      <x:c r="F153" s="14" t="str">
        <x:v>P2</x:v>
      </x:c>
      <x:c r="G153" s="14" t="str">
        <x:v>Thiết lập và duy trì thường xuyên; rà soát định kỳ và khi thay đổi.</x:v>
      </x:c>
      <x:c r="H153" s="14" t="str">
        <x:v>Chưa bắt đầu</x:v>
      </x:c>
      <x:c r="I153" s="20" t="n">
        <x:f>IF(H153="Hoàn thành",100%,IF(H153="Không áp dụng",100%,IF(H153="Đang thực hiện",50%,IF(H153="Đang chờ phối hợp",25%,0%))))</x:f>
        <x:v>0</x:v>
      </x:c>
      <x:c r="J153" s="58" t="str"/>
      <x:c r="K153" s="14" t="str"/>
      <x:c r="L153" s="14" t="str"/>
      <x:c r="M153" s="14" t="str"/>
      <x:c r="N153" s="14" t="str"/>
      <x:c r="O153" s="14" t="str"/>
      <x:c r="P153" s="58" t="str"/>
      <x:c r="Q153" s="14" t="str"/>
    </x:row>
    <x:row r="154">
      <x:c r="A154" s="14" t="str">
        <x:v>VATM-0153</x:v>
      </x:c>
      <x:c r="B154" s="14" t="str">
        <x:v>An toàn hàng không / SMS</x:v>
      </x:c>
      <x:c r="C154" s="14" t="str">
        <x:v>Báo cáo MOR, sự cố và điều tra</x:v>
      </x:c>
      <x:c r="D154" s="14" t="str">
        <x:v>Trên cơ sở Bộ chỉ số thực hiện an toàn hàng không dân dụng Việt Nam, triển khai thu thập, phân tích, theo dõi và thực hiện biện pháp để đáp ứng chỉ tiêu thực hiện an toàn của các SPI tại Phụ lục II.</x:v>
      </x:c>
      <x:c r="E154" s="14" t="str">
        <x:v>Ban An toàn - Chất lượng</x:v>
      </x:c>
      <x:c r="F154" s="14" t="str">
        <x:v>P2</x:v>
      </x:c>
      <x:c r="G154" s="14" t="str">
        <x:v>Theo chu kỳ giám sát và báo cáo; quy định SPI/SPT tại Điều 10 áp dụng từ 01/01/2027; Cục HKVN công bố SPT trước ngày 15/01 hằng năm.</x:v>
      </x:c>
      <x:c r="H154" s="14" t="str">
        <x:v>Chưa bắt đầu</x:v>
      </x:c>
      <x:c r="I154" s="20" t="n">
        <x:f>IF(H154="Hoàn thành",100%,IF(H154="Không áp dụng",100%,IF(H154="Đang thực hiện",50%,IF(H154="Đang chờ phối hợp",25%,0%))))</x:f>
        <x:v>0</x:v>
      </x:c>
      <x:c r="J154" s="58" t="str"/>
      <x:c r="K154" s="14" t="str"/>
      <x:c r="L154" s="14" t="str"/>
      <x:c r="M154" s="14" t="str"/>
      <x:c r="N154" s="14" t="str"/>
      <x:c r="O154" s="14" t="str"/>
      <x:c r="P154" s="58" t="str"/>
      <x:c r="Q154" s="14" t="str"/>
    </x:row>
    <x:row r="155">
      <x:c r="A155" s="14" t="str">
        <x:v>VATM-0154</x:v>
      </x:c>
      <x:c r="B155" s="14" t="str">
        <x:v>An toàn hàng không / SMS</x:v>
      </x:c>
      <x:c r="C155" s="14" t="str">
        <x:v>Chính sách, mục tiêu và văn hóa an toàn</x:v>
      </x:c>
      <x:c r="D155" s="14" t="str">
        <x:v>Xây dựng, triển khai bộ SPI và SPT riêng của tổ chức phù hợp với mục tiêu an toàn quốc gia, Kế hoạch an toàn quốc gia và Bộ SPI quốc gia.</x:v>
      </x:c>
      <x:c r="E155" s="14" t="str">
        <x:v>Ban An toàn - Chất lượng</x:v>
      </x:c>
      <x:c r="F155" s="14" t="str">
        <x:v>P2</x:v>
      </x:c>
      <x:c r="G155" s="14" t="str">
        <x:v>Xây dựng hằng năm và cập nhật khi thay đổi quy mô/rủi ro; đưa SPT dự kiến năm tiếp theo vào báo cáo năm.</x:v>
      </x:c>
      <x:c r="H155" s="14" t="str">
        <x:v>Chưa bắt đầu</x:v>
      </x:c>
      <x:c r="I155" s="20" t="n">
        <x:f>IF(H155="Hoàn thành",100%,IF(H155="Không áp dụng",100%,IF(H155="Đang thực hiện",50%,IF(H155="Đang chờ phối hợp",25%,0%))))</x:f>
        <x:v>0</x:v>
      </x:c>
      <x:c r="J155" s="58" t="str"/>
      <x:c r="K155" s="14" t="str"/>
      <x:c r="L155" s="14" t="str"/>
      <x:c r="M155" s="14" t="str"/>
      <x:c r="N155" s="14" t="str"/>
      <x:c r="O155" s="14" t="str"/>
      <x:c r="P155" s="58" t="str"/>
      <x:c r="Q155" s="14" t="str"/>
    </x:row>
    <x:row r="156">
      <x:c r="A156" s="14" t="str">
        <x:v>VATM-0155</x:v>
      </x:c>
      <x:c r="B156" s="14" t="str">
        <x:v>An toàn hàng không / SMS</x:v>
      </x:c>
      <x:c r="C156" s="14" t="str">
        <x:v>Quản lý rủi ro và thay đổi</x:v>
      </x:c>
      <x:c r="D156" s="14" t="str">
        <x:v>Khi chỉ tiêu của SPI chạm hoặc vượt ngưỡng cảnh báo, phải đánh giá rủi ro, xác định nguyên nhân và triển khai ngay biện pháp can thiệp, giảm thiểu rủi ro phù hợp.</x:v>
      </x:c>
      <x:c r="E156" s="14" t="str">
        <x:v>Ban An toàn - Chất lượng</x:v>
      </x:c>
      <x:c r="F156" s="14" t="str">
        <x:v>P2</x:v>
      </x:c>
      <x:c r="G156" s="14" t="str">
        <x:v>Ngay khi chạm/vượt ngưỡng cảnh báo.</x:v>
      </x:c>
      <x:c r="H156" s="14" t="str">
        <x:v>Chưa bắt đầu</x:v>
      </x:c>
      <x:c r="I156" s="20" t="n">
        <x:f>IF(H156="Hoàn thành",100%,IF(H156="Không áp dụng",100%,IF(H156="Đang thực hiện",50%,IF(H156="Đang chờ phối hợp",25%,0%))))</x:f>
        <x:v>0</x:v>
      </x:c>
      <x:c r="J156" s="58" t="str"/>
      <x:c r="K156" s="14" t="str"/>
      <x:c r="L156" s="14" t="str"/>
      <x:c r="M156" s="14" t="str"/>
      <x:c r="N156" s="14" t="str"/>
      <x:c r="O156" s="14" t="str"/>
      <x:c r="P156" s="58" t="str"/>
      <x:c r="Q156" s="14" t="str"/>
    </x:row>
    <x:row r="157">
      <x:c r="A157" s="14" t="str">
        <x:v>VATM-0156</x:v>
      </x:c>
      <x:c r="B157" s="14" t="str">
        <x:v>An toàn hàng không / SMS</x:v>
      </x:c>
      <x:c r="C157" s="14" t="str">
        <x:v>Quản lý rủi ro và thay đổi</x:v>
      </x:c>
      <x:c r="D157" s="14" t="str">
        <x:v>Thực hiện nhận diện mối nguy, lập danh mục mối nguy, phân tích hậu quả, đánh giá rủi ro, xác định biện pháp ngăn ngừa/giảm thiểu, đánh giá hiệu quả kiểm soát; báo cáo Cục HKVN định kỳ hằng quý và kiến nghị biện pháp cải thiện an toàn.</x:v>
      </x:c>
      <x:c r="E157" s="14" t="str">
        <x:v>Ban An toàn - Chất lượng</x:v>
      </x:c>
      <x:c r="F157" s="14" t="str">
        <x:v>P2</x:v>
      </x:c>
      <x:c r="G157" s="14" t="str">
        <x:v>Thường xuyên; báo cáo định kỳ hằng quý.</x:v>
      </x:c>
      <x:c r="H157" s="14" t="str">
        <x:v>Chưa bắt đầu</x:v>
      </x:c>
      <x:c r="I157" s="20" t="n">
        <x:f>IF(H157="Hoàn thành",100%,IF(H157="Không áp dụng",100%,IF(H157="Đang thực hiện",50%,IF(H157="Đang chờ phối hợp",25%,0%))))</x:f>
        <x:v>0</x:v>
      </x:c>
      <x:c r="J157" s="58" t="str"/>
      <x:c r="K157" s="14" t="str"/>
      <x:c r="L157" s="14" t="str"/>
      <x:c r="M157" s="14" t="str"/>
      <x:c r="N157" s="14" t="str"/>
      <x:c r="O157" s="14" t="str"/>
      <x:c r="P157" s="58" t="str"/>
      <x:c r="Q157" s="14" t="str"/>
    </x:row>
    <x:row r="158">
      <x:c r="A158" s="14" t="str">
        <x:v>VATM-0157</x:v>
      </x:c>
      <x:c r="B158" s="14" t="str">
        <x:v>An toàn hàng không / SMS</x:v>
      </x:c>
      <x:c r="C158" s="14" t="str">
        <x:v>Báo cáo MOR, sự cố và điều tra</x:v>
      </x:c>
      <x:c r="D158" s="14" t="str">
        <x:v>Phối hợp, chấp hành hoạt động giám sát an toàn hàng không; thực hiện đầy đủ, đúng thời hạn việc khắc phục các nội dung không phù hợp và khuyến cáo an toàn của Nhà chức trách hàng không Việt Nam.</x:v>
      </x:c>
      <x:c r="E158" s="14" t="str">
        <x:v>Ban An toàn - Chất lượng</x:v>
      </x:c>
      <x:c r="F158" s="14" t="str">
        <x:v>P2</x:v>
      </x:c>
      <x:c r="G158" s="14" t="str">
        <x:v>Theo yêu cầu/đợt giám sát; đúng thời hạn được giao.</x:v>
      </x:c>
      <x:c r="H158" s="14" t="str">
        <x:v>Chưa bắt đầu</x:v>
      </x:c>
      <x:c r="I158" s="20" t="n">
        <x:f>IF(H158="Hoàn thành",100%,IF(H158="Không áp dụng",100%,IF(H158="Đang thực hiện",50%,IF(H158="Đang chờ phối hợp",25%,0%))))</x:f>
        <x:v>0</x:v>
      </x:c>
      <x:c r="J158" s="58" t="str"/>
      <x:c r="K158" s="14" t="str"/>
      <x:c r="L158" s="14" t="str"/>
      <x:c r="M158" s="14" t="str"/>
      <x:c r="N158" s="14" t="str"/>
      <x:c r="O158" s="14" t="str"/>
      <x:c r="P158" s="58" t="str"/>
      <x:c r="Q158" s="14" t="str"/>
    </x:row>
    <x:row r="159">
      <x:c r="A159" s="14" t="str">
        <x:v>VATM-0158</x:v>
      </x:c>
      <x:c r="B159" s="14" t="str">
        <x:v>An toàn hàng không / SMS</x:v>
      </x:c>
      <x:c r="C159" s="14" t="str">
        <x:v>Khung SMS và quản trị an toàn</x:v>
      </x:c>
      <x:c r="D159" s="14" t="str">
        <x:v>Tổ chức đào tạo, huấn luyện, bồi dưỡng về Chương trình an toàn HKDD Việt Nam, Kế hoạch an toàn HKDD Việt Nam và SMS cho toàn bộ cấp quản lý và nhân viên liên quan đến công tác bảo đảm an toàn; nội dung theo từng đối tượng nhân viên hàng không; lưu giữ hồ sơ đào tạo.</x:v>
      </x:c>
      <x:c r="E159" s="14" t="str">
        <x:v>Ban An toàn - Chất lượng</x:v>
      </x:c>
      <x:c r="F159" s="14" t="str">
        <x:v>P2</x:v>
      </x:c>
      <x:c r="G159" s="14" t="str">
        <x:v>Định kỳ theo kế hoạch đào tạo; khi có thay đổi lớn; lưu hồ sơ thường xuyên.</x:v>
      </x:c>
      <x:c r="H159" s="14" t="str">
        <x:v>Chưa bắt đầu</x:v>
      </x:c>
      <x:c r="I159" s="20" t="n">
        <x:f>IF(H159="Hoàn thành",100%,IF(H159="Không áp dụng",100%,IF(H159="Đang thực hiện",50%,IF(H159="Đang chờ phối hợp",25%,0%))))</x:f>
        <x:v>0</x:v>
      </x:c>
      <x:c r="J159" s="58" t="str"/>
      <x:c r="K159" s="14" t="str"/>
      <x:c r="L159" s="14" t="str"/>
      <x:c r="M159" s="14" t="str"/>
      <x:c r="N159" s="14" t="str"/>
      <x:c r="O159" s="14" t="str"/>
      <x:c r="P159" s="58" t="str"/>
      <x:c r="Q159" s="14" t="str"/>
    </x:row>
    <x:row r="160">
      <x:c r="A160" s="14" t="str">
        <x:v>VATM-0159</x:v>
      </x:c>
      <x:c r="B160" s="14" t="str">
        <x:v>An toàn hàng không / SMS</x:v>
      </x:c>
      <x:c r="C160" s="14" t="str">
        <x:v>Bảo đảm an toàn, giám sát và audit</x:v>
      </x:c>
      <x:c r="D160" s="14" t="str">
        <x:v>Thực hiện yêu cầu bảo vệ dữ liệu an toàn, thông tin an toàn; có quy trình thu thập, tiếp cận, sử dụng, lưu trữ, cung cấp, chia sẻ, công bố; không sử dụng sai mục đích; tuân thủ bảo vệ dữ liệu cá nhân, bí mật nhà nước và pháp luật liên quan.</x:v>
      </x:c>
      <x:c r="E160" s="14" t="str">
        <x:v>Ban An toàn - Chất lượng</x:v>
      </x:c>
      <x:c r="F160" s="14" t="str">
        <x:v>P2</x:v>
      </x:c>
      <x:c r="G160" s="14" t="str">
        <x:v>Thường xuyên; khi thu thập, lưu trữ, chia sẻ, công bố dữ liệu/thông tin an toàn.</x:v>
      </x:c>
      <x:c r="H160" s="14" t="str">
        <x:v>Chưa bắt đầu</x:v>
      </x:c>
      <x:c r="I160" s="20" t="n">
        <x:f>IF(H160="Hoàn thành",100%,IF(H160="Không áp dụng",100%,IF(H160="Đang thực hiện",50%,IF(H160="Đang chờ phối hợp",25%,0%))))</x:f>
        <x:v>0</x:v>
      </x:c>
      <x:c r="J160" s="58" t="str"/>
      <x:c r="K160" s="14" t="str"/>
      <x:c r="L160" s="14" t="str"/>
      <x:c r="M160" s="14" t="str"/>
      <x:c r="N160" s="14" t="str"/>
      <x:c r="O160" s="14" t="str"/>
      <x:c r="P160" s="58" t="str"/>
      <x:c r="Q160" s="14" t="str"/>
    </x:row>
    <x:row r="161">
      <x:c r="A161" s="14" t="str">
        <x:v>VATM-0160</x:v>
      </x:c>
      <x:c r="B161" s="14" t="str">
        <x:v>An toàn hàng không / SMS</x:v>
      </x:c>
      <x:c r="C161" s="14" t="str">
        <x:v>Khung SMS và quản trị an toàn</x:v>
      </x:c>
      <x:c r="D161" s="14" t="str">
        <x:v>Kiểm soát chặt chẽ việc tiếp cận, khai thác, sử dụng, cung cấp và công bố; chỉ thực hiện theo yêu cầu của cơ quan nhà nước có thẩm quyền.</x:v>
      </x:c>
      <x:c r="E161" s="14" t="str">
        <x:v>Ban An toàn - Chất lượng</x:v>
      </x:c>
      <x:c r="F161" s="14" t="str">
        <x:v>P2</x:v>
      </x:c>
      <x:c r="G161" s="14" t="str">
        <x:v>Thường xuyên; mỗi lần tiếp cận/khai thác/cung cấp dữ liệu.</x:v>
      </x:c>
      <x:c r="H161" s="14" t="str">
        <x:v>Chưa bắt đầu</x:v>
      </x:c>
      <x:c r="I161" s="20" t="n">
        <x:f>IF(H161="Hoàn thành",100%,IF(H161="Không áp dụng",100%,IF(H161="Đang thực hiện",50%,IF(H161="Đang chờ phối hợp",25%,0%))))</x:f>
        <x:v>0</x:v>
      </x:c>
      <x:c r="J161" s="58" t="str"/>
      <x:c r="K161" s="14" t="str"/>
      <x:c r="L161" s="14" t="str"/>
      <x:c r="M161" s="14" t="str"/>
      <x:c r="N161" s="14" t="str"/>
      <x:c r="O161" s="14" t="str"/>
      <x:c r="P161" s="58" t="str"/>
      <x:c r="Q161" s="14" t="str"/>
    </x:row>
    <x:row r="162">
      <x:c r="A162" s="14" t="str">
        <x:v>VATM-0161</x:v>
      </x:c>
      <x:c r="B162" s="14" t="str">
        <x:v>An toàn hàng không / SMS</x:v>
      </x:c>
      <x:c r="C162" s="14" t="str">
        <x:v>Khung SMS và quản trị an toàn</x:v>
      </x:c>
      <x:c r="D162" s="14" t="str">
        <x:v>Thiết lập và duy trì cơ chế thu thập, ghi nhận, phân tích, lưu giữ, bảo mật dữ liệu/thông tin an toàn; cung cấp kịp thời dữ liệu/thông tin thuộc trách nhiệm theo yêu cầu của Cục HKVN; bảo đảm tính chính xác, hợp pháp; phổ biến kịp thời thông tin/khuyến cáo an toàn của Cục HKVN và thông tin an toàn nội bộ/liên quan.</x:v>
      </x:c>
      <x:c r="E162" s="14" t="str">
        <x:v>Ban An toàn - Chất lượng</x:v>
      </x:c>
      <x:c r="F162" s="14" t="str">
        <x:v>P2</x:v>
      </x:c>
      <x:c r="G162" s="14" t="str">
        <x:v>Thường xuyên; kịp thời theo yêu cầu Cục HKVN hoặc khi có thông tin an toàn.</x:v>
      </x:c>
      <x:c r="H162" s="14" t="str">
        <x:v>Chưa bắt đầu</x:v>
      </x:c>
      <x:c r="I162" s="20" t="n">
        <x:f>IF(H162="Hoàn thành",100%,IF(H162="Không áp dụng",100%,IF(H162="Đang thực hiện",50%,IF(H162="Đang chờ phối hợp",25%,0%))))</x:f>
        <x:v>0</x:v>
      </x:c>
      <x:c r="J162" s="58" t="str"/>
      <x:c r="K162" s="14" t="str"/>
      <x:c r="L162" s="14" t="str"/>
      <x:c r="M162" s="14" t="str"/>
      <x:c r="N162" s="14" t="str"/>
      <x:c r="O162" s="14" t="str"/>
      <x:c r="P162" s="58" t="str"/>
      <x:c r="Q162" s="14" t="str"/>
    </x:row>
    <x:row r="163">
      <x:c r="A163" s="14" t="str">
        <x:v>VATM-0162</x:v>
      </x:c>
      <x:c r="B163" s="14" t="str">
        <x:v>An toàn hàng không / SMS</x:v>
      </x:c>
      <x:c r="C163" s="14" t="str">
        <x:v>Báo cáo MOR, sự cố và điều tra</x:v>
      </x:c>
      <x:c r="D163" s="14" t="str">
        <x:v>Tham gia hoạt động hợp tác quốc tế về an toàn hàng không trong phạm vi chức năng, nhiệm vụ, quyền hạn theo quy định pháp luật.</x:v>
      </x:c>
      <x:c r="E163" s="14" t="str">
        <x:v>Ban An toàn - Chất lượng</x:v>
      </x:c>
      <x:c r="F163" s="14" t="str">
        <x:v>P2</x:v>
      </x:c>
      <x:c r="G163" s="14" t="str">
        <x:v>Khi được giao hoặc trong phạm vi chức năng, nhiệm vụ.</x:v>
      </x:c>
      <x:c r="H163" s="14" t="str">
        <x:v>Chưa bắt đầu</x:v>
      </x:c>
      <x:c r="I163" s="20" t="n">
        <x:f>IF(H163="Hoàn thành",100%,IF(H163="Không áp dụng",100%,IF(H163="Đang thực hiện",50%,IF(H163="Đang chờ phối hợp",25%,0%))))</x:f>
        <x:v>0</x:v>
      </x:c>
      <x:c r="J163" s="58" t="str"/>
      <x:c r="K163" s="14" t="str"/>
      <x:c r="L163" s="14" t="str"/>
      <x:c r="M163" s="14" t="str"/>
      <x:c r="N163" s="14" t="str"/>
      <x:c r="O163" s="14" t="str"/>
      <x:c r="P163" s="58" t="str"/>
      <x:c r="Q163" s="14" t="str"/>
    </x:row>
    <x:row r="164">
      <x:c r="A164" s="14" t="str">
        <x:v>VATM-0163</x:v>
      </x:c>
      <x:c r="B164" s="14" t="str">
        <x:v>An toàn hàng không / SMS</x:v>
      </x:c>
      <x:c r="C164" s="14" t="str">
        <x:v>Báo cáo MOR, sự cố và điều tra</x:v>
      </x:c>
      <x:c r="D164" s="14" t="str">
        <x:v>Thiết lập hệ thống báo cáo an toàn hàng không tới Cục HKVN, bao gồm báo cáo bắt buộc, báo cáo tự nguyện, báo cáo kết quả điều tra/xác minh nội bộ/giảng bình và báo cáo an toàn định kỳ; hình thức có thể là giấy, điện tử hoặc số.</x:v>
      </x:c>
      <x:c r="E164" s="14" t="str">
        <x:v>Ban An toàn - Chất lượng</x:v>
      </x:c>
      <x:c r="F164" s="14" t="str">
        <x:v>P2</x:v>
      </x:c>
      <x:c r="G164" s="14" t="str">
        <x:v>Thiết lập và duy trì thường xuyên.</x:v>
      </x:c>
      <x:c r="H164" s="14" t="str">
        <x:v>Chưa bắt đầu</x:v>
      </x:c>
      <x:c r="I164" s="20" t="n">
        <x:f>IF(H164="Hoàn thành",100%,IF(H164="Không áp dụng",100%,IF(H164="Đang thực hiện",50%,IF(H164="Đang chờ phối hợp",25%,0%))))</x:f>
        <x:v>0</x:v>
      </x:c>
      <x:c r="J164" s="58" t="str"/>
      <x:c r="K164" s="14" t="str"/>
      <x:c r="L164" s="14" t="str"/>
      <x:c r="M164" s="14" t="str"/>
      <x:c r="N164" s="14" t="str"/>
      <x:c r="O164" s="14" t="str"/>
      <x:c r="P164" s="58" t="str"/>
      <x:c r="Q164" s="14" t="str"/>
    </x:row>
    <x:row r="165">
      <x:c r="A165" s="14" t="str">
        <x:v>VATM-0164</x:v>
      </x:c>
      <x:c r="B165" s="14" t="str">
        <x:v>An toàn hàng không / SMS</x:v>
      </x:c>
      <x:c r="C165" s="14" t="str">
        <x:v>Báo cáo MOR, sự cố và điều tra</x:v>
      </x:c>
      <x:c r="D165" s="14" t="str">
        <x:v>Bảo đảm khả năng đồng bộ/kết nối với hệ thống thu thập và phân tích dữ liệu an toàn hàng không do Cục HKVN triển khai, khi có hướng dẫn.</x:v>
      </x:c>
      <x:c r="E165" s="14" t="str">
        <x:v>Ban An toàn - Chất lượng</x:v>
      </x:c>
      <x:c r="F165" s="14" t="str">
        <x:v>P2</x:v>
      </x:c>
      <x:c r="G165" s="14" t="str">
        <x:v>Khi Cục HKVN triển khai/hướng dẫn; duy trì sẵn sàng.</x:v>
      </x:c>
      <x:c r="H165" s="14" t="str">
        <x:v>Chưa bắt đầu</x:v>
      </x:c>
      <x:c r="I165" s="20" t="n">
        <x:f>IF(H165="Hoàn thành",100%,IF(H165="Không áp dụng",100%,IF(H165="Đang thực hiện",50%,IF(H165="Đang chờ phối hợp",25%,0%))))</x:f>
        <x:v>0</x:v>
      </x:c>
      <x:c r="J165" s="58" t="str"/>
      <x:c r="K165" s="14" t="str"/>
      <x:c r="L165" s="14" t="str"/>
      <x:c r="M165" s="14" t="str"/>
      <x:c r="N165" s="14" t="str"/>
      <x:c r="O165" s="14" t="str"/>
      <x:c r="P165" s="58" t="str"/>
      <x:c r="Q165" s="14" t="str"/>
    </x:row>
    <x:row r="166">
      <x:c r="A166" s="14" t="str">
        <x:v>VATM-0165</x:v>
      </x:c>
      <x:c r="B166" s="14" t="str">
        <x:v>An toàn hàng không / SMS</x:v>
      </x:c>
      <x:c r="C166" s="14" t="str">
        <x:v>Báo cáo MOR, sự cố và điều tra</x:v>
      </x:c>
      <x:c r="D166" s="14" t="str">
        <x:v>Báo cáo ngay lập tức hoặc ngay khi có thể đến Cục HKVN bằng phương tiện thông tin thuận tiện nhất với thông tin tối thiểu: tóm tắt vụ việc, thời gian, địa điểm, đánh giá sơ bộ ảnh hưởng, kế hoạch/phương án/hành động khắc phục nếu có.</x:v>
      </x:c>
      <x:c r="E166" s="14" t="str">
        <x:v>Ban An toàn - Chất lượng</x:v>
      </x:c>
      <x:c r="F166" s="14" t="str">
        <x:v>P2</x:v>
      </x:c>
      <x:c r="G166" s="14" t="str">
        <x:v>Ngay lập tức hoặc ngay khi có thể.</x:v>
      </x:c>
      <x:c r="H166" s="14" t="str">
        <x:v>Chưa bắt đầu</x:v>
      </x:c>
      <x:c r="I166" s="20" t="n">
        <x:f>IF(H166="Hoàn thành",100%,IF(H166="Không áp dụng",100%,IF(H166="Đang thực hiện",50%,IF(H166="Đang chờ phối hợp",25%,0%))))</x:f>
        <x:v>0</x:v>
      </x:c>
      <x:c r="J166" s="58" t="str"/>
      <x:c r="K166" s="14" t="str"/>
      <x:c r="L166" s="14" t="str"/>
      <x:c r="M166" s="14" t="str"/>
      <x:c r="N166" s="14" t="str"/>
      <x:c r="O166" s="14" t="str"/>
      <x:c r="P166" s="58" t="str"/>
      <x:c r="Q166" s="14" t="str"/>
    </x:row>
    <x:row r="167">
      <x:c r="A167" s="14" t="str">
        <x:v>VATM-0166</x:v>
      </x:c>
      <x:c r="B167" s="14" t="str">
        <x:v>An toàn hàng không / SMS</x:v>
      </x:c>
      <x:c r="C167" s="14" t="str">
        <x:v>Báo cáo MOR, sự cố và điều tra</x:v>
      </x:c>
      <x:c r="D167" s="14" t="str">
        <x:v>Gửi Báo cáo sự cố an toàn hàng không bắt buộc đến Cục HKVN trong thời gian sớm nhất: tối đa 24 giờ đối với sự cố, tai nạn; tối đa 72 giờ đối với vụ việc, trừ bất khả kháng.</x:v>
      </x:c>
      <x:c r="E167" s="14" t="str">
        <x:v>Ban An toàn - Chất lượng</x:v>
      </x:c>
      <x:c r="F167" s="14" t="str">
        <x:v>P2</x:v>
      </x:c>
      <x:c r="G167" s="14" t="str">
        <x:v>24 giờ đối với sự cố/tai nạn; 72 giờ đối với vụ việc.</x:v>
      </x:c>
      <x:c r="H167" s="14" t="str">
        <x:v>Chưa bắt đầu</x:v>
      </x:c>
      <x:c r="I167" s="20" t="n">
        <x:f>IF(H167="Hoàn thành",100%,IF(H167="Không áp dụng",100%,IF(H167="Đang thực hiện",50%,IF(H167="Đang chờ phối hợp",25%,0%))))</x:f>
        <x:v>0</x:v>
      </x:c>
      <x:c r="J167" s="58" t="str"/>
      <x:c r="K167" s="14" t="str"/>
      <x:c r="L167" s="14" t="str"/>
      <x:c r="M167" s="14" t="str"/>
      <x:c r="N167" s="14" t="str"/>
      <x:c r="O167" s="14" t="str"/>
      <x:c r="P167" s="58" t="str"/>
      <x:c r="Q167" s="14" t="str"/>
    </x:row>
    <x:row r="168">
      <x:c r="A168" s="14" t="str">
        <x:v>VATM-0167</x:v>
      </x:c>
      <x:c r="B168" s="14" t="str">
        <x:v>An toàn hàng không / SMS</x:v>
      </x:c>
      <x:c r="C168" s="14" t="str">
        <x:v>Báo cáo MOR, sự cố và điều tra</x:v>
      </x:c>
      <x:c r="D168" s="14" t="str">
        <x:v>Tiến hành điều tra nội bộ hoặc xác minh, đánh giá, phân loại, xác định nguyên nhân; áp dụng biện pháp ngăn chặn, khắc phục, phòng ngừa tái diễn; gửi kết luận điều tra nội bộ hoặc thông tin xác minh/đánh giá đến Cục HKVN trong 30 ngày; nếu cần thêm thời gian phải báo cáo và đề xuất hạn cuối.</x:v>
      </x:c>
      <x:c r="E168" s="14" t="str">
        <x:v>Ban An toàn - Chất lượng</x:v>
      </x:c>
      <x:c r="F168" s="14" t="str">
        <x:v>P2</x:v>
      </x:c>
      <x:c r="G168" s="14" t="str">
        <x:v>Không quá 30 ngày kể từ ngày xảy ra sự cố/tai nạn, trừ trường hợp đã báo cáo đề xuất thêm thời gian.</x:v>
      </x:c>
      <x:c r="H168" s="14" t="str">
        <x:v>Chưa bắt đầu</x:v>
      </x:c>
      <x:c r="I168" s="20" t="n">
        <x:f>IF(H168="Hoàn thành",100%,IF(H168="Không áp dụng",100%,IF(H168="Đang thực hiện",50%,IF(H168="Đang chờ phối hợp",25%,0%))))</x:f>
        <x:v>0</x:v>
      </x:c>
      <x:c r="J168" s="58" t="str"/>
      <x:c r="K168" s="14" t="str"/>
      <x:c r="L168" s="14" t="str"/>
      <x:c r="M168" s="14" t="str"/>
      <x:c r="N168" s="14" t="str"/>
      <x:c r="O168" s="14" t="str"/>
      <x:c r="P168" s="58" t="str"/>
      <x:c r="Q168" s="14" t="str"/>
    </x:row>
    <x:row r="169">
      <x:c r="A169" s="14" t="str">
        <x:v>VATM-0168</x:v>
      </x:c>
      <x:c r="B169" s="14" t="str">
        <x:v>An toàn hàng không / SMS</x:v>
      </x:c>
      <x:c r="C169" s="14" t="str">
        <x:v>Báo cáo MOR, sự cố và điều tra</x:v>
      </x:c>
      <x:c r="D169" s="14" t="str">
        <x:v>Sử dụng danh mục sự cố/vụ việc bắt buộc tại Phụ lục III và mẫu báo cáo tại Phụ lục IV khi báo cáo giấy/điện tử; có thể dùng báo cáo dạng số do Cục HKVN triển khai.</x:v>
      </x:c>
      <x:c r="E169" s="14" t="str">
        <x:v>Ban An toàn - Chất lượng</x:v>
      </x:c>
      <x:c r="F169" s="14" t="str">
        <x:v>P2</x:v>
      </x:c>
      <x:c r="G169" s="14" t="str">
        <x:v>Mỗi khi lập báo cáo bắt buộc.</x:v>
      </x:c>
      <x:c r="H169" s="14" t="str">
        <x:v>Chưa bắt đầu</x:v>
      </x:c>
      <x:c r="I169" s="20" t="n">
        <x:f>IF(H169="Hoàn thành",100%,IF(H169="Không áp dụng",100%,IF(H169="Đang thực hiện",50%,IF(H169="Đang chờ phối hợp",25%,0%))))</x:f>
        <x:v>0</x:v>
      </x:c>
      <x:c r="J169" s="58" t="str"/>
      <x:c r="K169" s="14" t="str"/>
      <x:c r="L169" s="14" t="str"/>
      <x:c r="M169" s="14" t="str"/>
      <x:c r="N169" s="14" t="str"/>
      <x:c r="O169" s="14" t="str"/>
      <x:c r="P169" s="58" t="str"/>
      <x:c r="Q169" s="14" t="str"/>
    </x:row>
    <x:row r="170">
      <x:c r="A170" s="14" t="str">
        <x:v>VATM-0169</x:v>
      </x:c>
      <x:c r="B170" s="14" t="str">
        <x:v>An toàn hàng không / SMS</x:v>
      </x:c>
      <x:c r="C170" s="14" t="str">
        <x:v>Báo cáo MOR, sự cố và điều tra</x:v>
      </x:c>
      <x:c r="D170" s="14" t="str">
        <x:v>Thông báo ngay và cung cấp đầy đủ thông tin tối thiểu cho người khai thác cảng hàng không hoặc bãi cất, hạ cánh; báo cáo Cảng vụ hàng không.</x:v>
      </x:c>
      <x:c r="E170" s="14" t="str">
        <x:v>Ban An toàn - Chất lượng</x:v>
      </x:c>
      <x:c r="F170" s="14" t="str">
        <x:v>P2</x:v>
      </x:c>
      <x:c r="G170" s="14" t="str">
        <x:v>Ngay khi xảy ra/phát hiện.</x:v>
      </x:c>
      <x:c r="H170" s="14" t="str">
        <x:v>Chưa bắt đầu</x:v>
      </x:c>
      <x:c r="I170" s="20" t="n">
        <x:f>IF(H170="Hoàn thành",100%,IF(H170="Không áp dụng",100%,IF(H170="Đang thực hiện",50%,IF(H170="Đang chờ phối hợp",25%,0%))))</x:f>
        <x:v>0</x:v>
      </x:c>
      <x:c r="J170" s="58" t="str"/>
      <x:c r="K170" s="14" t="str"/>
      <x:c r="L170" s="14" t="str"/>
      <x:c r="M170" s="14" t="str"/>
      <x:c r="N170" s="14" t="str"/>
      <x:c r="O170" s="14" t="str"/>
      <x:c r="P170" s="58" t="str"/>
      <x:c r="Q170" s="14" t="str"/>
    </x:row>
    <x:row r="171">
      <x:c r="A171" s="14" t="str">
        <x:v>VATM-0170</x:v>
      </x:c>
      <x:c r="B171" s="14" t="str">
        <x:v>An toàn hàng không / SMS</x:v>
      </x:c>
      <x:c r="C171" s="14" t="str">
        <x:v>Chính sách, mục tiêu và văn hóa an toàn</x:v>
      </x:c>
      <x:c r="D171" s="14" t="str">
        <x:v>Khuyến khích và tạo điều kiện thuận lợi để báo cáo tự nguyện trong toàn bộ hoạt động khai thác hàng không dân dụng.</x:v>
      </x:c>
      <x:c r="E171" s="14" t="str">
        <x:v>Ban An toàn - Chất lượng</x:v>
      </x:c>
      <x:c r="F171" s="14" t="str">
        <x:v>P2</x:v>
      </x:c>
      <x:c r="G171" s="14" t="str">
        <x:v>Thường xuyên.</x:v>
      </x:c>
      <x:c r="H171" s="14" t="str">
        <x:v>Chưa bắt đầu</x:v>
      </x:c>
      <x:c r="I171" s="20" t="n">
        <x:f>IF(H171="Hoàn thành",100%,IF(H171="Không áp dụng",100%,IF(H171="Đang thực hiện",50%,IF(H171="Đang chờ phối hợp",25%,0%))))</x:f>
        <x:v>0</x:v>
      </x:c>
      <x:c r="J171" s="58" t="str"/>
      <x:c r="K171" s="14" t="str"/>
      <x:c r="L171" s="14" t="str"/>
      <x:c r="M171" s="14" t="str"/>
      <x:c r="N171" s="14" t="str"/>
      <x:c r="O171" s="14" t="str"/>
      <x:c r="P171" s="58" t="str"/>
      <x:c r="Q171" s="14" t="str"/>
    </x:row>
    <x:row r="172">
      <x:c r="A172" s="14" t="str">
        <x:v>VATM-0171</x:v>
      </x:c>
      <x:c r="B172" s="14" t="str">
        <x:v>An toàn hàng không / SMS</x:v>
      </x:c>
      <x:c r="C172" s="14" t="str">
        <x:v>Báo cáo MOR, sự cố và điều tra</x:v>
      </x:c>
      <x:c r="D172" s="14" t="str">
        <x:v>Chịu trách nhiệm trước pháp luật về tính chính xác của báo cáo tự nguyện.</x:v>
      </x:c>
      <x:c r="E172" s="14" t="str">
        <x:v>Ban An toàn - Chất lượng</x:v>
      </x:c>
      <x:c r="F172" s="14" t="str">
        <x:v>P2</x:v>
      </x:c>
      <x:c r="G172" s="14" t="str">
        <x:v>Khi tiếp nhận/lập/gửi báo cáo tự nguyện.</x:v>
      </x:c>
      <x:c r="H172" s="14" t="str">
        <x:v>Chưa bắt đầu</x:v>
      </x:c>
      <x:c r="I172" s="20" t="n">
        <x:f>IF(H172="Hoàn thành",100%,IF(H172="Không áp dụng",100%,IF(H172="Đang thực hiện",50%,IF(H172="Đang chờ phối hợp",25%,0%))))</x:f>
        <x:v>0</x:v>
      </x:c>
      <x:c r="J172" s="58" t="str"/>
      <x:c r="K172" s="14" t="str"/>
      <x:c r="L172" s="14" t="str"/>
      <x:c r="M172" s="14" t="str"/>
      <x:c r="N172" s="14" t="str"/>
      <x:c r="O172" s="14" t="str"/>
      <x:c r="P172" s="58" t="str"/>
      <x:c r="Q172" s="14" t="str"/>
    </x:row>
    <x:row r="173">
      <x:c r="A173" s="14" t="str">
        <x:v>VATM-0172</x:v>
      </x:c>
      <x:c r="B173" s="14" t="str">
        <x:v>An toàn hàng không / SMS</x:v>
      </x:c>
      <x:c r="C173" s="14" t="str">
        <x:v>Báo cáo MOR, sự cố và điều tra</x:v>
      </x:c>
      <x:c r="D173" s="14" t="str">
        <x:v>Thiết lập và duy trì hệ thống tiếp nhận, xử lý, phân loại, lưu giữ báo cáo tự nguyện phù hợp phạm vi, đối tượng quản lý/giám sát của tổ chức.</x:v>
      </x:c>
      <x:c r="E173" s="14" t="str">
        <x:v>Ban An toàn - Chất lượng</x:v>
      </x:c>
      <x:c r="F173" s="14" t="str">
        <x:v>P2</x:v>
      </x:c>
      <x:c r="G173" s="14" t="str">
        <x:v>Thiết lập và duy trì thường xuyên.</x:v>
      </x:c>
      <x:c r="H173" s="14" t="str">
        <x:v>Chưa bắt đầu</x:v>
      </x:c>
      <x:c r="I173" s="20" t="n">
        <x:f>IF(H173="Hoàn thành",100%,IF(H173="Không áp dụng",100%,IF(H173="Đang thực hiện",50%,IF(H173="Đang chờ phối hợp",25%,0%))))</x:f>
        <x:v>0</x:v>
      </x:c>
      <x:c r="J173" s="58" t="str"/>
      <x:c r="K173" s="14" t="str"/>
      <x:c r="L173" s="14" t="str"/>
      <x:c r="M173" s="14" t="str"/>
      <x:c r="N173" s="14" t="str"/>
      <x:c r="O173" s="14" t="str"/>
      <x:c r="P173" s="58" t="str"/>
      <x:c r="Q173" s="14" t="str"/>
    </x:row>
    <x:row r="174">
      <x:c r="A174" s="14" t="str">
        <x:v>VATM-0173</x:v>
      </x:c>
      <x:c r="B174" s="14" t="str">
        <x:v>An toàn hàng không / SMS</x:v>
      </x:c>
      <x:c r="C174" s="14" t="str">
        <x:v>Báo cáo MOR, sự cố và điều tra</x:v>
      </x:c>
      <x:c r="D174" s="14" t="str">
        <x:v>Thiết lập biện pháp bảo mật danh tính người báo cáo, kiểm soát tiếp cận thông tin báo cáo và ngăn ngừa sử dụng thông tin trái mục đích duy trì, cải thiện, nâng cao an toàn.</x:v>
      </x:c>
      <x:c r="E174" s="14" t="str">
        <x:v>Ban An toàn - Chất lượng</x:v>
      </x:c>
      <x:c r="F174" s="14" t="str">
        <x:v>P2</x:v>
      </x:c>
      <x:c r="G174" s="14" t="str">
        <x:v>Thường xuyên.</x:v>
      </x:c>
      <x:c r="H174" s="14" t="str">
        <x:v>Chưa bắt đầu</x:v>
      </x:c>
      <x:c r="I174" s="20" t="n">
        <x:f>IF(H174="Hoàn thành",100%,IF(H174="Không áp dụng",100%,IF(H174="Đang thực hiện",50%,IF(H174="Đang chờ phối hợp",25%,0%))))</x:f>
        <x:v>0</x:v>
      </x:c>
      <x:c r="J174" s="58" t="str"/>
      <x:c r="K174" s="14" t="str"/>
      <x:c r="L174" s="14" t="str"/>
      <x:c r="M174" s="14" t="str"/>
      <x:c r="N174" s="14" t="str"/>
      <x:c r="O174" s="14" t="str"/>
      <x:c r="P174" s="58" t="str"/>
      <x:c r="Q174" s="14" t="str"/>
    </x:row>
    <x:row r="175">
      <x:c r="A175" s="14" t="str">
        <x:v>VATM-0174</x:v>
      </x:c>
      <x:c r="B175" s="14" t="str">
        <x:v>An toàn hàng không / SMS</x:v>
      </x:c>
      <x:c r="C175" s="14" t="str">
        <x:v>Quản lý rủi ro và thay đổi</x:v>
      </x:c>
      <x:c r="D175" s="14" t="str">
        <x:v>Phân tích, đánh giá thông tin từ báo cáo tự nguyện để nhận diện mối nguy và xác định biện pháp phòng ngừa rủi ro an toàn hàng không.</x:v>
      </x:c>
      <x:c r="E175" s="14" t="str">
        <x:v>Ban An toàn - Chất lượng</x:v>
      </x:c>
      <x:c r="F175" s="14" t="str">
        <x:v>P2</x:v>
      </x:c>
      <x:c r="G175" s="14" t="str">
        <x:v>Thường xuyên/định kỳ theo quy trình SMS.</x:v>
      </x:c>
      <x:c r="H175" s="14" t="str">
        <x:v>Chưa bắt đầu</x:v>
      </x:c>
      <x:c r="I175" s="20" t="n">
        <x:f>IF(H175="Hoàn thành",100%,IF(H175="Không áp dụng",100%,IF(H175="Đang thực hiện",50%,IF(H175="Đang chờ phối hợp",25%,0%))))</x:f>
        <x:v>0</x:v>
      </x:c>
      <x:c r="J175" s="58" t="str"/>
      <x:c r="K175" s="14" t="str"/>
      <x:c r="L175" s="14" t="str"/>
      <x:c r="M175" s="14" t="str"/>
      <x:c r="N175" s="14" t="str"/>
      <x:c r="O175" s="14" t="str"/>
      <x:c r="P175" s="58" t="str"/>
      <x:c r="Q175" s="14" t="str"/>
    </x:row>
    <x:row r="176">
      <x:c r="A176" s="14" t="str">
        <x:v>VATM-0175</x:v>
      </x:c>
      <x:c r="B176" s="14" t="str">
        <x:v>An toàn hàng không / SMS</x:v>
      </x:c>
      <x:c r="C176" s="14" t="str">
        <x:v>Chính sách, mục tiêu và văn hóa an toàn</x:v>
      </x:c>
      <x:c r="D176" s="14" t="str">
        <x:v>Xây dựng cơ chế thúc đẩy báo cáo tự nguyện.</x:v>
      </x:c>
      <x:c r="E176" s="14" t="str">
        <x:v>Ban An toàn - Chất lượng</x:v>
      </x:c>
      <x:c r="F176" s="14" t="str">
        <x:v>P2</x:v>
      </x:c>
      <x:c r="G176" s="14" t="str">
        <x:v>Thường xuyên; rà soát hiệu quả định kỳ.</x:v>
      </x:c>
      <x:c r="H176" s="14" t="str">
        <x:v>Chưa bắt đầu</x:v>
      </x:c>
      <x:c r="I176" s="20" t="n">
        <x:f>IF(H176="Hoàn thành",100%,IF(H176="Không áp dụng",100%,IF(H176="Đang thực hiện",50%,IF(H176="Đang chờ phối hợp",25%,0%))))</x:f>
        <x:v>0</x:v>
      </x:c>
      <x:c r="J176" s="58" t="str"/>
      <x:c r="K176" s="14" t="str"/>
      <x:c r="L176" s="14" t="str"/>
      <x:c r="M176" s="14" t="str"/>
      <x:c r="N176" s="14" t="str"/>
      <x:c r="O176" s="14" t="str"/>
      <x:c r="P176" s="58" t="str"/>
      <x:c r="Q176" s="14" t="str"/>
    </x:row>
    <x:row r="177">
      <x:c r="A177" s="14" t="str">
        <x:v>VATM-0176</x:v>
      </x:c>
      <x:c r="B177" s="14" t="str">
        <x:v>An toàn hàng không / SMS</x:v>
      </x:c>
      <x:c r="C177" s="14" t="str">
        <x:v>Chính sách, mục tiêu và văn hóa an toàn</x:v>
      </x:c>
      <x:c r="D177" s="14" t="str">
        <x:v>Tiến hành điều tra, xác minh, giảng bình tai nạn/sự cố trong phạm vi nội bộ; thực hiện biện pháp phòng ngừa, ngăn chặn tai nạn/sự cố.</x:v>
      </x:c>
      <x:c r="E177" s="14" t="str">
        <x:v>Ban An toàn - Chất lượng</x:v>
      </x:c>
      <x:c r="F177" s="14" t="str">
        <x:v>P2</x:v>
      </x:c>
      <x:c r="G177" s="14" t="str">
        <x:v>Sau khi phát sinh sự cố/tai nạn; theo thời hạn báo cáo liên quan.</x:v>
      </x:c>
      <x:c r="H177" s="14" t="str">
        <x:v>Chưa bắt đầu</x:v>
      </x:c>
      <x:c r="I177" s="20" t="n">
        <x:f>IF(H177="Hoàn thành",100%,IF(H177="Không áp dụng",100%,IF(H177="Đang thực hiện",50%,IF(H177="Đang chờ phối hợp",25%,0%))))</x:f>
        <x:v>0</x:v>
      </x:c>
      <x:c r="J177" s="58" t="str"/>
      <x:c r="K177" s="14" t="str"/>
      <x:c r="L177" s="14" t="str"/>
      <x:c r="M177" s="14" t="str"/>
      <x:c r="N177" s="14" t="str"/>
      <x:c r="O177" s="14" t="str"/>
      <x:c r="P177" s="58" t="str"/>
      <x:c r="Q177" s="14" t="str"/>
    </x:row>
    <x:row r="178">
      <x:c r="A178" s="14" t="str">
        <x:v>VATM-0177</x:v>
      </x:c>
      <x:c r="B178" s="14" t="str">
        <x:v>An toàn hàng không / SMS</x:v>
      </x:c>
      <x:c r="C178" s="14" t="str">
        <x:v>Báo cáo MOR, sự cố và điều tra</x:v>
      </x:c>
      <x:c r="D178" s="14" t="str">
        <x:v>Báo cáo kết quả điều tra hoặc xác minh nội bộ và giảng bình với các nội dung: thông tin bổ sung; mô tả chi tiết diễn biến và thông tin liên quan; phân tích/xác minh/đánh giá/kết luận nguyên nhân; biện pháp khắc phục, phòng ngừa; kiến nghị nếu có.</x:v>
      </x:c>
      <x:c r="E178" s="14" t="str">
        <x:v>Ban An toàn - Chất lượng</x:v>
      </x:c>
      <x:c r="F178" s="14" t="str">
        <x:v>P2</x:v>
      </x:c>
      <x:c r="G178" s="14" t="str">
        <x:v>Theo thời hạn Điều 19 khoản 2(c) hoặc yêu cầu của Cục HKVN.</x:v>
      </x:c>
      <x:c r="H178" s="14" t="str">
        <x:v>Chưa bắt đầu</x:v>
      </x:c>
      <x:c r="I178" s="20" t="n">
        <x:f>IF(H178="Hoàn thành",100%,IF(H178="Không áp dụng",100%,IF(H178="Đang thực hiện",50%,IF(H178="Đang chờ phối hợp",25%,0%))))</x:f>
        <x:v>0</x:v>
      </x:c>
      <x:c r="J178" s="58" t="str"/>
      <x:c r="K178" s="14" t="str"/>
      <x:c r="L178" s="14" t="str"/>
      <x:c r="M178" s="14" t="str"/>
      <x:c r="N178" s="14" t="str"/>
      <x:c r="O178" s="14" t="str"/>
      <x:c r="P178" s="58" t="str"/>
      <x:c r="Q178" s="14" t="str"/>
    </x:row>
    <x:row r="179">
      <x:c r="A179" s="14" t="str">
        <x:v>VATM-0178</x:v>
      </x:c>
      <x:c r="B179" s="14" t="str">
        <x:v>An toàn hàng không / SMS</x:v>
      </x:c>
      <x:c r="C179" s="14" t="str">
        <x:v>Báo cáo MOR, sự cố và điều tra</x:v>
      </x:c>
      <x:c r="D179" s="14" t="str">
        <x:v>Kết luận điều tra/xác minh nội bộ phải được người đứng đầu tổ chức hoặc người được ủy quyền phê duyệt.</x:v>
      </x:c>
      <x:c r="E179" s="14" t="str">
        <x:v>Ban An toàn - Chất lượng</x:v>
      </x:c>
      <x:c r="F179" s="14" t="str">
        <x:v>P2</x:v>
      </x:c>
      <x:c r="G179" s="14" t="str">
        <x:v>Trước khi ban hành/gửi kết luận.</x:v>
      </x:c>
      <x:c r="H179" s="14" t="str">
        <x:v>Chưa bắt đầu</x:v>
      </x:c>
      <x:c r="I179" s="20" t="n">
        <x:f>IF(H179="Hoàn thành",100%,IF(H179="Không áp dụng",100%,IF(H179="Đang thực hiện",50%,IF(H179="Đang chờ phối hợp",25%,0%))))</x:f>
        <x:v>0</x:v>
      </x:c>
      <x:c r="J179" s="58" t="str"/>
      <x:c r="K179" s="14" t="str"/>
      <x:c r="L179" s="14" t="str"/>
      <x:c r="M179" s="14" t="str"/>
      <x:c r="N179" s="14" t="str"/>
      <x:c r="O179" s="14" t="str"/>
      <x:c r="P179" s="58" t="str"/>
      <x:c r="Q179" s="14" t="str"/>
    </x:row>
    <x:row r="180">
      <x:c r="A180" s="14" t="str">
        <x:v>VATM-0179</x:v>
      </x:c>
      <x:c r="B180" s="14" t="str">
        <x:v>An toàn hàng không / SMS</x:v>
      </x:c>
      <x:c r="C180" s="14" t="str">
        <x:v>Báo cáo MOR, sự cố và điều tra</x:v>
      </x:c>
      <x:c r="D180" s="14" t="str">
        <x:v>Gửi báo cáo an toàn hàng không định kỳ đến Cục HKVN: báo cáo tháng, quý, năm.</x:v>
      </x:c>
      <x:c r="E180" s="14" t="str">
        <x:v>Ban An toàn - Chất lượng</x:v>
      </x:c>
      <x:c r="F180" s="14" t="str">
        <x:v>P2</x:v>
      </x:c>
      <x:c r="G180" s="14" t="str">
        <x:v>Tháng: trước ngày 17 hằng tháng. Quý: trước ngày 17 các tháng 3, 6, 9. Năm: trước ngày 17/12. Số liệu thống kê từ ngày 16 tháng trước đến ngày 15 tháng sau.</x:v>
      </x:c>
      <x:c r="H180" s="14" t="str">
        <x:v>Chưa bắt đầu</x:v>
      </x:c>
      <x:c r="I180" s="20" t="n">
        <x:f>IF(H180="Hoàn thành",100%,IF(H180="Không áp dụng",100%,IF(H180="Đang thực hiện",50%,IF(H180="Đang chờ phối hợp",25%,0%))))</x:f>
        <x:v>0</x:v>
      </x:c>
      <x:c r="J180" s="58" t="str"/>
      <x:c r="K180" s="14" t="str"/>
      <x:c r="L180" s="14" t="str"/>
      <x:c r="M180" s="14" t="str"/>
      <x:c r="N180" s="14" t="str"/>
      <x:c r="O180" s="14" t="str"/>
      <x:c r="P180" s="58" t="str"/>
      <x:c r="Q180" s="14" t="str"/>
    </x:row>
    <x:row r="181">
      <x:c r="A181" s="14" t="str">
        <x:v>VATM-0180</x:v>
      </x:c>
      <x:c r="B181" s="14" t="str">
        <x:v>An toàn hàng không / SMS</x:v>
      </x:c>
      <x:c r="C181" s="14" t="str">
        <x:v>Chính sách, mục tiêu và văn hóa an toàn</x:v>
      </x:c>
      <x:c r="D181" s="14" t="str">
        <x:v>Báo cáo tháng/quý gồm: thông tin/tình hình hoạt động; tổng hợp, phân tích vụ việc/sự cố/tai nạn; SPI thực tế, phân tích xu hướng, so sánh mục tiêu, biện pháp khi SPI tiếp cận/vượt ngưỡng; bổ sung danh mục mối nguy và biện pháp giảm thiểu/phòng ngừa; đề xuất kiến nghị.</x:v>
      </x:c>
      <x:c r="E181" s="14" t="str">
        <x:v>Ban An toàn - Chất lượng</x:v>
      </x:c>
      <x:c r="F181" s="14" t="str">
        <x:v>P2</x:v>
      </x:c>
      <x:c r="G181" s="14" t="str">
        <x:v>Theo kỳ báo cáo tháng/quý.</x:v>
      </x:c>
      <x:c r="H181" s="14" t="str">
        <x:v>Chưa bắt đầu</x:v>
      </x:c>
      <x:c r="I181" s="20" t="n">
        <x:f>IF(H181="Hoàn thành",100%,IF(H181="Không áp dụng",100%,IF(H181="Đang thực hiện",50%,IF(H181="Đang chờ phối hợp",25%,0%))))</x:f>
        <x:v>0</x:v>
      </x:c>
      <x:c r="J181" s="58" t="str"/>
      <x:c r="K181" s="14" t="str"/>
      <x:c r="L181" s="14" t="str"/>
      <x:c r="M181" s="14" t="str"/>
      <x:c r="N181" s="14" t="str"/>
      <x:c r="O181" s="14" t="str"/>
      <x:c r="P181" s="58" t="str"/>
      <x:c r="Q181" s="14" t="str"/>
    </x:row>
    <x:row r="182">
      <x:c r="A182" s="14" t="str">
        <x:v>VATM-0181</x:v>
      </x:c>
      <x:c r="B182" s="14" t="str">
        <x:v>An toàn hàng không / SMS</x:v>
      </x:c>
      <x:c r="C182" s="14" t="str">
        <x:v>Chính sách, mục tiêu và văn hóa an toàn</x:v>
      </x:c>
      <x:c r="D182" s="14" t="str">
        <x:v>Báo cáo năm ngoài nội dung tháng/quý còn phải tổng kết việc đạt/không đạt SPT và phân tích lý do, kiến nghị/biện pháp năm sau; báo cáo toàn bộ danh mục mối nguy và biện pháp giảm thiểu năm sau; báo cáo SPT dự kiến năm sau theo Chương trình và theo SMS của tổ chức.</x:v>
      </x:c>
      <x:c r="E182" s="14" t="str">
        <x:v>Ban An toàn - Chất lượng</x:v>
      </x:c>
      <x:c r="F182" s="14" t="str">
        <x:v>P2</x:v>
      </x:c>
      <x:c r="G182" s="14" t="str">
        <x:v>Trước ngày 17/12 hằng năm.</x:v>
      </x:c>
      <x:c r="H182" s="14" t="str">
        <x:v>Chưa bắt đầu</x:v>
      </x:c>
      <x:c r="I182" s="20" t="n">
        <x:f>IF(H182="Hoàn thành",100%,IF(H182="Không áp dụng",100%,IF(H182="Đang thực hiện",50%,IF(H182="Đang chờ phối hợp",25%,0%))))</x:f>
        <x:v>0</x:v>
      </x:c>
      <x:c r="J182" s="58" t="str"/>
      <x:c r="K182" s="14" t="str"/>
      <x:c r="L182" s="14" t="str"/>
      <x:c r="M182" s="14" t="str"/>
      <x:c r="N182" s="14" t="str"/>
      <x:c r="O182" s="14" t="str"/>
      <x:c r="P182" s="58" t="str"/>
      <x:c r="Q182" s="14" t="str"/>
    </x:row>
    <x:row r="183">
      <x:c r="A183" s="14" t="str">
        <x:v>VATM-0182</x:v>
      </x:c>
      <x:c r="B183" s="14" t="str">
        <x:v>An toàn hàng không / SMS</x:v>
      </x:c>
      <x:c r="C183" s="14" t="str">
        <x:v>Quản lý rủi ro và thay đổi</x:v>
      </x:c>
      <x:c r="D183" s="14" t="str">
        <x:v>Báo cáo các vụ việc không phải sự cố/tai nạn nhưng cần thu thập, thống kê, phân tích, đánh giá, nhận diện mối nguy và giảm thiểu/kiểm soát rủi ro; vụ việc đã gây ra hoặc có nguy cơ gây gián đoạn hoạt động bay, ảnh hưởng kế hoạch/lịch trình khai thác tàu bay, hoặc làm suy giảm/gián đoạn năng lực cung cấp dịch vụ hàng không.</x:v>
      </x:c>
      <x:c r="E183" s="14" t="str">
        <x:v>Ban An toàn - Chất lượng</x:v>
      </x:c>
      <x:c r="F183" s="14" t="str">
        <x:v>P2</x:v>
      </x:c>
      <x:c r="G183" s="14" t="str">
        <x:v>Trong vòng 72 giờ theo Điều 19 khoản 2(b) và Phần II Phụ lục III.</x:v>
      </x:c>
      <x:c r="H183" s="14" t="str">
        <x:v>Chưa bắt đầu</x:v>
      </x:c>
      <x:c r="I183" s="20" t="n">
        <x:f>IF(H183="Hoàn thành",100%,IF(H183="Không áp dụng",100%,IF(H183="Đang thực hiện",50%,IF(H183="Đang chờ phối hợp",25%,0%))))</x:f>
        <x:v>0</x:v>
      </x:c>
      <x:c r="J183" s="58" t="str"/>
      <x:c r="K183" s="14" t="str"/>
      <x:c r="L183" s="14" t="str"/>
      <x:c r="M183" s="14" t="str"/>
      <x:c r="N183" s="14" t="str"/>
      <x:c r="O183" s="14" t="str"/>
      <x:c r="P183" s="58" t="str"/>
      <x:c r="Q183" s="14" t="str"/>
    </x:row>
    <x:row r="184">
      <x:c r="A184" s="14" t="str">
        <x:v>VATM-0183</x:v>
      </x:c>
      <x:c r="B184" s="14" t="str">
        <x:v>An toàn hàng không / SMS</x:v>
      </x:c>
      <x:c r="C184" s="14" t="str">
        <x:v>Báo cáo MOR, sự cố và điều tra</x:v>
      </x:c>
      <x:c r="D184" s="14" t="str">
        <x:v>Xác định VATM thuộc nhóm bắt buộc xây dựng SMS và thiết lập hệ thống báo cáo an toàn tới Cục HKVN.</x:v>
      </x:c>
      <x:c r="E184" s="14" t="str">
        <x:v>Ban An toàn - Chất lượng</x:v>
      </x:c>
      <x:c r="F184" s="14" t="str">
        <x:v>P2</x:v>
      </x:c>
      <x:c r="G184" s="14" t="str">
        <x:v>Áp dụng từ thời điểm Thông tư có hiệu lực; duy trì thường xuyên.</x:v>
      </x:c>
      <x:c r="H184" s="14" t="str">
        <x:v>Chưa bắt đầu</x:v>
      </x:c>
      <x:c r="I184" s="20" t="n">
        <x:f>IF(H184="Hoàn thành",100%,IF(H184="Không áp dụng",100%,IF(H184="Đang thực hiện",50%,IF(H184="Đang chờ phối hợp",25%,0%))))</x:f>
        <x:v>0</x:v>
      </x:c>
      <x:c r="J184" s="58" t="str"/>
      <x:c r="K184" s="14" t="str"/>
      <x:c r="L184" s="14" t="str"/>
      <x:c r="M184" s="14" t="str"/>
      <x:c r="N184" s="14" t="str"/>
      <x:c r="O184" s="14" t="str"/>
      <x:c r="P184" s="58" t="str"/>
      <x:c r="Q184" s="14" t="str"/>
    </x:row>
    <x:row r="185">
      <x:c r="A185" s="14" t="str">
        <x:v>VATM-0184</x:v>
      </x:c>
      <x:c r="B185" s="14" t="str">
        <x:v>An toàn hàng không / SMS</x:v>
      </x:c>
      <x:c r="C185" s="14" t="str">
        <x:v>Chính sách, mục tiêu và văn hóa an toàn</x:v>
      </x:c>
      <x:c r="D185" s="14" t="str">
        <x:v>Xây dựng, triển khai, duy trì và cải tiến SMS theo Phụ lục I, bao gồm chính sách/mục tiêu, trách nhiệm, nhân sự an toàn chủ chốt, ERP, tài liệu SMS, quản lý rủi ro, bảo đảm an toàn và thúc đẩy an toàn.</x:v>
      </x:c>
      <x:c r="E185" s="14" t="str">
        <x:v>Ban An toàn - Chất lượng</x:v>
      </x:c>
      <x:c r="F185" s="14" t="str">
        <x:v>P2</x:v>
      </x:c>
      <x:c r="G185" s="14" t="str">
        <x:v>Duy trì thường xuyên; rà soát định kỳ hằng năm và khi có thay đổi.</x:v>
      </x:c>
      <x:c r="H185" s="14" t="str">
        <x:v>Chưa bắt đầu</x:v>
      </x:c>
      <x:c r="I185" s="20" t="n">
        <x:f>IF(H185="Hoàn thành",100%,IF(H185="Không áp dụng",100%,IF(H185="Đang thực hiện",50%,IF(H185="Đang chờ phối hợp",25%,0%))))</x:f>
        <x:v>0</x:v>
      </x:c>
      <x:c r="J185" s="58" t="str"/>
      <x:c r="K185" s="14" t="str"/>
      <x:c r="L185" s="14" t="str"/>
      <x:c r="M185" s="14" t="str"/>
      <x:c r="N185" s="14" t="str"/>
      <x:c r="O185" s="14" t="str"/>
      <x:c r="P185" s="58" t="str"/>
      <x:c r="Q185" s="14" t="str"/>
    </x:row>
    <x:row r="186">
      <x:c r="A186" s="14" t="str">
        <x:v>VATM-0185</x:v>
      </x:c>
      <x:c r="B186" s="14" t="str">
        <x:v>An toàn hàng không / SMS</x:v>
      </x:c>
      <x:c r="C186" s="14" t="str">
        <x:v>Chính sách, mục tiêu và văn hóa an toàn</x:v>
      </x:c>
      <x:c r="D186" s="14" t="str">
        <x:v>Bảo đảm chính sách an toàn có cam kết của người đứng đầu, nguồn lực, quy trình báo cáo, nguyên tắc xử lý hành vi không chấp nhận/không áp dụng kỷ luật, được ký, phổ biến và rà soát hằng năm; thiết lập mục tiêu an toàn làm cơ sở đo lường SPI/SPT.</x:v>
      </x:c>
      <x:c r="E186" s="14" t="str">
        <x:v>Ban An toàn - Chất lượng</x:v>
      </x:c>
      <x:c r="F186" s="14" t="str">
        <x:v>P2</x:v>
      </x:c>
      <x:c r="G186" s="14" t="str">
        <x:v>Rà soát hằng năm; cập nhật khi thay đổi tổ chức/dịch vụ/rủi ro.</x:v>
      </x:c>
      <x:c r="H186" s="14" t="str">
        <x:v>Chưa bắt đầu</x:v>
      </x:c>
      <x:c r="I186" s="20" t="n">
        <x:f>IF(H186="Hoàn thành",100%,IF(H186="Không áp dụng",100%,IF(H186="Đang thực hiện",50%,IF(H186="Đang chờ phối hợp",25%,0%))))</x:f>
        <x:v>0</x:v>
      </x:c>
      <x:c r="J186" s="58" t="str"/>
      <x:c r="K186" s="14" t="str"/>
      <x:c r="L186" s="14" t="str"/>
      <x:c r="M186" s="14" t="str"/>
      <x:c r="N186" s="14" t="str"/>
      <x:c r="O186" s="14" t="str"/>
      <x:c r="P186" s="58" t="str"/>
      <x:c r="Q186" s="14" t="str"/>
    </x:row>
    <x:row r="187">
      <x:c r="A187" s="14" t="str">
        <x:v>VATM-0186</x:v>
      </x:c>
      <x:c r="B187" s="14" t="str">
        <x:v>An toàn hàng không / SMS</x:v>
      </x:c>
      <x:c r="C187" s="14" t="str">
        <x:v>Quản lý rủi ro và thay đổi</x:v>
      </x:c>
      <x:c r="D187" s="14" t="str">
        <x:v>Xác định trách nhiệm của người đứng đầu; văn bản hóa chức năng, nhiệm vụ, quyền hạn về an toàn và phổ biến; xác định cấp có thẩm quyền quyết định mức chấp nhận rủi ro; bổ nhiệm người chịu trách nhiệm chính về quản lý an toàn, bảo đảm không xung đột lợi ích nếu kiêm nhiệm.</x:v>
      </x:c>
      <x:c r="E187" s="14" t="str">
        <x:v>Ban An toàn - Chất lượng</x:v>
      </x:c>
      <x:c r="F187" s="14" t="str">
        <x:v>P2</x:v>
      </x:c>
      <x:c r="G187" s="14" t="str">
        <x:v>Duy trì; cập nhật khi thay đổi tổ chức/nhân sự.</x:v>
      </x:c>
      <x:c r="H187" s="14" t="str">
        <x:v>Chưa bắt đầu</x:v>
      </x:c>
      <x:c r="I187" s="20" t="n">
        <x:f>IF(H187="Hoàn thành",100%,IF(H187="Không áp dụng",100%,IF(H187="Đang thực hiện",50%,IF(H187="Đang chờ phối hợp",25%,0%))))</x:f>
        <x:v>0</x:v>
      </x:c>
      <x:c r="J187" s="58" t="str"/>
      <x:c r="K187" s="14" t="str"/>
      <x:c r="L187" s="14" t="str"/>
      <x:c r="M187" s="14" t="str"/>
      <x:c r="N187" s="14" t="str"/>
      <x:c r="O187" s="14" t="str"/>
      <x:c r="P187" s="58" t="str"/>
      <x:c r="Q187" s="14" t="str"/>
    </x:row>
    <x:row r="188">
      <x:c r="A188" s="14" t="str">
        <x:v>VATM-0187</x:v>
      </x:c>
      <x:c r="B188" s="14" t="str">
        <x:v>An toàn hàng không / SMS</x:v>
      </x:c>
      <x:c r="C188" s="14" t="str">
        <x:v>Báo cáo MOR, sự cố và điều tra</x:v>
      </x:c>
      <x:c r="D188" s="14" t="str">
        <x:v>Thiết lập, duy trì kế hoạch ứng phó khẩn nguy đối với tai nạn, sự cố, tình huống khẩn nguy hàng không; bảo đảm đồng bộ với kế hoạch của tổ chức cần phối hợp trong quá trình cung cấp dịch vụ hàng không.</x:v>
      </x:c>
      <x:c r="E188" s="14" t="str">
        <x:v>Ban An toàn - Chất lượng</x:v>
      </x:c>
      <x:c r="F188" s="14" t="str">
        <x:v>P2</x:v>
      </x:c>
      <x:c r="G188" s="14" t="str">
        <x:v>Duy trì; diễn tập/kiểm tra định kỳ theo kế hoạch; cập nhật khi thay đổi giao diện phối hợp.</x:v>
      </x:c>
      <x:c r="H188" s="14" t="str">
        <x:v>Chưa bắt đầu</x:v>
      </x:c>
      <x:c r="I188" s="20" t="n">
        <x:f>IF(H188="Hoàn thành",100%,IF(H188="Không áp dụng",100%,IF(H188="Đang thực hiện",50%,IF(H188="Đang chờ phối hợp",25%,0%))))</x:f>
        <x:v>0</x:v>
      </x:c>
      <x:c r="J188" s="58" t="str"/>
      <x:c r="K188" s="14" t="str"/>
      <x:c r="L188" s="14" t="str"/>
      <x:c r="M188" s="14" t="str"/>
      <x:c r="N188" s="14" t="str"/>
      <x:c r="O188" s="14" t="str"/>
      <x:c r="P188" s="58" t="str"/>
      <x:c r="Q188" s="14" t="str"/>
    </x:row>
    <x:row r="189">
      <x:c r="A189" s="14" t="str">
        <x:v>VATM-0188</x:v>
      </x:c>
      <x:c r="B189" s="14" t="str">
        <x:v>An toàn hàng không / SMS</x:v>
      </x:c>
      <x:c r="C189" s="14" t="str">
        <x:v>Chính sách, mục tiêu và văn hóa an toàn</x:v>
      </x:c>
      <x:c r="D189" s="14" t="str">
        <x:v>Xây dựng và duy trì tài liệu hướng dẫn SMS mô tả chính sách/mục tiêu/nguồn lực, yêu cầu SMS đối với quản lý rủi ro/bảo đảm/thúc đẩy an toàn, quy trình/thủ tục, trách nhiệm và thẩm quyền; duy trì hồ sơ vận hành SMS.</x:v>
      </x:c>
      <x:c r="E189" s="14" t="str">
        <x:v>Ban An toàn - Chất lượng</x:v>
      </x:c>
      <x:c r="F189" s="14" t="str">
        <x:v>P2</x:v>
      </x:c>
      <x:c r="G189" s="14" t="str">
        <x:v>Duy trì thường xuyên; kiểm soát phiên bản.</x:v>
      </x:c>
      <x:c r="H189" s="14" t="str">
        <x:v>Chưa bắt đầu</x:v>
      </x:c>
      <x:c r="I189" s="20" t="n">
        <x:f>IF(H189="Hoàn thành",100%,IF(H189="Không áp dụng",100%,IF(H189="Đang thực hiện",50%,IF(H189="Đang chờ phối hợp",25%,0%))))</x:f>
        <x:v>0</x:v>
      </x:c>
      <x:c r="J189" s="58" t="str"/>
      <x:c r="K189" s="14" t="str"/>
      <x:c r="L189" s="14" t="str"/>
      <x:c r="M189" s="14" t="str"/>
      <x:c r="N189" s="14" t="str"/>
      <x:c r="O189" s="14" t="str"/>
      <x:c r="P189" s="58" t="str"/>
      <x:c r="Q189" s="14" t="str"/>
    </x:row>
    <x:row r="190">
      <x:c r="A190" s="14" t="str">
        <x:v>VATM-0189</x:v>
      </x:c>
      <x:c r="B190" s="14" t="str">
        <x:v>An toàn hàng không / SMS</x:v>
      </x:c>
      <x:c r="C190" s="14" t="str">
        <x:v>Quản lý rủi ro và thay đổi</x:v>
      </x:c>
      <x:c r="D190" s="14" t="str">
        <x:v>Thiết lập quy trình nhận diện mối nguy liên quan giao diện nội bộ/bên ngoài của dịch vụ ANS; kết hợp phương pháp phản ứng và chủ động; phân tích, đánh giá và kiểm soát rủi ro liên quan mối nguy đã nhận diện.</x:v>
      </x:c>
      <x:c r="E190" s="14" t="str">
        <x:v>Ban An toàn - Chất lượng</x:v>
      </x:c>
      <x:c r="F190" s="14" t="str">
        <x:v>P2</x:v>
      </x:c>
      <x:c r="G190" s="14" t="str">
        <x:v>Thường xuyên; báo cáo mối nguy/rủi ro hằng quý đến Cục HKVN.</x:v>
      </x:c>
      <x:c r="H190" s="14" t="str">
        <x:v>Chưa bắt đầu</x:v>
      </x:c>
      <x:c r="I190" s="20" t="n">
        <x:f>IF(H190="Hoàn thành",100%,IF(H190="Không áp dụng",100%,IF(H190="Đang thực hiện",50%,IF(H190="Đang chờ phối hợp",25%,0%))))</x:f>
        <x:v>0</x:v>
      </x:c>
      <x:c r="J190" s="58" t="str"/>
      <x:c r="K190" s="14" t="str"/>
      <x:c r="L190" s="14" t="str"/>
      <x:c r="M190" s="14" t="str"/>
      <x:c r="N190" s="14" t="str"/>
      <x:c r="O190" s="14" t="str"/>
      <x:c r="P190" s="58" t="str"/>
      <x:c r="Q190" s="14" t="str"/>
    </x:row>
    <x:row r="191">
      <x:c r="A191" s="14" t="str">
        <x:v>VATM-0190</x:v>
      </x:c>
      <x:c r="B191" s="14" t="str">
        <x:v>An toàn hàng không / SMS</x:v>
      </x:c>
      <x:c r="C191" s="14" t="str">
        <x:v>Quản lý rủi ro và thay đổi</x:v>
      </x:c>
      <x:c r="D191" s="14" t="str">
        <x:v>Xây dựng và duy trì quy trình nhận diện thay đổi có thể ảnh hưởng đến mức độ rủi ro an toàn liên quan đến sản phẩm/dịch vụ ANS; nhận diện và quản lý rủi ro phát sinh từ thay đổi đó.</x:v>
      </x:c>
      <x:c r="E191" s="14" t="str">
        <x:v>Ban An toàn - Chất lượng</x:v>
      </x:c>
      <x:c r="F191" s="14" t="str">
        <x:v>P2</x:v>
      </x:c>
      <x:c r="G191" s="14" t="str">
        <x:v>Trước khi triển khai thay đổi; giám sát sau thay đổi.</x:v>
      </x:c>
      <x:c r="H191" s="14" t="str">
        <x:v>Chưa bắt đầu</x:v>
      </x:c>
      <x:c r="I191" s="20" t="n">
        <x:f>IF(H191="Hoàn thành",100%,IF(H191="Không áp dụng",100%,IF(H191="Đang thực hiện",50%,IF(H191="Đang chờ phối hợp",25%,0%))))</x:f>
        <x:v>0</x:v>
      </x:c>
      <x:c r="J191" s="58" t="str"/>
      <x:c r="K191" s="14" t="str"/>
      <x:c r="L191" s="14" t="str"/>
      <x:c r="M191" s="14" t="str"/>
      <x:c r="N191" s="14" t="str"/>
      <x:c r="O191" s="14" t="str"/>
      <x:c r="P191" s="58" t="str"/>
      <x:c r="Q191" s="14" t="str"/>
    </x:row>
    <x:row r="192">
      <x:c r="A192" s="14" t="str">
        <x:v>VATM-0191</x:v>
      </x:c>
      <x:c r="B192" s="14" t="str">
        <x:v>An toàn hàng không / SMS</x:v>
      </x:c>
      <x:c r="C192" s="14" t="str">
        <x:v>Chính sách, mục tiêu và văn hóa an toàn</x:v>
      </x:c>
      <x:c r="D192" s="14" t="str">
        <x:v>Xây dựng phương thức đánh giá hiệu quả an toàn của tổ chức và hiệu lực biện pháp kiểm soát/giảm thiểu rủi ro; xác minh hiệu quả an toàn dựa trên SPI/SPT của SMS.</x:v>
      </x:c>
      <x:c r="E192" s="14" t="str">
        <x:v>Ban An toàn - Chất lượng</x:v>
      </x:c>
      <x:c r="F192" s="14" t="str">
        <x:v>P2</x:v>
      </x:c>
      <x:c r="G192" s="14" t="str">
        <x:v>Định kỳ theo tháng/quý/năm và khi có biến động rủi ro.</x:v>
      </x:c>
      <x:c r="H192" s="14" t="str">
        <x:v>Chưa bắt đầu</x:v>
      </x:c>
      <x:c r="I192" s="20" t="n">
        <x:f>IF(H192="Hoàn thành",100%,IF(H192="Không áp dụng",100%,IF(H192="Đang thực hiện",50%,IF(H192="Đang chờ phối hợp",25%,0%))))</x:f>
        <x:v>0</x:v>
      </x:c>
      <x:c r="J192" s="58" t="str"/>
      <x:c r="K192" s="14" t="str"/>
      <x:c r="L192" s="14" t="str"/>
      <x:c r="M192" s="14" t="str"/>
      <x:c r="N192" s="14" t="str"/>
      <x:c r="O192" s="14" t="str"/>
      <x:c r="P192" s="58" t="str"/>
      <x:c r="Q192" s="14" t="str"/>
    </x:row>
    <x:row r="193">
      <x:c r="A193" s="14" t="str">
        <x:v>VATM-0192</x:v>
      </x:c>
      <x:c r="B193" s="14" t="str">
        <x:v>An toàn hàng không / SMS</x:v>
      </x:c>
      <x:c r="C193" s="14" t="str">
        <x:v>Bảo đảm an toàn, giám sát và audit</x:v>
      </x:c>
      <x:c r="D193" s="14" t="str">
        <x:v>Giám sát và đánh giá các quy trình SMS nhằm duy trì hoặc liên tục cải tiến hiệu lực tổng thể của SMS.</x:v>
      </x:c>
      <x:c r="E193" s="14" t="str">
        <x:v>Ban An toàn - Chất lượng</x:v>
      </x:c>
      <x:c r="F193" s="14" t="str">
        <x:v>P2</x:v>
      </x:c>
      <x:c r="G193" s="14" t="str">
        <x:v>Định kỳ hằng năm và sau sự cố/đánh giá/kiểm tra.</x:v>
      </x:c>
      <x:c r="H193" s="14" t="str">
        <x:v>Chưa bắt đầu</x:v>
      </x:c>
      <x:c r="I193" s="20" t="n">
        <x:f>IF(H193="Hoàn thành",100%,IF(H193="Không áp dụng",100%,IF(H193="Đang thực hiện",50%,IF(H193="Đang chờ phối hợp",25%,0%))))</x:f>
        <x:v>0</x:v>
      </x:c>
      <x:c r="J193" s="58" t="str"/>
      <x:c r="K193" s="14" t="str"/>
      <x:c r="L193" s="14" t="str"/>
      <x:c r="M193" s="14" t="str"/>
      <x:c r="N193" s="14" t="str"/>
      <x:c r="O193" s="14" t="str"/>
      <x:c r="P193" s="58" t="str"/>
      <x:c r="Q193" s="14" t="str"/>
    </x:row>
    <x:row r="194">
      <x:c r="A194" s="14" t="str">
        <x:v>VATM-0193</x:v>
      </x:c>
      <x:c r="B194" s="14" t="str">
        <x:v>An toàn hàng không / SMS</x:v>
      </x:c>
      <x:c r="C194" s="14" t="str">
        <x:v>Khung SMS và quản trị an toàn</x:v>
      </x:c>
      <x:c r="D194" s="14" t="str">
        <x:v>Xây dựng chương trình đào tạo an toàn bảo đảm nhân sự được đào tạo và có năng lực thực hiện nhiệm vụ liên quan SMS; phạm vi đào tạo phù hợp mức tham gia của từng cá nhân.</x:v>
      </x:c>
      <x:c r="E194" s="14" t="str">
        <x:v>Ban An toàn - Chất lượng</x:v>
      </x:c>
      <x:c r="F194" s="14" t="str">
        <x:v>P2</x:v>
      </x:c>
      <x:c r="G194" s="14" t="str">
        <x:v>Theo kế hoạch đào tạo; đào tạo lại khi thay đổi hoặc năng lực chưa đạt.</x:v>
      </x:c>
      <x:c r="H194" s="14" t="str">
        <x:v>Chưa bắt đầu</x:v>
      </x:c>
      <x:c r="I194" s="20" t="n">
        <x:f>IF(H194="Hoàn thành",100%,IF(H194="Không áp dụng",100%,IF(H194="Đang thực hiện",50%,IF(H194="Đang chờ phối hợp",25%,0%))))</x:f>
        <x:v>0</x:v>
      </x:c>
      <x:c r="J194" s="58" t="str"/>
      <x:c r="K194" s="14" t="str"/>
      <x:c r="L194" s="14" t="str"/>
      <x:c r="M194" s="14" t="str"/>
      <x:c r="N194" s="14" t="str"/>
      <x:c r="O194" s="14" t="str"/>
      <x:c r="P194" s="58" t="str"/>
      <x:c r="Q194" s="14" t="str"/>
    </x:row>
    <x:row r="195">
      <x:c r="A195" s="14" t="str">
        <x:v>VATM-0194</x:v>
      </x:c>
      <x:c r="B195" s="14" t="str">
        <x:v>An toàn hàng không / SMS</x:v>
      </x:c>
      <x:c r="C195" s="14" t="str">
        <x:v>Khung SMS và quản trị an toàn</x:v>
      </x:c>
      <x:c r="D195" s="14" t="str">
        <x:v>Duy trì phương thức chính thức về truyền thông an toàn để nhân sự nhận thức SMS phù hợp vị trí, truyền đạt thông tin quan trọng, giải thích lý do hành động nâng cao an toàn và lý do ban hành/thay đổi quy trình/thông tin an toàn.</x:v>
      </x:c>
      <x:c r="E195" s="14" t="str">
        <x:v>Ban An toàn - Chất lượng</x:v>
      </x:c>
      <x:c r="F195" s="14" t="str">
        <x:v>P2</x:v>
      </x:c>
      <x:c r="G195" s="14" t="str">
        <x:v>Thường xuyên; trước/sau thay đổi, sau sự cố và theo chu kỳ.</x:v>
      </x:c>
      <x:c r="H195" s="14" t="str">
        <x:v>Chưa bắt đầu</x:v>
      </x:c>
      <x:c r="I195" s="20" t="n">
        <x:f>IF(H195="Hoàn thành",100%,IF(H195="Không áp dụng",100%,IF(H195="Đang thực hiện",50%,IF(H195="Đang chờ phối hợp",25%,0%))))</x:f>
        <x:v>0</x:v>
      </x:c>
      <x:c r="J195" s="58" t="str"/>
      <x:c r="K195" s="14" t="str"/>
      <x:c r="L195" s="14" t="str"/>
      <x:c r="M195" s="14" t="str"/>
      <x:c r="N195" s="14" t="str"/>
      <x:c r="O195" s="14" t="str"/>
      <x:c r="P195" s="58" t="str"/>
      <x:c r="Q195" s="14" t="str"/>
    </x:row>
    <x:row r="196">
      <x:c r="A196" s="14" t="str">
        <x:v>VATM-0195</x:v>
      </x:c>
      <x:c r="B196" s="14" t="str">
        <x:v>An toàn hàng không / SMS</x:v>
      </x:c>
      <x:c r="C196" s="14" t="str">
        <x:v>Bảo đảm an toàn, giám sát và audit</x:v>
      </x:c>
      <x:c r="D196" s="14" t="str">
        <x:v>Kiểm soát chặt chẽ dữ liệu ghi âm liên lạc kiểm soát không lưu và dữ liệu ghi âm/ghi hình môi trường làm việc tương tự; việc tiếp cận, sử dụng, cung cấp, công bố chỉ theo yêu cầu cơ quan nhà nước có thẩm quyền.</x:v>
      </x:c>
      <x:c r="E196" s="14" t="str">
        <x:v>Ban An toàn - Chất lượng</x:v>
      </x:c>
      <x:c r="F196" s="14" t="str">
        <x:v>P2</x:v>
      </x:c>
      <x:c r="G196" s="14" t="str">
        <x:v>Thường xuyên; mỗi lần khai thác/cung cấp dữ liệu.</x:v>
      </x:c>
      <x:c r="H196" s="14" t="str">
        <x:v>Chưa bắt đầu</x:v>
      </x:c>
      <x:c r="I196" s="20" t="n">
        <x:f>IF(H196="Hoàn thành",100%,IF(H196="Không áp dụng",100%,IF(H196="Đang thực hiện",50%,IF(H196="Đang chờ phối hợp",25%,0%))))</x:f>
        <x:v>0</x:v>
      </x:c>
      <x:c r="J196" s="58" t="str"/>
      <x:c r="K196" s="14" t="str"/>
      <x:c r="L196" s="14" t="str"/>
      <x:c r="M196" s="14" t="str"/>
      <x:c r="N196" s="14" t="str"/>
      <x:c r="O196" s="14" t="str"/>
      <x:c r="P196" s="58" t="str"/>
      <x:c r="Q196" s="14" t="str"/>
    </x:row>
    <x:row r="197">
      <x:c r="A197" s="14" t="str">
        <x:v>VATM-0196</x:v>
      </x:c>
      <x:c r="B197" s="14" t="str">
        <x:v>An toàn hàng không / SMS</x:v>
      </x:c>
      <x:c r="C197" s="14" t="str">
        <x:v>Báo cáo MOR, sự cố và điều tra</x:v>
      </x:c>
      <x:c r="D197" s="14" t="str">
        <x:v>Thiết lập hệ thống báo cáo an toàn tới Cục HKVN, bao gồm báo cáo bắt buộc, tự nguyện, điều tra/xác minh/giảng bình, định kỳ; hình thức giấy, điện tử hoặc số.</x:v>
      </x:c>
      <x:c r="E197" s="14" t="str">
        <x:v>Ban An toàn - Chất lượng</x:v>
      </x:c>
      <x:c r="F197" s="14" t="str">
        <x:v>P2</x:v>
      </x:c>
      <x:c r="G197" s="14" t="str">
        <x:v>Duy trì thường xuyên; sẵn sàng kết nối dữ liệu số theo hướng dẫn Cục HKVN.</x:v>
      </x:c>
      <x:c r="H197" s="14" t="str">
        <x:v>Chưa bắt đầu</x:v>
      </x:c>
      <x:c r="I197" s="20" t="n">
        <x:f>IF(H197="Hoàn thành",100%,IF(H197="Không áp dụng",100%,IF(H197="Đang thực hiện",50%,IF(H197="Đang chờ phối hợp",25%,0%))))</x:f>
        <x:v>0</x:v>
      </x:c>
      <x:c r="J197" s="58" t="str"/>
      <x:c r="K197" s="14" t="str"/>
      <x:c r="L197" s="14" t="str"/>
      <x:c r="M197" s="14" t="str"/>
      <x:c r="N197" s="14" t="str"/>
      <x:c r="O197" s="14" t="str"/>
      <x:c r="P197" s="58" t="str"/>
      <x:c r="Q197" s="14" t="str"/>
    </x:row>
    <x:row r="198">
      <x:c r="A198" s="14" t="str">
        <x:v>VATM-0197</x:v>
      </x:c>
      <x:c r="B198" s="14" t="str">
        <x:v>An toàn hàng không / SMS</x:v>
      </x:c>
      <x:c r="C198" s="14" t="str">
        <x:v>Báo cáo MOR, sự cố và điều tra</x:v>
      </x:c>
      <x:c r="D198" s="14" t="str">
        <x:v>Báo cáo trong vòng 24 giờ các sự cố, vụ việc thuộc Phụ lục III Chương III: sự cố tác động trực tiếp đến tàu bay; sự cố ảnh hưởng cung cấp dịch vụ BĐHĐB; các sự cố khác.</x:v>
      </x:c>
      <x:c r="E198" s="14" t="str">
        <x:v>Ban An toàn - Chất lượng</x:v>
      </x:c>
      <x:c r="F198" s="14" t="str">
        <x:v>P2</x:v>
      </x:c>
      <x:c r="G198" s="14" t="str">
        <x:v>Thông báo ngay; MOR tối đa 24 giờ; kết luận/xác minh trong 30 ngày nếu thuộc sự cố/tai nạn.</x:v>
      </x:c>
      <x:c r="H198" s="14" t="str">
        <x:v>Chưa bắt đầu</x:v>
      </x:c>
      <x:c r="I198" s="20" t="n">
        <x:f>IF(H198="Hoàn thành",100%,IF(H198="Không áp dụng",100%,IF(H198="Đang thực hiện",50%,IF(H198="Đang chờ phối hợp",25%,0%))))</x:f>
        <x:v>0</x:v>
      </x:c>
      <x:c r="J198" s="58" t="str"/>
      <x:c r="K198" s="14" t="str"/>
      <x:c r="L198" s="14" t="str"/>
      <x:c r="M198" s="14" t="str"/>
      <x:c r="N198" s="14" t="str"/>
      <x:c r="O198" s="14" t="str"/>
      <x:c r="P198" s="58" t="str"/>
      <x:c r="Q198" s="14" t="str"/>
    </x:row>
    <x:row r="199">
      <x:c r="A199" s="14" t="str">
        <x:v>VATM-0198</x:v>
      </x:c>
      <x:c r="B199" s="14" t="str">
        <x:v>An toàn hàng không / SMS</x:v>
      </x:c>
      <x:c r="C199" s="14" t="str">
        <x:v>Quản lý rủi ro và thay đổi</x:v>
      </x:c>
      <x:c r="D199" s="14" t="str">
        <x:v>Báo cáo trong vòng 72 giờ các vụ việc khác không phải sự cố/tai nạn nhưng cần thống kê/phân tích để nhận diện mối nguy và kiểm soát rủi ro, nếu đã/có nguy cơ gián đoạn hoạt động bay hoặc suy giảm/gián đoạn năng lực cung cấp dịch vụ.</x:v>
      </x:c>
      <x:c r="E199" s="14" t="str">
        <x:v>Ban An toàn - Chất lượng</x:v>
      </x:c>
      <x:c r="F199" s="14" t="str">
        <x:v>P2</x:v>
      </x:c>
      <x:c r="G199" s="14" t="str">
        <x:v>Tối đa 72 giờ kể từ khi phát hiện/xảy ra.</x:v>
      </x:c>
      <x:c r="H199" s="14" t="str">
        <x:v>Chưa bắt đầu</x:v>
      </x:c>
      <x:c r="I199" s="20" t="n">
        <x:f>IF(H199="Hoàn thành",100%,IF(H199="Không áp dụng",100%,IF(H199="Đang thực hiện",50%,IF(H199="Đang chờ phối hợp",25%,0%))))</x:f>
        <x:v>0</x:v>
      </x:c>
      <x:c r="J199" s="58" t="str"/>
      <x:c r="K199" s="14" t="str"/>
      <x:c r="L199" s="14" t="str"/>
      <x:c r="M199" s="14" t="str"/>
      <x:c r="N199" s="14" t="str"/>
      <x:c r="O199" s="14" t="str"/>
      <x:c r="P199" s="58" t="str"/>
      <x:c r="Q199" s="14" t="str"/>
    </x:row>
    <x:row r="200">
      <x:c r="A200" s="14" t="str">
        <x:v>VATM-0199</x:v>
      </x:c>
      <x:c r="B200" s="14" t="str">
        <x:v>An toàn hàng không / SMS</x:v>
      </x:c>
      <x:c r="C200" s="14" t="str">
        <x:v>Báo cáo MOR, sự cố và điều tra</x:v>
      </x:c>
      <x:c r="D200" s="14" t="str">
        <x:v>Theo dõi, phân tích, đáp ứng chỉ tiêu đối với các SPI ANS-01 đến ANS-09 và SPI chung GEN-01 đến GEN-05; xây dựng bộ SPI/SPT nội bộ và báo cáo kết quả thực hiện.</x:v>
      </x:c>
      <x:c r="E200" s="14" t="str">
        <x:v>Ban An toàn - Chất lượng</x:v>
      </x:c>
      <x:c r="F200" s="14" t="str">
        <x:v>P2</x:v>
      </x:c>
      <x:c r="G200" s="14" t="str">
        <x:v>Theo tháng/quý/năm; quy định SPI/SPT áp dụng từ 01/01/2027; Cục HKVN công bố SPT trước 15/01 hằng năm.</x:v>
      </x:c>
      <x:c r="H200" s="14" t="str">
        <x:v>Chưa bắt đầu</x:v>
      </x:c>
      <x:c r="I200" s="20" t="n">
        <x:f>IF(H200="Hoàn thành",100%,IF(H200="Không áp dụng",100%,IF(H200="Đang thực hiện",50%,IF(H200="Đang chờ phối hợp",25%,0%))))</x:f>
        <x:v>0</x:v>
      </x:c>
      <x:c r="J200" s="58" t="str"/>
      <x:c r="K200" s="14" t="str"/>
      <x:c r="L200" s="14" t="str"/>
      <x:c r="M200" s="14" t="str"/>
      <x:c r="N200" s="14" t="str"/>
      <x:c r="O200" s="14" t="str"/>
      <x:c r="P200" s="58" t="str"/>
      <x:c r="Q200" s="14" t="str"/>
    </x:row>
    <x:row r="201">
      <x:c r="A201" s="14" t="str">
        <x:v>VATM-0200</x:v>
      </x:c>
      <x:c r="B201" s="14" t="str">
        <x:v>An toàn hàng không / SMS</x:v>
      </x:c>
      <x:c r="C201" s="14" t="str">
        <x:v>Quản lý rủi ro và thay đổi</x:v>
      </x:c>
      <x:c r="D201" s="14" t="str">
        <x:v>Gửi báo cáo an toàn tháng/quý/năm đến Cục HKVN với nội dung hoạt động, sự cố/tai nạn/vụ việc, SPI/SPT thực tế và xu hướng, biện pháp khi tiếp cận/vượt ngưỡng, mối nguy, kiến nghị; báo cáo năm bổ sung đánh giá SPT, danh mục mối nguy và SPT dự kiến năm sau.</x:v>
      </x:c>
      <x:c r="E201" s="14" t="str">
        <x:v>Ban An toàn - Chất lượng</x:v>
      </x:c>
      <x:c r="F201" s="14" t="str">
        <x:v>P2</x:v>
      </x:c>
      <x:c r="G201" s="14" t="str">
        <x:v>Tháng trước ngày 17; quý trước ngày 17 tháng 3/6/9; năm trước 17/12; số liệu từ ngày 16 tháng trước đến 15 tháng sau.</x:v>
      </x:c>
      <x:c r="H201" s="14" t="str">
        <x:v>Chưa bắt đầu</x:v>
      </x:c>
      <x:c r="I201" s="20" t="n">
        <x:f>IF(H201="Hoàn thành",100%,IF(H201="Không áp dụng",100%,IF(H201="Đang thực hiện",50%,IF(H201="Đang chờ phối hợp",25%,0%))))</x:f>
        <x:v>0</x:v>
      </x:c>
      <x:c r="J201" s="58" t="str"/>
      <x:c r="K201" s="14" t="str"/>
      <x:c r="L201" s="14" t="str"/>
      <x:c r="M201" s="14" t="str"/>
      <x:c r="N201" s="14" t="str"/>
      <x:c r="O201" s="14" t="str"/>
      <x:c r="P201" s="58" t="str"/>
      <x:c r="Q201" s="14" t="str"/>
    </x:row>
    <x:row r="202">
      <x:c r="A202" s="14" t="str">
        <x:v>VATM-0201</x:v>
      </x:c>
      <x:c r="B202" s="14" t="str">
        <x:v>An toàn hàng không / SMS</x:v>
      </x:c>
      <x:c r="C202" s="14" t="str">
        <x:v>Quản lý rủi ro và thay đổi</x:v>
      </x:c>
      <x:c r="D202" s="14" t="str">
        <x:v>Phối hợp, chấp hành giám sát an toàn của Nhà chức trách; thực hiện đầy đủ, đúng hạn nội dung không phù hợp, khuyến cáo an toàn, kiến nghị an toàn và biện pháp kiểm soát rủi ro.</x:v>
      </x:c>
      <x:c r="E202" s="14" t="str">
        <x:v>Ban An toàn - Chất lượng</x:v>
      </x:c>
      <x:c r="F202" s="14" t="str">
        <x:v>P2</x:v>
      </x:c>
      <x:c r="G202" s="14" t="str">
        <x:v>Theo thời hạn Cục HKVN/Nhà chức trách yêu cầu.</x:v>
      </x:c>
      <x:c r="H202" s="14" t="str">
        <x:v>Chưa bắt đầu</x:v>
      </x:c>
      <x:c r="I202" s="20" t="n">
        <x:f>IF(H202="Hoàn thành",100%,IF(H202="Không áp dụng",100%,IF(H202="Đang thực hiện",50%,IF(H202="Đang chờ phối hợp",25%,0%))))</x:f>
        <x:v>0</x:v>
      </x:c>
      <x:c r="J202" s="58" t="str"/>
      <x:c r="K202" s="14" t="str"/>
      <x:c r="L202" s="14" t="str"/>
      <x:c r="M202" s="14" t="str"/>
      <x:c r="N202" s="14" t="str"/>
      <x:c r="O202" s="14" t="str"/>
      <x:c r="P202" s="58" t="str"/>
      <x:c r="Q202" s="14" t="str"/>
    </x:row>
    <x:row r="203">
      <x:c r="A203" s="14" t="str">
        <x:v>VATM-0202</x:v>
      </x:c>
      <x:c r="B203" s="14" t="str">
        <x:v>An toàn hàng không / SMS</x:v>
      </x:c>
      <x:c r="C203" s="14" t="str">
        <x:v>Khung SMS và quản trị an toàn</x:v>
      </x:c>
      <x:c r="D203" s="14" t="str">
        <x:v>Thu thập, ghi nhận, phân tích, lưu giữ, bảo mật dữ liệu an toàn; kịp thời chia sẻ/cung cấp dữ liệu cho Cục HKVN theo yêu cầu; phổ biến kịp thời khuyến cáo an toàn của Cục HKVN và thông tin an toàn nội bộ/liên quan.</x:v>
      </x:c>
      <x:c r="E203" s="14" t="str">
        <x:v>Ban An toàn - Chất lượng</x:v>
      </x:c>
      <x:c r="F203" s="14" t="str">
        <x:v>P2</x:v>
      </x:c>
      <x:c r="G203" s="14" t="str">
        <x:v>Thường xuyên; kịp thời khi có yêu cầu hoặc thông tin mới.</x:v>
      </x:c>
      <x:c r="H203" s="14" t="str">
        <x:v>Chưa bắt đầu</x:v>
      </x:c>
      <x:c r="I203" s="20" t="n">
        <x:f>IF(H203="Hoàn thành",100%,IF(H203="Không áp dụng",100%,IF(H203="Đang thực hiện",50%,IF(H203="Đang chờ phối hợp",25%,0%))))</x:f>
        <x:v>0</x:v>
      </x:c>
      <x:c r="J203" s="58" t="str"/>
      <x:c r="K203" s="14" t="str"/>
      <x:c r="L203" s="14" t="str"/>
      <x:c r="M203" s="14" t="str"/>
      <x:c r="N203" s="14" t="str"/>
      <x:c r="O203" s="14" t="str"/>
      <x:c r="P203" s="58" t="str"/>
      <x:c r="Q203" s="14" t="str"/>
    </x:row>
    <x:row r="204">
      <x:c r="A204" s="14" t="str">
        <x:v>VATM-0203</x:v>
      </x:c>
      <x:c r="B204" s="14" t="str">
        <x:v>An toàn hàng không / SMS</x:v>
      </x:c>
      <x:c r="C204" s="14" t="str">
        <x:v>Khung SMS và quản trị an toàn</x:v>
      </x:c>
      <x:c r="D204" s="14" t="str">
        <x:v>Chính sách an toàn phản ánh cam kết của tổ chức đối với an toàn, bao gồm thúc đẩy văn hóa an toàn tích cực.</x:v>
      </x:c>
      <x:c r="E204" s="14" t="str">
        <x:v>Ban An toàn - Chất lượng</x:v>
      </x:c>
      <x:c r="F204" s="14" t="str">
        <x:v>P2</x:v>
      </x:c>
      <x:c r="G204" s="14" t="str">
        <x:v>Rà soát hằng năm và khi thay đổi lớn.</x:v>
      </x:c>
      <x:c r="H204" s="14" t="str">
        <x:v>Chưa bắt đầu</x:v>
      </x:c>
      <x:c r="I204" s="20" t="n">
        <x:f>IF(H204="Hoàn thành",100%,IF(H204="Không áp dụng",100%,IF(H204="Đang thực hiện",50%,IF(H204="Đang chờ phối hợp",25%,0%))))</x:f>
        <x:v>0</x:v>
      </x:c>
      <x:c r="J204" s="58" t="str"/>
      <x:c r="K204" s="14" t="str"/>
      <x:c r="L204" s="14" t="str"/>
      <x:c r="M204" s="14" t="str"/>
      <x:c r="N204" s="14" t="str"/>
      <x:c r="O204" s="14" t="str"/>
      <x:c r="P204" s="58" t="str"/>
      <x:c r="Q204" s="14" t="str"/>
    </x:row>
    <x:row r="205">
      <x:c r="A205" s="14" t="str">
        <x:v>VATM-0204</x:v>
      </x:c>
      <x:c r="B205" s="14" t="str">
        <x:v>An toàn hàng không / SMS</x:v>
      </x:c>
      <x:c r="C205" s="14" t="str">
        <x:v>Khung SMS và quản trị an toàn</x:v>
      </x:c>
      <x:c r="D205" s="14" t="str">
        <x:v>Chính sách bao gồm tuyên bố rõ ràng về việc cung cấp nguồn lực cần thiết để triển khai chính sách an toàn.</x:v>
      </x:c>
      <x:c r="E205" s="14" t="str">
        <x:v>Ban An toàn - Chất lượng</x:v>
      </x:c>
      <x:c r="F205" s="14" t="str">
        <x:v>P2</x:v>
      </x:c>
      <x:c r="G205" s="14" t="str">
        <x:v>Hằng năm trong kế hoạch nguồn lực.</x:v>
      </x:c>
      <x:c r="H205" s="14" t="str">
        <x:v>Chưa bắt đầu</x:v>
      </x:c>
      <x:c r="I205" s="20" t="n">
        <x:f>IF(H205="Hoàn thành",100%,IF(H205="Không áp dụng",100%,IF(H205="Đang thực hiện",50%,IF(H205="Đang chờ phối hợp",25%,0%))))</x:f>
        <x:v>0</x:v>
      </x:c>
      <x:c r="J205" s="58" t="str"/>
      <x:c r="K205" s="14" t="str"/>
      <x:c r="L205" s="14" t="str"/>
      <x:c r="M205" s="14" t="str"/>
      <x:c r="N205" s="14" t="str"/>
      <x:c r="O205" s="14" t="str"/>
      <x:c r="P205" s="58" t="str"/>
      <x:c r="Q205" s="14" t="str"/>
    </x:row>
    <x:row r="206">
      <x:c r="A206" s="14" t="str">
        <x:v>VATM-0205</x:v>
      </x:c>
      <x:c r="B206" s="14" t="str">
        <x:v>An toàn hàng không / SMS</x:v>
      </x:c>
      <x:c r="C206" s="14" t="str">
        <x:v>Khung SMS và quản trị an toàn</x:v>
      </x:c>
      <x:c r="D206" s="14" t="str">
        <x:v>Chính sách bao gồm các quy trình báo cáo an toàn.</x:v>
      </x:c>
      <x:c r="E206" s="14" t="str">
        <x:v>Ban An toàn - Chất lượng</x:v>
      </x:c>
      <x:c r="F206" s="14" t="str">
        <x:v>P2</x:v>
      </x:c>
      <x:c r="G206" s="14" t="str">
        <x:v>Duy trì; cập nhật khi thay đổi quy trình.</x:v>
      </x:c>
      <x:c r="H206" s="14" t="str">
        <x:v>Chưa bắt đầu</x:v>
      </x:c>
      <x:c r="I206" s="20" t="n">
        <x:f>IF(H206="Hoàn thành",100%,IF(H206="Không áp dụng",100%,IF(H206="Đang thực hiện",50%,IF(H206="Đang chờ phối hợp",25%,0%))))</x:f>
        <x:v>0</x:v>
      </x:c>
      <x:c r="J206" s="58" t="str"/>
      <x:c r="K206" s="14" t="str"/>
      <x:c r="L206" s="14" t="str"/>
      <x:c r="M206" s="14" t="str"/>
      <x:c r="N206" s="14" t="str"/>
      <x:c r="O206" s="14" t="str"/>
      <x:c r="P206" s="58" t="str"/>
      <x:c r="Q206" s="14" t="str"/>
    </x:row>
    <x:row r="207">
      <x:c r="A207" s="14" t="str">
        <x:v>VATM-0206</x:v>
      </x:c>
      <x:c r="B207" s="14" t="str">
        <x:v>An toàn hàng không / SMS</x:v>
      </x:c>
      <x:c r="C207" s="14" t="str">
        <x:v>Khung SMS và quản trị an toàn</x:v>
      </x:c>
      <x:c r="D207" s="14" t="str">
        <x:v>Chính sách nêu rõ các loại hành vi không thể chấp nhận liên quan đến hoạt động hàng không của tổ chức cung cấp dịch vụ hàng không và các trường hợp hành động kỷ luật sẽ không được áp dụng.</x:v>
      </x:c>
      <x:c r="E207" s="14" t="str">
        <x:v>Ban An toàn - Chất lượng</x:v>
      </x:c>
      <x:c r="F207" s="14" t="str">
        <x:v>P2</x:v>
      </x:c>
      <x:c r="G207" s="14" t="str">
        <x:v>Rà soát hằng năm.</x:v>
      </x:c>
      <x:c r="H207" s="14" t="str">
        <x:v>Chưa bắt đầu</x:v>
      </x:c>
      <x:c r="I207" s="20" t="n">
        <x:f>IF(H207="Hoàn thành",100%,IF(H207="Không áp dụng",100%,IF(H207="Đang thực hiện",50%,IF(H207="Đang chờ phối hợp",25%,0%))))</x:f>
        <x:v>0</x:v>
      </x:c>
      <x:c r="J207" s="58" t="str"/>
      <x:c r="K207" s="14" t="str"/>
      <x:c r="L207" s="14" t="str"/>
      <x:c r="M207" s="14" t="str"/>
      <x:c r="N207" s="14" t="str"/>
      <x:c r="O207" s="14" t="str"/>
      <x:c r="P207" s="58" t="str"/>
      <x:c r="Q207" s="14" t="str"/>
    </x:row>
    <x:row r="208">
      <x:c r="A208" s="14" t="str">
        <x:v>VATM-0207</x:v>
      </x:c>
      <x:c r="B208" s="14" t="str">
        <x:v>An toàn hàng không / SMS</x:v>
      </x:c>
      <x:c r="C208" s="14" t="str">
        <x:v>Khung SMS và quản trị an toàn</x:v>
      </x:c>
      <x:c r="D208" s="14" t="str">
        <x:v>Chính sách an toàn được ký bởi người đứng đầu tổ chức theo quy định pháp luật.</x:v>
      </x:c>
      <x:c r="E208" s="14" t="str">
        <x:v>Ban An toàn - Chất lượng</x:v>
      </x:c>
      <x:c r="F208" s="14" t="str">
        <x:v>P2</x:v>
      </x:c>
      <x:c r="G208" s="14" t="str">
        <x:v>Khi ban hành/cập nhật.</x:v>
      </x:c>
      <x:c r="H208" s="14" t="str">
        <x:v>Chưa bắt đầu</x:v>
      </x:c>
      <x:c r="I208" s="20" t="n">
        <x:f>IF(H208="Hoàn thành",100%,IF(H208="Không áp dụng",100%,IF(H208="Đang thực hiện",50%,IF(H208="Đang chờ phối hợp",25%,0%))))</x:f>
        <x:v>0</x:v>
      </x:c>
      <x:c r="J208" s="58" t="str"/>
      <x:c r="K208" s="14" t="str"/>
      <x:c r="L208" s="14" t="str"/>
      <x:c r="M208" s="14" t="str"/>
      <x:c r="N208" s="14" t="str"/>
      <x:c r="O208" s="14" t="str"/>
      <x:c r="P208" s="58" t="str"/>
      <x:c r="Q208" s="14" t="str"/>
    </x:row>
    <x:row r="209">
      <x:c r="A209" s="14" t="str">
        <x:v>VATM-0208</x:v>
      </x:c>
      <x:c r="B209" s="14" t="str">
        <x:v>An toàn hàng không / SMS</x:v>
      </x:c>
      <x:c r="C209" s="14" t="str">
        <x:v>Khung SMS và quản trị an toàn</x:v>
      </x:c>
      <x:c r="D209" s="14" t="str">
        <x:v>Chính sách được phổ biến trong toàn bộ tổ chức và rà soát định kỳ hằng năm để bảo đảm phù hợp hoạt động.</x:v>
      </x:c>
      <x:c r="E209" s="14" t="str">
        <x:v>Ban An toàn - Chất lượng</x:v>
      </x:c>
      <x:c r="F209" s="14" t="str">
        <x:v>P2</x:v>
      </x:c>
      <x:c r="G209" s="14" t="str">
        <x:v>Hằng năm và khi có thay đổi.</x:v>
      </x:c>
      <x:c r="H209" s="14" t="str">
        <x:v>Chưa bắt đầu</x:v>
      </x:c>
      <x:c r="I209" s="20" t="n">
        <x:f>IF(H209="Hoàn thành",100%,IF(H209="Không áp dụng",100%,IF(H209="Đang thực hiện",50%,IF(H209="Đang chờ phối hợp",25%,0%))))</x:f>
        <x:v>0</x:v>
      </x:c>
      <x:c r="J209" s="58" t="str"/>
      <x:c r="K209" s="14" t="str"/>
      <x:c r="L209" s="14" t="str"/>
      <x:c r="M209" s="14" t="str"/>
      <x:c r="N209" s="14" t="str"/>
      <x:c r="O209" s="14" t="str"/>
      <x:c r="P209" s="58" t="str"/>
      <x:c r="Q209" s="14" t="str"/>
    </x:row>
    <x:row r="210">
      <x:c r="A210" s="14" t="str">
        <x:v>VATM-0209</x:v>
      </x:c>
      <x:c r="B210" s="14" t="str">
        <x:v>An toàn hàng không / SMS</x:v>
      </x:c>
      <x:c r="C210" s="14" t="str">
        <x:v>Khung SMS và quản trị an toàn</x:v>
      </x:c>
      <x:c r="D210" s="14" t="str">
        <x:v>Mục tiêu an toàn làm cơ sở cho việc đo lường và giám sát hiệu quả an toàn.</x:v>
      </x:c>
      <x:c r="E210" s="14" t="str">
        <x:v>Ban An toàn - Chất lượng</x:v>
      </x:c>
      <x:c r="F210" s="14" t="str">
        <x:v>P2</x:v>
      </x:c>
      <x:c r="G210" s="14" t="str">
        <x:v>Hằng năm/giai đoạn.</x:v>
      </x:c>
      <x:c r="H210" s="14" t="str">
        <x:v>Chưa bắt đầu</x:v>
      </x:c>
      <x:c r="I210" s="20" t="n">
        <x:f>IF(H210="Hoàn thành",100%,IF(H210="Không áp dụng",100%,IF(H210="Đang thực hiện",50%,IF(H210="Đang chờ phối hợp",25%,0%))))</x:f>
        <x:v>0</x:v>
      </x:c>
      <x:c r="J210" s="58" t="str"/>
      <x:c r="K210" s="14" t="str"/>
      <x:c r="L210" s="14" t="str"/>
      <x:c r="M210" s="14" t="str"/>
      <x:c r="N210" s="14" t="str"/>
      <x:c r="O210" s="14" t="str"/>
      <x:c r="P210" s="58" t="str"/>
      <x:c r="Q210" s="14" t="str"/>
    </x:row>
    <x:row r="211">
      <x:c r="A211" s="14" t="str">
        <x:v>VATM-0210</x:v>
      </x:c>
      <x:c r="B211" s="14" t="str">
        <x:v>An toàn hàng không / SMS</x:v>
      </x:c>
      <x:c r="C211" s="14" t="str">
        <x:v>Khung SMS và quản trị an toàn</x:v>
      </x:c>
      <x:c r="D211" s="14" t="str">
        <x:v>Mục tiêu phản ánh cam kết duy trì hoặc liên tục cải tiến hiệu lực tổng thể của SMS.</x:v>
      </x:c>
      <x:c r="E211" s="14" t="str">
        <x:v>Ban An toàn - Chất lượng</x:v>
      </x:c>
      <x:c r="F211" s="14" t="str">
        <x:v>P2</x:v>
      </x:c>
      <x:c r="G211" s="14" t="str">
        <x:v>Hằng năm.</x:v>
      </x:c>
      <x:c r="H211" s="14" t="str">
        <x:v>Chưa bắt đầu</x:v>
      </x:c>
      <x:c r="I211" s="20" t="n">
        <x:f>IF(H211="Hoàn thành",100%,IF(H211="Không áp dụng",100%,IF(H211="Đang thực hiện",50%,IF(H211="Đang chờ phối hợp",25%,0%))))</x:f>
        <x:v>0</x:v>
      </x:c>
      <x:c r="J211" s="58" t="str"/>
      <x:c r="K211" s="14" t="str"/>
      <x:c r="L211" s="14" t="str"/>
      <x:c r="M211" s="14" t="str"/>
      <x:c r="N211" s="14" t="str"/>
      <x:c r="O211" s="14" t="str"/>
      <x:c r="P211" s="58" t="str"/>
      <x:c r="Q211" s="14" t="str"/>
    </x:row>
    <x:row r="212">
      <x:c r="A212" s="14" t="str">
        <x:v>VATM-0211</x:v>
      </x:c>
      <x:c r="B212" s="14" t="str">
        <x:v>An toàn hàng không / SMS</x:v>
      </x:c>
      <x:c r="C212" s="14" t="str">
        <x:v>Khung SMS và quản trị an toàn</x:v>
      </x:c>
      <x:c r="D212" s="14" t="str">
        <x:v>Mục tiêu an toàn được phổ biến trong toàn bộ tổ chức và rà soát hằng năm để bảo đảm phù hợp.</x:v>
      </x:c>
      <x:c r="E212" s="14" t="str">
        <x:v>Ban An toàn - Chất lượng</x:v>
      </x:c>
      <x:c r="F212" s="14" t="str">
        <x:v>P2</x:v>
      </x:c>
      <x:c r="G212" s="14" t="str">
        <x:v>Hằng năm.</x:v>
      </x:c>
      <x:c r="H212" s="14" t="str">
        <x:v>Chưa bắt đầu</x:v>
      </x:c>
      <x:c r="I212" s="20" t="n">
        <x:f>IF(H212="Hoàn thành",100%,IF(H212="Không áp dụng",100%,IF(H212="Đang thực hiện",50%,IF(H212="Đang chờ phối hợp",25%,0%))))</x:f>
        <x:v>0</x:v>
      </x:c>
      <x:c r="J212" s="58" t="str"/>
      <x:c r="K212" s="14" t="str"/>
      <x:c r="L212" s="14" t="str"/>
      <x:c r="M212" s="14" t="str"/>
      <x:c r="N212" s="14" t="str"/>
      <x:c r="O212" s="14" t="str"/>
      <x:c r="P212" s="58" t="str"/>
      <x:c r="Q212" s="14" t="str"/>
    </x:row>
    <x:row r="213">
      <x:c r="A213" s="14" t="str">
        <x:v>VATM-0212</x:v>
      </x:c>
      <x:c r="B213" s="14" t="str">
        <x:v>An toàn hàng không / SMS</x:v>
      </x:c>
      <x:c r="C213" s="14" t="str">
        <x:v>Khung SMS và quản trị an toàn</x:v>
      </x:c>
      <x:c r="D213" s="14" t="str">
        <x:v>Xác định trách nhiệm của người đứng đầu tổ chức, chịu trách nhiệm pháp lý cao nhất và cuối cùng đối với triển khai và duy trì hiệu quả SMS.</x:v>
      </x:c>
      <x:c r="E213" s="14" t="str">
        <x:v>Ban An toàn - Chất lượng</x:v>
      </x:c>
      <x:c r="F213" s="14" t="str">
        <x:v>P2</x:v>
      </x:c>
      <x:c r="G213" s="14" t="str">
        <x:v>Duy trì; cập nhật khi thay đổi lãnh đạo/tổ chức.</x:v>
      </x:c>
      <x:c r="H213" s="14" t="str">
        <x:v>Chưa bắt đầu</x:v>
      </x:c>
      <x:c r="I213" s="20" t="n">
        <x:f>IF(H213="Hoàn thành",100%,IF(H213="Không áp dụng",100%,IF(H213="Đang thực hiện",50%,IF(H213="Đang chờ phối hợp",25%,0%))))</x:f>
        <x:v>0</x:v>
      </x:c>
      <x:c r="J213" s="58" t="str"/>
      <x:c r="K213" s="14" t="str"/>
      <x:c r="L213" s="14" t="str"/>
      <x:c r="M213" s="14" t="str"/>
      <x:c r="N213" s="14" t="str"/>
      <x:c r="O213" s="14" t="str"/>
      <x:c r="P213" s="58" t="str"/>
      <x:c r="Q213" s="14" t="str"/>
    </x:row>
    <x:row r="214">
      <x:c r="A214" s="14" t="str">
        <x:v>VATM-0213</x:v>
      </x:c>
      <x:c r="B214" s="14" t="str">
        <x:v>An toàn hàng không / SMS</x:v>
      </x:c>
      <x:c r="C214" s="14" t="str">
        <x:v>Khung SMS và quản trị an toàn</x:v>
      </x:c>
      <x:c r="D214" s="14" t="str">
        <x:v>Xác định đầy đủ chức năng, nhiệm vụ, quyền hạn bằng văn bản về an toàn và phổ biến trong toàn bộ tổ chức.</x:v>
      </x:c>
      <x:c r="E214" s="14" t="str">
        <x:v>Ban An toàn - Chất lượng</x:v>
      </x:c>
      <x:c r="F214" s="14" t="str">
        <x:v>P2</x:v>
      </x:c>
      <x:c r="G214" s="14" t="str">
        <x:v>Duy trì; cập nhật khi thay đổi.</x:v>
      </x:c>
      <x:c r="H214" s="14" t="str">
        <x:v>Chưa bắt đầu</x:v>
      </x:c>
      <x:c r="I214" s="20" t="n">
        <x:f>IF(H214="Hoàn thành",100%,IF(H214="Không áp dụng",100%,IF(H214="Đang thực hiện",50%,IF(H214="Đang chờ phối hợp",25%,0%))))</x:f>
        <x:v>0</x:v>
      </x:c>
      <x:c r="J214" s="58" t="str"/>
      <x:c r="K214" s="14" t="str"/>
      <x:c r="L214" s="14" t="str"/>
      <x:c r="M214" s="14" t="str"/>
      <x:c r="N214" s="14" t="str"/>
      <x:c r="O214" s="14" t="str"/>
      <x:c r="P214" s="58" t="str"/>
      <x:c r="Q214" s="14" t="str"/>
    </x:row>
    <x:row r="215">
      <x:c r="A215" s="14" t="str">
        <x:v>VATM-0214</x:v>
      </x:c>
      <x:c r="B215" s="14" t="str">
        <x:v>An toàn hàng không / SMS</x:v>
      </x:c>
      <x:c r="C215" s="14" t="str">
        <x:v>Khung SMS và quản trị an toàn</x:v>
      </x:c>
      <x:c r="D215" s="14" t="str">
        <x:v>Xác định các cấp quản lý có thẩm quyền ra quyết định liên quan đến mức độ chấp nhận rủi ro an toàn.</x:v>
      </x:c>
      <x:c r="E215" s="14" t="str">
        <x:v>Ban An toàn - Chất lượng</x:v>
      </x:c>
      <x:c r="F215" s="14" t="str">
        <x:v>P2</x:v>
      </x:c>
      <x:c r="G215" s="14" t="str">
        <x:v>Duy trì; áp dụng mỗi đánh giá rủi ro.</x:v>
      </x:c>
      <x:c r="H215" s="14" t="str">
        <x:v>Chưa bắt đầu</x:v>
      </x:c>
      <x:c r="I215" s="20" t="n">
        <x:f>IF(H215="Hoàn thành",100%,IF(H215="Không áp dụng",100%,IF(H215="Đang thực hiện",50%,IF(H215="Đang chờ phối hợp",25%,0%))))</x:f>
        <x:v>0</x:v>
      </x:c>
      <x:c r="J215" s="58" t="str"/>
      <x:c r="K215" s="14" t="str"/>
      <x:c r="L215" s="14" t="str"/>
      <x:c r="M215" s="14" t="str"/>
      <x:c r="N215" s="14" t="str"/>
      <x:c r="O215" s="14" t="str"/>
      <x:c r="P215" s="58" t="str"/>
      <x:c r="Q215" s="14" t="str"/>
    </x:row>
    <x:row r="216">
      <x:c r="A216" s="14" t="str">
        <x:v>VATM-0215</x:v>
      </x:c>
      <x:c r="B216" s="14" t="str">
        <x:v>An toàn hàng không / SMS</x:v>
      </x:c>
      <x:c r="C216" s="14" t="str">
        <x:v>Khung SMS và quản trị an toàn</x:v>
      </x:c>
      <x:c r="D216" s="14" t="str">
        <x:v>Bổ nhiệm người chịu trách nhiệm chính về quản lý an toàn chịu trách nhiệm triển khai và duy trì SMS.</x:v>
      </x:c>
      <x:c r="E216" s="14" t="str">
        <x:v>Ban An toàn - Chất lượng</x:v>
      </x:c>
      <x:c r="F216" s="14" t="str">
        <x:v>P2</x:v>
      </x:c>
      <x:c r="G216" s="14" t="str">
        <x:v>Khi thiết lập/điều chỉnh nhân sự.</x:v>
      </x:c>
      <x:c r="H216" s="14" t="str">
        <x:v>Chưa bắt đầu</x:v>
      </x:c>
      <x:c r="I216" s="20" t="n">
        <x:f>IF(H216="Hoàn thành",100%,IF(H216="Không áp dụng",100%,IF(H216="Đang thực hiện",50%,IF(H216="Đang chờ phối hợp",25%,0%))))</x:f>
        <x:v>0</x:v>
      </x:c>
      <x:c r="J216" s="58" t="str"/>
      <x:c r="K216" s="14" t="str"/>
      <x:c r="L216" s="14" t="str"/>
      <x:c r="M216" s="14" t="str"/>
      <x:c r="N216" s="14" t="str"/>
      <x:c r="O216" s="14" t="str"/>
      <x:c r="P216" s="58" t="str"/>
      <x:c r="Q216" s="14" t="str"/>
    </x:row>
    <x:row r="217">
      <x:c r="A217" s="14" t="str">
        <x:v>VATM-0216</x:v>
      </x:c>
      <x:c r="B217" s="14" t="str">
        <x:v>An toàn hàng không / SMS</x:v>
      </x:c>
      <x:c r="C217" s="14" t="str">
        <x:v>Khung SMS và quản trị an toàn</x:v>
      </x:c>
      <x:c r="D217" s="14" t="str">
        <x:v>Nếu người chịu trách nhiệm chính về quản lý an toàn kiêm nhiệm nhiệm vụ khác, phải đáp ứng điều kiện không dẫn đến xung đột lợi ích theo ICAO Doc 9859.</x:v>
      </x:c>
      <x:c r="E217" s="14" t="str">
        <x:v>Ban An toàn - Chất lượng</x:v>
      </x:c>
      <x:c r="F217" s="14" t="str">
        <x:v>P2</x:v>
      </x:c>
      <x:c r="G217" s="14" t="str">
        <x:v>Khi phân công/kiêm nhiệm thay đổi.</x:v>
      </x:c>
      <x:c r="H217" s="14" t="str">
        <x:v>Chưa bắt đầu</x:v>
      </x:c>
      <x:c r="I217" s="20" t="n">
        <x:f>IF(H217="Hoàn thành",100%,IF(H217="Không áp dụng",100%,IF(H217="Đang thực hiện",50%,IF(H217="Đang chờ phối hợp",25%,0%))))</x:f>
        <x:v>0</x:v>
      </x:c>
      <x:c r="J217" s="58" t="str"/>
      <x:c r="K217" s="14" t="str"/>
      <x:c r="L217" s="14" t="str"/>
      <x:c r="M217" s="14" t="str"/>
      <x:c r="N217" s="14" t="str"/>
      <x:c r="O217" s="14" t="str"/>
      <x:c r="P217" s="58" t="str"/>
      <x:c r="Q217" s="14" t="str"/>
    </x:row>
    <x:row r="218">
      <x:c r="A218" s="14" t="str">
        <x:v>VATM-0217</x:v>
      </x:c>
      <x:c r="B218" s="14" t="str">
        <x:v>An toàn hàng không / SMS</x:v>
      </x:c>
      <x:c r="C218" s="14" t="str">
        <x:v>Khung SMS và quản trị an toàn</x:v>
      </x:c>
      <x:c r="D218" s="14" t="str">
        <x:v>Thiết lập và duy trì kế hoạch ứng phó khẩn nguy đối với tai nạn, sự cố và tình huống khẩn nguy hàng không; bảo đảm đồng bộ với kế hoạch ứng phó của các tổ chức cần phối hợp.</x:v>
      </x:c>
      <x:c r="E218" s="14" t="str">
        <x:v>Ban An toàn - Chất lượng</x:v>
      </x:c>
      <x:c r="F218" s="14" t="str">
        <x:v>P2</x:v>
      </x:c>
      <x:c r="G218" s="14" t="str">
        <x:v>Duy trì; kiểm tra/diễn tập định kỳ; cập nhật khi thay đổi giao diện.</x:v>
      </x:c>
      <x:c r="H218" s="14" t="str">
        <x:v>Chưa bắt đầu</x:v>
      </x:c>
      <x:c r="I218" s="20" t="n">
        <x:f>IF(H218="Hoàn thành",100%,IF(H218="Không áp dụng",100%,IF(H218="Đang thực hiện",50%,IF(H218="Đang chờ phối hợp",25%,0%))))</x:f>
        <x:v>0</x:v>
      </x:c>
      <x:c r="J218" s="58" t="str"/>
      <x:c r="K218" s="14" t="str"/>
      <x:c r="L218" s="14" t="str"/>
      <x:c r="M218" s="14" t="str"/>
      <x:c r="N218" s="14" t="str"/>
      <x:c r="O218" s="14" t="str"/>
      <x:c r="P218" s="58" t="str"/>
      <x:c r="Q218" s="14" t="str"/>
    </x:row>
    <x:row r="219">
      <x:c r="A219" s="14" t="str">
        <x:v>VATM-0218</x:v>
      </x:c>
      <x:c r="B219" s="14" t="str">
        <x:v>An toàn hàng không / SMS</x:v>
      </x:c>
      <x:c r="C219" s="14" t="str">
        <x:v>Khung SMS và quản trị an toàn</x:v>
      </x:c>
      <x:c r="D219" s="14" t="str">
        <x:v>Xây dựng và duy trì tài liệu hướng dẫn SMS mô tả chính sách, mục tiêu, nguồn lực; yêu cầu SMS đối với quản lý rủi ro, bảo đảm an toàn và thúc đẩy an toàn; quy trình/thủ tục SMS; trách nhiệm giải trình, trách nhiệm và thẩm quyền đối với các quy trình/thủ tục SMS.</x:v>
      </x:c>
      <x:c r="E219" s="14" t="str">
        <x:v>Ban An toàn - Chất lượng</x:v>
      </x:c>
      <x:c r="F219" s="14" t="str">
        <x:v>P2</x:v>
      </x:c>
      <x:c r="G219" s="14" t="str">
        <x:v>Duy trì thường xuyên.</x:v>
      </x:c>
      <x:c r="H219" s="14" t="str">
        <x:v>Chưa bắt đầu</x:v>
      </x:c>
      <x:c r="I219" s="20" t="n">
        <x:f>IF(H219="Hoàn thành",100%,IF(H219="Không áp dụng",100%,IF(H219="Đang thực hiện",50%,IF(H219="Đang chờ phối hợp",25%,0%))))</x:f>
        <x:v>0</x:v>
      </x:c>
      <x:c r="J219" s="58" t="str"/>
      <x:c r="K219" s="14" t="str"/>
      <x:c r="L219" s="14" t="str"/>
      <x:c r="M219" s="14" t="str"/>
      <x:c r="N219" s="14" t="str"/>
      <x:c r="O219" s="14" t="str"/>
      <x:c r="P219" s="58" t="str"/>
      <x:c r="Q219" s="14" t="str"/>
    </x:row>
    <x:row r="220">
      <x:c r="A220" s="14" t="str">
        <x:v>VATM-0219</x:v>
      </x:c>
      <x:c r="B220" s="14" t="str">
        <x:v>An toàn hàng không / SMS</x:v>
      </x:c>
      <x:c r="C220" s="14" t="str">
        <x:v>Khung SMS và quản trị an toàn</x:v>
      </x:c>
      <x:c r="D220" s="14" t="str">
        <x:v>Xây dựng và duy trì các hồ sơ vận hành SMS như một phần của tài liệu SMS.</x:v>
      </x:c>
      <x:c r="E220" s="14" t="str">
        <x:v>Ban An toàn - Chất lượng</x:v>
      </x:c>
      <x:c r="F220" s="14" t="str">
        <x:v>P2</x:v>
      </x:c>
      <x:c r="G220" s="14" t="str">
        <x:v>Thường xuyên; lưu trữ theo quy định nội bộ/pháp luật.</x:v>
      </x:c>
      <x:c r="H220" s="14" t="str">
        <x:v>Chưa bắt đầu</x:v>
      </x:c>
      <x:c r="I220" s="20" t="n">
        <x:f>IF(H220="Hoàn thành",100%,IF(H220="Không áp dụng",100%,IF(H220="Đang thực hiện",50%,IF(H220="Đang chờ phối hợp",25%,0%))))</x:f>
        <x:v>0</x:v>
      </x:c>
      <x:c r="J220" s="58" t="str"/>
      <x:c r="K220" s="14" t="str"/>
      <x:c r="L220" s="14" t="str"/>
      <x:c r="M220" s="14" t="str"/>
      <x:c r="N220" s="14" t="str"/>
      <x:c r="O220" s="14" t="str"/>
      <x:c r="P220" s="58" t="str"/>
      <x:c r="Q220" s="14" t="str"/>
    </x:row>
    <x:row r="221">
      <x:c r="A221" s="14" t="str">
        <x:v>VATM-0220</x:v>
      </x:c>
      <x:c r="B221" s="14" t="str">
        <x:v>An toàn hàng không / SMS</x:v>
      </x:c>
      <x:c r="C221" s="14" t="str">
        <x:v>Khung SMS và quản trị an toàn</x:v>
      </x:c>
      <x:c r="D221" s="14" t="str">
        <x:v>Xây dựng và duy trì quy trình nhận diện mối nguy, bao gồm mối nguy liên quan đến giao diện nội bộ và bên ngoài, gắn với sản phẩm/dịch vụ hàng không của tổ chức.</x:v>
      </x:c>
      <x:c r="E221" s="14" t="str">
        <x:v>Ban An toàn - Chất lượng</x:v>
      </x:c>
      <x:c r="F221" s="14" t="str">
        <x:v>P2</x:v>
      </x:c>
      <x:c r="G221" s="14" t="str">
        <x:v>Thường xuyên; cập nhật khi có thay đổi/sự cố/thông tin mới.</x:v>
      </x:c>
      <x:c r="H221" s="14" t="str">
        <x:v>Chưa bắt đầu</x:v>
      </x:c>
      <x:c r="I221" s="20" t="n">
        <x:f>IF(H221="Hoàn thành",100%,IF(H221="Không áp dụng",100%,IF(H221="Đang thực hiện",50%,IF(H221="Đang chờ phối hợp",25%,0%))))</x:f>
        <x:v>0</x:v>
      </x:c>
      <x:c r="J221" s="58" t="str"/>
      <x:c r="K221" s="14" t="str"/>
      <x:c r="L221" s="14" t="str"/>
      <x:c r="M221" s="14" t="str"/>
      <x:c r="N221" s="14" t="str"/>
      <x:c r="O221" s="14" t="str"/>
      <x:c r="P221" s="58" t="str"/>
      <x:c r="Q221" s="14" t="str"/>
    </x:row>
    <x:row r="222">
      <x:c r="A222" s="14" t="str">
        <x:v>VATM-0221</x:v>
      </x:c>
      <x:c r="B222" s="14" t="str">
        <x:v>An toàn hàng không / SMS</x:v>
      </x:c>
      <x:c r="C222" s="14" t="str">
        <x:v>Khung SMS và quản trị an toàn</x:v>
      </x:c>
      <x:c r="D222" s="14" t="str">
        <x:v>Nhận diện mối nguy dựa trên kết hợp phương pháp phản ứng và chủ động.</x:v>
      </x:c>
      <x:c r="E222" s="14" t="str">
        <x:v>Ban An toàn - Chất lượng</x:v>
      </x:c>
      <x:c r="F222" s="14" t="str">
        <x:v>P2</x:v>
      </x:c>
      <x:c r="G222" s="14" t="str">
        <x:v>Thường xuyên.</x:v>
      </x:c>
      <x:c r="H222" s="14" t="str">
        <x:v>Chưa bắt đầu</x:v>
      </x:c>
      <x:c r="I222" s="20" t="n">
        <x:f>IF(H222="Hoàn thành",100%,IF(H222="Không áp dụng",100%,IF(H222="Đang thực hiện",50%,IF(H222="Đang chờ phối hợp",25%,0%))))</x:f>
        <x:v>0</x:v>
      </x:c>
      <x:c r="J222" s="58" t="str"/>
      <x:c r="K222" s="14" t="str"/>
      <x:c r="L222" s="14" t="str"/>
      <x:c r="M222" s="14" t="str"/>
      <x:c r="N222" s="14" t="str"/>
      <x:c r="O222" s="14" t="str"/>
      <x:c r="P222" s="58" t="str"/>
      <x:c r="Q222" s="14" t="str"/>
    </x:row>
    <x:row r="223">
      <x:c r="A223" s="14" t="str">
        <x:v>VATM-0222</x:v>
      </x:c>
      <x:c r="B223" s="14" t="str">
        <x:v>An toàn hàng không / SMS</x:v>
      </x:c>
      <x:c r="C223" s="14" t="str">
        <x:v>Khung SMS và quản trị an toàn</x:v>
      </x:c>
      <x:c r="D223" s="14" t="str">
        <x:v>Xây dựng và duy trì quy trình bảo đảm phân tích, đánh giá và kiểm soát rủi ro an toàn liên quan đến các mối nguy đã nhận diện.</x:v>
      </x:c>
      <x:c r="E223" s="14" t="str">
        <x:v>Ban An toàn - Chất lượng</x:v>
      </x:c>
      <x:c r="F223" s="14" t="str">
        <x:v>P2</x:v>
      </x:c>
      <x:c r="G223" s="14" t="str">
        <x:v>Áp dụng với từng mối nguy/thay đổi/sự cố.</x:v>
      </x:c>
      <x:c r="H223" s="14" t="str">
        <x:v>Chưa bắt đầu</x:v>
      </x:c>
      <x:c r="I223" s="20" t="n">
        <x:f>IF(H223="Hoàn thành",100%,IF(H223="Không áp dụng",100%,IF(H223="Đang thực hiện",50%,IF(H223="Đang chờ phối hợp",25%,0%))))</x:f>
        <x:v>0</x:v>
      </x:c>
      <x:c r="J223" s="58" t="str"/>
      <x:c r="K223" s="14" t="str"/>
      <x:c r="L223" s="14" t="str"/>
      <x:c r="M223" s="14" t="str"/>
      <x:c r="N223" s="14" t="str"/>
      <x:c r="O223" s="14" t="str"/>
      <x:c r="P223" s="58" t="str"/>
      <x:c r="Q223" s="14" t="str"/>
    </x:row>
    <x:row r="224">
      <x:c r="A224" s="14" t="str">
        <x:v>VATM-0223</x:v>
      </x:c>
      <x:c r="B224" s="14" t="str">
        <x:v>An toàn hàng không / SMS</x:v>
      </x:c>
      <x:c r="C224" s="14" t="str">
        <x:v>Khung SMS và quản trị an toàn</x:v>
      </x:c>
      <x:c r="D224" s="14" t="str">
        <x:v>Xây dựng và duy trì phương thức đánh giá hiệu quả an toàn của tổ chức và đánh giá tính hiệu lực của biện pháp kiểm soát, giảm thiểu rủi ro.</x:v>
      </x:c>
      <x:c r="E224" s="14" t="str">
        <x:v>Ban An toàn - Chất lượng</x:v>
      </x:c>
      <x:c r="F224" s="14" t="str">
        <x:v>P2</x:v>
      </x:c>
      <x:c r="G224" s="14" t="str">
        <x:v>Định kỳ và sau khi triển khai biện pháp.</x:v>
      </x:c>
      <x:c r="H224" s="14" t="str">
        <x:v>Chưa bắt đầu</x:v>
      </x:c>
      <x:c r="I224" s="20" t="n">
        <x:f>IF(H224="Hoàn thành",100%,IF(H224="Không áp dụng",100%,IF(H224="Đang thực hiện",50%,IF(H224="Đang chờ phối hợp",25%,0%))))</x:f>
        <x:v>0</x:v>
      </x:c>
      <x:c r="J224" s="58" t="str"/>
      <x:c r="K224" s="14" t="str"/>
      <x:c r="L224" s="14" t="str"/>
      <x:c r="M224" s="14" t="str"/>
      <x:c r="N224" s="14" t="str"/>
      <x:c r="O224" s="14" t="str"/>
      <x:c r="P224" s="58" t="str"/>
      <x:c r="Q224" s="14" t="str"/>
    </x:row>
    <x:row r="225">
      <x:c r="A225" s="14" t="str">
        <x:v>VATM-0224</x:v>
      </x:c>
      <x:c r="B225" s="14" t="str">
        <x:v>An toàn hàng không / SMS</x:v>
      </x:c>
      <x:c r="C225" s="14" t="str">
        <x:v>Khung SMS và quản trị an toàn</x:v>
      </x:c>
      <x:c r="D225" s="14" t="str">
        <x:v>Xác minh hiệu quả an toàn dựa trên SPI và SPT của SMS nhằm hỗ trợ mục tiêu an toàn của tổ chức.</x:v>
      </x:c>
      <x:c r="E225" s="14" t="str">
        <x:v>Ban An toàn - Chất lượng</x:v>
      </x:c>
      <x:c r="F225" s="14" t="str">
        <x:v>P2</x:v>
      </x:c>
      <x:c r="G225" s="14" t="str">
        <x:v>Theo kỳ tháng/quý/năm.</x:v>
      </x:c>
      <x:c r="H225" s="14" t="str">
        <x:v>Chưa bắt đầu</x:v>
      </x:c>
      <x:c r="I225" s="20" t="n">
        <x:f>IF(H225="Hoàn thành",100%,IF(H225="Không áp dụng",100%,IF(H225="Đang thực hiện",50%,IF(H225="Đang chờ phối hợp",25%,0%))))</x:f>
        <x:v>0</x:v>
      </x:c>
      <x:c r="J225" s="58" t="str"/>
      <x:c r="K225" s="14" t="str"/>
      <x:c r="L225" s="14" t="str"/>
      <x:c r="M225" s="14" t="str"/>
      <x:c r="N225" s="14" t="str"/>
      <x:c r="O225" s="14" t="str"/>
      <x:c r="P225" s="58" t="str"/>
      <x:c r="Q225" s="14" t="str"/>
    </x:row>
    <x:row r="226">
      <x:c r="A226" s="14" t="str">
        <x:v>VATM-0225</x:v>
      </x:c>
      <x:c r="B226" s="14" t="str">
        <x:v>An toàn hàng không / SMS</x:v>
      </x:c>
      <x:c r="C226" s="14" t="str">
        <x:v>Khung SMS và quản trị an toàn</x:v>
      </x:c>
      <x:c r="D226" s="14" t="str">
        <x:v>Xây dựng và duy trì quy trình nhận diện thay đổi có thể ảnh hưởng mức độ rủi ro an toàn liên quan đến sản phẩm/dịch vụ hàng không; nhận diện và quản lý rủi ro phát sinh từ thay đổi đó.</x:v>
      </x:c>
      <x:c r="E226" s="14" t="str">
        <x:v>Ban An toàn - Chất lượng</x:v>
      </x:c>
      <x:c r="F226" s="14" t="str">
        <x:v>P2</x:v>
      </x:c>
      <x:c r="G226" s="14" t="str">
        <x:v>Trước, trong và sau mỗi thay đổi có ảnh hưởng an toàn.</x:v>
      </x:c>
      <x:c r="H226" s="14" t="str">
        <x:v>Chưa bắt đầu</x:v>
      </x:c>
      <x:c r="I226" s="20" t="n">
        <x:f>IF(H226="Hoàn thành",100%,IF(H226="Không áp dụng",100%,IF(H226="Đang thực hiện",50%,IF(H226="Đang chờ phối hợp",25%,0%))))</x:f>
        <x:v>0</x:v>
      </x:c>
      <x:c r="J226" s="58" t="str"/>
      <x:c r="K226" s="14" t="str"/>
      <x:c r="L226" s="14" t="str"/>
      <x:c r="M226" s="14" t="str"/>
      <x:c r="N226" s="14" t="str"/>
      <x:c r="O226" s="14" t="str"/>
      <x:c r="P226" s="58" t="str"/>
      <x:c r="Q226" s="14" t="str"/>
    </x:row>
    <x:row r="227">
      <x:c r="A227" s="14" t="str">
        <x:v>VATM-0226</x:v>
      </x:c>
      <x:c r="B227" s="14" t="str">
        <x:v>An toàn hàng không / SMS</x:v>
      </x:c>
      <x:c r="C227" s="14" t="str">
        <x:v>Khung SMS và quản trị an toàn</x:v>
      </x:c>
      <x:c r="D227" s="14" t="str">
        <x:v>Giám sát và đánh giá các quy trình SMS nhằm duy trì hoặc liên tục cải tiến hiệu lực tổng thể của SMS.</x:v>
      </x:c>
      <x:c r="E227" s="14" t="str">
        <x:v>Ban An toàn - Chất lượng</x:v>
      </x:c>
      <x:c r="F227" s="14" t="str">
        <x:v>P2</x:v>
      </x:c>
      <x:c r="G227" s="14" t="str">
        <x:v>Định kỳ hằng năm và sau audit/sự cố/thay đổi.</x:v>
      </x:c>
      <x:c r="H227" s="14" t="str">
        <x:v>Chưa bắt đầu</x:v>
      </x:c>
      <x:c r="I227" s="20" t="n">
        <x:f>IF(H227="Hoàn thành",100%,IF(H227="Không áp dụng",100%,IF(H227="Đang thực hiện",50%,IF(H227="Đang chờ phối hợp",25%,0%))))</x:f>
        <x:v>0</x:v>
      </x:c>
      <x:c r="J227" s="58" t="str"/>
      <x:c r="K227" s="14" t="str"/>
      <x:c r="L227" s="14" t="str"/>
      <x:c r="M227" s="14" t="str"/>
      <x:c r="N227" s="14" t="str"/>
      <x:c r="O227" s="14" t="str"/>
      <x:c r="P227" s="58" t="str"/>
      <x:c r="Q227" s="14" t="str"/>
    </x:row>
    <x:row r="228">
      <x:c r="A228" s="14" t="str">
        <x:v>VATM-0227</x:v>
      </x:c>
      <x:c r="B228" s="14" t="str">
        <x:v>An toàn hàng không / SMS</x:v>
      </x:c>
      <x:c r="C228" s="14" t="str">
        <x:v>Khung SMS và quản trị an toàn</x:v>
      </x:c>
      <x:c r="D228" s="14" t="str">
        <x:v>Xây dựng và duy trì chương trình đào tạo an toàn bảo đảm nhân sự được đào tạo và có năng lực để thực hiện nhiệm vụ liên quan SMS.</x:v>
      </x:c>
      <x:c r="E228" s="14" t="str">
        <x:v>Ban An toàn - Chất lượng</x:v>
      </x:c>
      <x:c r="F228" s="14" t="str">
        <x:v>P2</x:v>
      </x:c>
      <x:c r="G228" s="14" t="str">
        <x:v>Theo kế hoạch đào tạo và khi thay đổi nhiệm vụ/hệ thống.</x:v>
      </x:c>
      <x:c r="H228" s="14" t="str">
        <x:v>Chưa bắt đầu</x:v>
      </x:c>
      <x:c r="I228" s="20" t="n">
        <x:f>IF(H228="Hoàn thành",100%,IF(H228="Không áp dụng",100%,IF(H228="Đang thực hiện",50%,IF(H228="Đang chờ phối hợp",25%,0%))))</x:f>
        <x:v>0</x:v>
      </x:c>
      <x:c r="J228" s="58" t="str"/>
      <x:c r="K228" s="14" t="str"/>
      <x:c r="L228" s="14" t="str"/>
      <x:c r="M228" s="14" t="str"/>
      <x:c r="N228" s="14" t="str"/>
      <x:c r="O228" s="14" t="str"/>
      <x:c r="P228" s="58" t="str"/>
      <x:c r="Q228" s="14" t="str"/>
    </x:row>
    <x:row r="229">
      <x:c r="A229" s="14" t="str">
        <x:v>VATM-0228</x:v>
      </x:c>
      <x:c r="B229" s="14" t="str">
        <x:v>An toàn hàng không / SMS</x:v>
      </x:c>
      <x:c r="C229" s="14" t="str">
        <x:v>Khung SMS và quản trị an toàn</x:v>
      </x:c>
      <x:c r="D229" s="14" t="str">
        <x:v>Phạm vi chương trình đào tạo an toàn phù hợp với mức độ tham gia của từng cá nhân vào SMS.</x:v>
      </x:c>
      <x:c r="E229" s="14" t="str">
        <x:v>Ban An toàn - Chất lượng</x:v>
      </x:c>
      <x:c r="F229" s="14" t="str">
        <x:v>P2</x:v>
      </x:c>
      <x:c r="G229" s="14" t="str">
        <x:v>Cập nhật khi thay đổi vai trò/nhân sự.</x:v>
      </x:c>
      <x:c r="H229" s="14" t="str">
        <x:v>Chưa bắt đầu</x:v>
      </x:c>
      <x:c r="I229" s="20" t="n">
        <x:f>IF(H229="Hoàn thành",100%,IF(H229="Không áp dụng",100%,IF(H229="Đang thực hiện",50%,IF(H229="Đang chờ phối hợp",25%,0%))))</x:f>
        <x:v>0</x:v>
      </x:c>
      <x:c r="J229" s="58" t="str"/>
      <x:c r="K229" s="14" t="str"/>
      <x:c r="L229" s="14" t="str"/>
      <x:c r="M229" s="14" t="str"/>
      <x:c r="N229" s="14" t="str"/>
      <x:c r="O229" s="14" t="str"/>
      <x:c r="P229" s="58" t="str"/>
      <x:c r="Q229" s="14" t="str"/>
    </x:row>
    <x:row r="230">
      <x:c r="A230" s="14" t="str">
        <x:v>VATM-0229</x:v>
      </x:c>
      <x:c r="B230" s="14" t="str">
        <x:v>An toàn hàng không / SMS</x:v>
      </x:c>
      <x:c r="C230" s="14" t="str">
        <x:v>Khung SMS và quản trị an toàn</x:v>
      </x:c>
      <x:c r="D230" s="14" t="str">
        <x:v>Xây dựng và duy trì phương thức chính thức về truyền thông an toàn để bảo đảm nhân sự nhận thức SMS phù hợp vị trí; truyền đạt thông tin quan trọng; giải thích lý do hành động nâng cao an toàn; giải thích lý do ban hành/thay đổi quy trình, thông tin an toàn.</x:v>
      </x:c>
      <x:c r="E230" s="14" t="str">
        <x:v>Ban An toàn - Chất lượng</x:v>
      </x:c>
      <x:c r="F230" s="14" t="str">
        <x:v>P2</x:v>
      </x:c>
      <x:c r="G230" s="14" t="str">
        <x:v>Thường xuyên; trước/sau thay đổi và sau sự cố.</x:v>
      </x:c>
      <x:c r="H230" s="14" t="str">
        <x:v>Chưa bắt đầu</x:v>
      </x:c>
      <x:c r="I230" s="20" t="n">
        <x:f>IF(H230="Hoàn thành",100%,IF(H230="Không áp dụng",100%,IF(H230="Đang thực hiện",50%,IF(H230="Đang chờ phối hợp",25%,0%))))</x:f>
        <x:v>0</x:v>
      </x:c>
      <x:c r="J230" s="58" t="str"/>
      <x:c r="K230" s="14" t="str"/>
      <x:c r="L230" s="14" t="str"/>
      <x:c r="M230" s="14" t="str"/>
      <x:c r="N230" s="14" t="str"/>
      <x:c r="O230" s="14" t="str"/>
      <x:c r="P230" s="58" t="str"/>
      <x:c r="Q230" s="14" t="str"/>
    </x:row>
    <x:row r="231">
      <x:c r="A231" s="14" t="str">
        <x:v>VATM-0230</x:v>
      </x:c>
      <x:c r="B231" s="14" t="str">
        <x:v>An toàn hàng không / SMS</x:v>
      </x:c>
      <x:c r="C231" s="14" t="str">
        <x:v>SPI/SPT và chỉ số an toàn</x:v>
      </x:c>
      <x:c r="D231" s="14" t="str">
        <x:v>Tai nạn máy bay: Số vụ tai nạn máy bay.</x:v>
      </x:c>
      <x:c r="E231" s="14" t="str">
        <x:v>Ban An toàn - Chất lượng</x:v>
      </x:c>
      <x:c r="F231" s="14" t="str">
        <x:v>P2</x:v>
      </x:c>
      <x:c r="G231" s="14" t="str">
        <x:v>Trên 1000 chuyến bay</x:v>
      </x:c>
      <x:c r="H231" s="14" t="str">
        <x:v>Chưa bắt đầu</x:v>
      </x:c>
      <x:c r="I231" s="20" t="n">
        <x:f>IF(H231="Hoàn thành",100%,IF(H231="Không áp dụng",100%,IF(H231="Đang thực hiện",50%,IF(H231="Đang chờ phối hợp",25%,0%))))</x:f>
        <x:v>0</x:v>
      </x:c>
      <x:c r="J231" s="58" t="str"/>
      <x:c r="K231" s="14" t="str"/>
      <x:c r="L231" s="14" t="str"/>
      <x:c r="M231" s="14" t="str"/>
      <x:c r="N231" s="14" t="str"/>
      <x:c r="O231" s="14" t="str"/>
      <x:c r="P231" s="58" t="str"/>
      <x:c r="Q231" s="14" t="str"/>
    </x:row>
    <x:row r="232">
      <x:c r="A232" s="14" t="str">
        <x:v>VATM-0231</x:v>
      </x:c>
      <x:c r="B232" s="14" t="str">
        <x:v>An toàn hàng không / SMS</x:v>
      </x:c>
      <x:c r="C232" s="14" t="str">
        <x:v>SPI/SPT và chỉ số an toàn</x:v>
      </x:c>
      <x:c r="D232" s="14" t="str">
        <x:v>Lăn nhầm đường lăn: Số lần tàu bay lăn không theo chỉ lệnh của kiểm soát viên không lưu.</x:v>
      </x:c>
      <x:c r="E232" s="14" t="str">
        <x:v>Ban An toàn - Chất lượng</x:v>
      </x:c>
      <x:c r="F232" s="14" t="str">
        <x:v>P2</x:v>
      </x:c>
      <x:c r="G232" s="14" t="str">
        <x:v>Trên 1000 chuyển động tàu bay</x:v>
      </x:c>
      <x:c r="H232" s="14" t="str">
        <x:v>Chưa bắt đầu</x:v>
      </x:c>
      <x:c r="I232" s="20" t="n">
        <x:f>IF(H232="Hoàn thành",100%,IF(H232="Không áp dụng",100%,IF(H232="Đang thực hiện",50%,IF(H232="Đang chờ phối hợp",25%,0%))))</x:f>
        <x:v>0</x:v>
      </x:c>
      <x:c r="J232" s="58" t="str"/>
      <x:c r="K232" s="14" t="str"/>
      <x:c r="L232" s="14" t="str"/>
      <x:c r="M232" s="14" t="str"/>
      <x:c r="N232" s="14" t="str"/>
      <x:c r="O232" s="14" t="str"/>
      <x:c r="P232" s="58" t="str"/>
      <x:c r="Q232" s="14" t="str"/>
    </x:row>
    <x:row r="233">
      <x:c r="A233" s="14" t="str">
        <x:v>VATM-0232</x:v>
      </x:c>
      <x:c r="B233" s="14" t="str">
        <x:v>An toàn hàng không / SMS</x:v>
      </x:c>
      <x:c r="C233" s="14" t="str">
        <x:v>SPI/SPT và chỉ số an toàn</x:v>
      </x:c>
      <x:c r="D233" s="14" t="str">
        <x:v>Xâm nhập đường cất hạ cánh: Số lần máy bay xâm nhập trái phép đường cất hạ cánh.</x:v>
      </x:c>
      <x:c r="E233" s="14" t="str">
        <x:v>Ban An toàn - Chất lượng</x:v>
      </x:c>
      <x:c r="F233" s="14" t="str">
        <x:v>P2</x:v>
      </x:c>
      <x:c r="G233" s="14" t="str">
        <x:v>Trên 1000 chuyển động tàu bay</x:v>
      </x:c>
      <x:c r="H233" s="14" t="str">
        <x:v>Chưa bắt đầu</x:v>
      </x:c>
      <x:c r="I233" s="20" t="n">
        <x:f>IF(H233="Hoàn thành",100%,IF(H233="Không áp dụng",100%,IF(H233="Đang thực hiện",50%,IF(H233="Đang chờ phối hợp",25%,0%))))</x:f>
        <x:v>0</x:v>
      </x:c>
      <x:c r="J233" s="58" t="str"/>
      <x:c r="K233" s="14" t="str"/>
      <x:c r="L233" s="14" t="str"/>
      <x:c r="M233" s="14" t="str"/>
      <x:c r="N233" s="14" t="str"/>
      <x:c r="O233" s="14" t="str"/>
      <x:c r="P233" s="58" t="str"/>
      <x:c r="Q233" s="14" t="str"/>
    </x:row>
    <x:row r="234">
      <x:c r="A234" s="14" t="str">
        <x:v>VATM-0233</x:v>
      </x:c>
      <x:c r="B234" s="14" t="str">
        <x:v>An toàn hàng không / SMS</x:v>
      </x:c>
      <x:c r="C234" s="14" t="str">
        <x:v>SPI/SPT và chỉ số an toàn</x:v>
      </x:c>
      <x:c r="D234" s="14" t="str">
        <x:v>Nguy cơ va chạm trên không: Số lần tàu bay gần xảy ra va chạm với tàu bay khác dẫn đến kích hoạt hệ thống cảnh báo chống va chạm trên không.</x:v>
      </x:c>
      <x:c r="E234" s="14" t="str">
        <x:v>Ban An toàn - Chất lượng</x:v>
      </x:c>
      <x:c r="F234" s="14" t="str">
        <x:v>P2</x:v>
      </x:c>
      <x:c r="G234" s="14" t="str">
        <x:v>Trên 1000 chuyến bay</x:v>
      </x:c>
      <x:c r="H234" s="14" t="str">
        <x:v>Chưa bắt đầu</x:v>
      </x:c>
      <x:c r="I234" s="20" t="n">
        <x:f>IF(H234="Hoàn thành",100%,IF(H234="Không áp dụng",100%,IF(H234="Đang thực hiện",50%,IF(H234="Đang chờ phối hợp",25%,0%))))</x:f>
        <x:v>0</x:v>
      </x:c>
      <x:c r="J234" s="58" t="str"/>
      <x:c r="K234" s="14" t="str"/>
      <x:c r="L234" s="14" t="str"/>
      <x:c r="M234" s="14" t="str"/>
      <x:c r="N234" s="14" t="str"/>
      <x:c r="O234" s="14" t="str"/>
      <x:c r="P234" s="58" t="str"/>
      <x:c r="Q234" s="14" t="str"/>
    </x:row>
    <x:row r="235">
      <x:c r="A235" s="14" t="str">
        <x:v>VATM-0234</x:v>
      </x:c>
      <x:c r="B235" s="14" t="str">
        <x:v>An toàn hàng không / SMS</x:v>
      </x:c>
      <x:c r="C235" s="14" t="str">
        <x:v>SPI/SPT và chỉ số an toàn</x:v>
      </x:c>
      <x:c r="D235" s="14" t="str">
        <x:v>Sai lệch mực bay: Số lần tàu bay sai lệch mực bay so với mực bay được kiểm soát viên không lưu chỉ định.</x:v>
      </x:c>
      <x:c r="E235" s="14" t="str">
        <x:v>Ban An toàn - Chất lượng</x:v>
      </x:c>
      <x:c r="F235" s="14" t="str">
        <x:v>P2</x:v>
      </x:c>
      <x:c r="G235" s="14" t="str">
        <x:v>Trên 1000 chuyến bay</x:v>
      </x:c>
      <x:c r="H235" s="14" t="str">
        <x:v>Chưa bắt đầu</x:v>
      </x:c>
      <x:c r="I235" s="20" t="n">
        <x:f>IF(H235="Hoàn thành",100%,IF(H235="Không áp dụng",100%,IF(H235="Đang thực hiện",50%,IF(H235="Đang chờ phối hợp",25%,0%))))</x:f>
        <x:v>0</x:v>
      </x:c>
      <x:c r="J235" s="58" t="str"/>
      <x:c r="K235" s="14" t="str"/>
      <x:c r="L235" s="14" t="str"/>
      <x:c r="M235" s="14" t="str"/>
      <x:c r="N235" s="14" t="str"/>
      <x:c r="O235" s="14" t="str"/>
      <x:c r="P235" s="58" t="str"/>
      <x:c r="Q235" s="14" t="str"/>
    </x:row>
    <x:row r="236">
      <x:c r="A236" s="14" t="str">
        <x:v>VATM-0235</x:v>
      </x:c>
      <x:c r="B236" s="14" t="str">
        <x:v>An toàn hàng không / SMS</x:v>
      </x:c>
      <x:c r="C236" s="14" t="str">
        <x:v>SPI/SPT và chỉ số an toàn</x:v>
      </x:c>
      <x:c r="D236" s="14" t="str">
        <x:v>Vi phạm không phận: Số lần máy bay bay vào khu vực không phận khi chưa được phép bởi cơ sở điều hành không lưu hoặc cơ quan có thẩm quyền.</x:v>
      </x:c>
      <x:c r="E236" s="14" t="str">
        <x:v>Ban An toàn - Chất lượng</x:v>
      </x:c>
      <x:c r="F236" s="14" t="str">
        <x:v>P2</x:v>
      </x:c>
      <x:c r="G236" s="14" t="str">
        <x:v>Trên 1000 chuyến bay</x:v>
      </x:c>
      <x:c r="H236" s="14" t="str">
        <x:v>Chưa bắt đầu</x:v>
      </x:c>
      <x:c r="I236" s="20" t="n">
        <x:f>IF(H236="Hoàn thành",100%,IF(H236="Không áp dụng",100%,IF(H236="Đang thực hiện",50%,IF(H236="Đang chờ phối hợp",25%,0%))))</x:f>
        <x:v>0</x:v>
      </x:c>
      <x:c r="J236" s="58" t="str"/>
      <x:c r="K236" s="14" t="str"/>
      <x:c r="L236" s="14" t="str"/>
      <x:c r="M236" s="14" t="str"/>
      <x:c r="N236" s="14" t="str"/>
      <x:c r="O236" s="14" t="str"/>
      <x:c r="P236" s="58" t="str"/>
      <x:c r="Q236" s="14" t="str"/>
    </x:row>
    <x:row r="237">
      <x:c r="A237" s="14" t="str">
        <x:v>VATM-0236</x:v>
      </x:c>
      <x:c r="B237" s="14" t="str">
        <x:v>An toàn hàng không / SMS</x:v>
      </x:c>
      <x:c r="C237" s="14" t="str">
        <x:v>SPI/SPT và chỉ số an toàn</x:v>
      </x:c>
      <x:c r="D237" s="14" t="str">
        <x:v>Va chạm vào địa hình: Số lần máy bay đang trong trạng thái được kiểm soát va chạm với địa hình, mặt nước hoặc chướng ngại vật.</x:v>
      </x:c>
      <x:c r="E237" s="14" t="str">
        <x:v>Ban An toàn - Chất lượng</x:v>
      </x:c>
      <x:c r="F237" s="14" t="str">
        <x:v>P2</x:v>
      </x:c>
      <x:c r="G237" s="14" t="str">
        <x:v>Trên 1000 chuyến bay</x:v>
      </x:c>
      <x:c r="H237" s="14" t="str">
        <x:v>Chưa bắt đầu</x:v>
      </x:c>
      <x:c r="I237" s="20" t="n">
        <x:f>IF(H237="Hoàn thành",100%,IF(H237="Không áp dụng",100%,IF(H237="Đang thực hiện",50%,IF(H237="Đang chờ phối hợp",25%,0%))))</x:f>
        <x:v>0</x:v>
      </x:c>
      <x:c r="J237" s="58" t="str"/>
      <x:c r="K237" s="14" t="str"/>
      <x:c r="L237" s="14" t="str"/>
      <x:c r="M237" s="14" t="str"/>
      <x:c r="N237" s="14" t="str"/>
      <x:c r="O237" s="14" t="str"/>
      <x:c r="P237" s="58" t="str"/>
      <x:c r="Q237" s="14" t="str"/>
    </x:row>
    <x:row r="238">
      <x:c r="A238" s="14" t="str">
        <x:v>VATM-0237</x:v>
      </x:c>
      <x:c r="B238" s="14" t="str">
        <x:v>An toàn hàng không / SMS</x:v>
      </x:c>
      <x:c r="C238" s="14" t="str">
        <x:v>SPI/SPT và chỉ số an toàn</x:v>
      </x:c>
      <x:c r="D238" s="14" t="str">
        <x:v>Nguy cơ va chạm địa hình: Số lần máy bay có cảnh báo va chạm địa hình.</x:v>
      </x:c>
      <x:c r="E238" s="14" t="str">
        <x:v>Ban An toàn - Chất lượng</x:v>
      </x:c>
      <x:c r="F238" s="14" t="str">
        <x:v>P2</x:v>
      </x:c>
      <x:c r="G238" s="14" t="str">
        <x:v>Trên 1000 chuyến bay</x:v>
      </x:c>
      <x:c r="H238" s="14" t="str">
        <x:v>Chưa bắt đầu</x:v>
      </x:c>
      <x:c r="I238" s="20" t="n">
        <x:f>IF(H238="Hoàn thành",100%,IF(H238="Không áp dụng",100%,IF(H238="Đang thực hiện",50%,IF(H238="Đang chờ phối hợp",25%,0%))))</x:f>
        <x:v>0</x:v>
      </x:c>
      <x:c r="J238" s="58" t="str"/>
      <x:c r="K238" s="14" t="str"/>
      <x:c r="L238" s="14" t="str"/>
      <x:c r="M238" s="14" t="str"/>
      <x:c r="N238" s="14" t="str"/>
      <x:c r="O238" s="14" t="str"/>
      <x:c r="P238" s="58" t="str"/>
      <x:c r="Q238" s="14" t="str"/>
    </x:row>
    <x:row r="239">
      <x:c r="A239" s="14" t="str">
        <x:v>VATM-0238</x:v>
      </x:c>
      <x:c r="B239" s="14" t="str">
        <x:v>An toàn hàng không / SMS</x:v>
      </x:c>
      <x:c r="C239" s="14" t="str">
        <x:v>SPI/SPT và chỉ số an toàn</x:v>
      </x:c>
      <x:c r="D239" s="14" t="str">
        <x:v>Sai lệch mực bay: Số lần tàu bay sai lệch mực bay so với mực bay được kiểm soát viên không lưu chỉ định.</x:v>
      </x:c>
      <x:c r="E239" s="14" t="str">
        <x:v>Ban An toàn - Chất lượng</x:v>
      </x:c>
      <x:c r="F239" s="14" t="str">
        <x:v>P2</x:v>
      </x:c>
      <x:c r="G239" s="14" t="str">
        <x:v>Trên 1000 chuyến bay</x:v>
      </x:c>
      <x:c r="H239" s="14" t="str">
        <x:v>Chưa bắt đầu</x:v>
      </x:c>
      <x:c r="I239" s="20" t="n">
        <x:f>IF(H239="Hoàn thành",100%,IF(H239="Không áp dụng",100%,IF(H239="Đang thực hiện",50%,IF(H239="Đang chờ phối hợp",25%,0%))))</x:f>
        <x:v>0</x:v>
      </x:c>
      <x:c r="J239" s="58" t="str"/>
      <x:c r="K239" s="14" t="str"/>
      <x:c r="L239" s="14" t="str"/>
      <x:c r="M239" s="14" t="str"/>
      <x:c r="N239" s="14" t="str"/>
      <x:c r="O239" s="14" t="str"/>
      <x:c r="P239" s="58" t="str"/>
      <x:c r="Q239" s="14" t="str"/>
    </x:row>
    <x:row r="240">
      <x:c r="A240" s="14" t="str">
        <x:v>VATM-0239</x:v>
      </x:c>
      <x:c r="B240" s="14" t="str">
        <x:v>An toàn hàng không / SMS</x:v>
      </x:c>
      <x:c r="C240" s="14" t="str">
        <x:v>SPI/SPT và chỉ số an toàn</x:v>
      </x:c>
      <x:c r="D240" s="14" t="str">
        <x:v>Bay vào khu vực thời tiết bất lợi: Số lần trực thăng bay vào khu vực thời tiết bất lợi vượt quá tiêu chuẩn khai thác.</x:v>
      </x:c>
      <x:c r="E240" s="14" t="str">
        <x:v>Ban An toàn - Chất lượng</x:v>
      </x:c>
      <x:c r="F240" s="14" t="str">
        <x:v>P2</x:v>
      </x:c>
      <x:c r="G240" s="14" t="str">
        <x:v>Trên 1000 chuyến bay</x:v>
      </x:c>
      <x:c r="H240" s="14" t="str">
        <x:v>Chưa bắt đầu</x:v>
      </x:c>
      <x:c r="I240" s="20" t="n">
        <x:f>IF(H240="Hoàn thành",100%,IF(H240="Không áp dụng",100%,IF(H240="Đang thực hiện",50%,IF(H240="Đang chờ phối hợp",25%,0%))))</x:f>
        <x:v>0</x:v>
      </x:c>
      <x:c r="J240" s="58" t="str"/>
      <x:c r="K240" s="14" t="str"/>
      <x:c r="L240" s="14" t="str"/>
      <x:c r="M240" s="14" t="str"/>
      <x:c r="N240" s="14" t="str"/>
      <x:c r="O240" s="14" t="str"/>
      <x:c r="P240" s="58" t="str"/>
      <x:c r="Q240" s="14" t="str"/>
    </x:row>
    <x:row r="241">
      <x:c r="A241" s="14" t="str">
        <x:v>VATM-0240</x:v>
      </x:c>
      <x:c r="B241" s="14" t="str">
        <x:v>An toàn hàng không / SMS</x:v>
      </x:c>
      <x:c r="C241" s="14" t="str">
        <x:v>SPI/SPT và chỉ số an toàn</x:v>
      </x:c>
      <x:c r="D241" s="14" t="str">
        <x:v>Nguy cơ va chạm trên không: Số lần trực thăng gần xảy ra va chạm với tàu bay khác dẫn đến kích hoạt chỉ dẫn hành động của hệ thống cảnh báo chống va chạm trên không; nếu không có hệ thống tránh va chạm thì không áp dụng.</x:v>
      </x:c>
      <x:c r="E241" s="14" t="str">
        <x:v>Ban An toàn - Chất lượng</x:v>
      </x:c>
      <x:c r="F241" s="14" t="str">
        <x:v>P2</x:v>
      </x:c>
      <x:c r="G241" s="14" t="str">
        <x:v>Trên 1000 chuyến bay</x:v>
      </x:c>
      <x:c r="H241" s="14" t="str">
        <x:v>Chưa bắt đầu</x:v>
      </x:c>
      <x:c r="I241" s="20" t="n">
        <x:f>IF(H241="Hoàn thành",100%,IF(H241="Không áp dụng",100%,IF(H241="Đang thực hiện",50%,IF(H241="Đang chờ phối hợp",25%,0%))))</x:f>
        <x:v>0</x:v>
      </x:c>
      <x:c r="J241" s="58" t="str"/>
      <x:c r="K241" s="14" t="str"/>
      <x:c r="L241" s="14" t="str"/>
      <x:c r="M241" s="14" t="str"/>
      <x:c r="N241" s="14" t="str"/>
      <x:c r="O241" s="14" t="str"/>
      <x:c r="P241" s="58" t="str"/>
      <x:c r="Q241" s="14" t="str"/>
    </x:row>
    <x:row r="242">
      <x:c r="A242" s="14" t="str">
        <x:v>VATM-0241</x:v>
      </x:c>
      <x:c r="B242" s="14" t="str">
        <x:v>An toàn hàng không / SMS</x:v>
      </x:c>
      <x:c r="C242" s="14" t="str">
        <x:v>SPI/SPT và chỉ số an toàn</x:v>
      </x:c>
      <x:c r="D242" s="14" t="str">
        <x:v>Vi phạm không phận: Số lần trực thăng bay vào khu vực không phận khi chưa được phép bởi cơ sở điều hành không lưu hoặc cơ quan có thẩm quyền.</x:v>
      </x:c>
      <x:c r="E242" s="14" t="str">
        <x:v>Ban An toàn - Chất lượng</x:v>
      </x:c>
      <x:c r="F242" s="14" t="str">
        <x:v>P2</x:v>
      </x:c>
      <x:c r="G242" s="14" t="str">
        <x:v>Trên 1000 chuyến bay</x:v>
      </x:c>
      <x:c r="H242" s="14" t="str">
        <x:v>Chưa bắt đầu</x:v>
      </x:c>
      <x:c r="I242" s="20" t="n">
        <x:f>IF(H242="Hoàn thành",100%,IF(H242="Không áp dụng",100%,IF(H242="Đang thực hiện",50%,IF(H242="Đang chờ phối hợp",25%,0%))))</x:f>
        <x:v>0</x:v>
      </x:c>
      <x:c r="J242" s="58" t="str"/>
      <x:c r="K242" s="14" t="str"/>
      <x:c r="L242" s="14" t="str"/>
      <x:c r="M242" s="14" t="str"/>
      <x:c r="N242" s="14" t="str"/>
      <x:c r="O242" s="14" t="str"/>
      <x:c r="P242" s="58" t="str"/>
      <x:c r="Q242" s="14" t="str"/>
    </x:row>
    <x:row r="243">
      <x:c r="A243" s="14" t="str">
        <x:v>VATM-0242</x:v>
      </x:c>
      <x:c r="B243" s="14" t="str">
        <x:v>An toàn hàng không / SMS</x:v>
      </x:c>
      <x:c r="C243" s="14" t="str">
        <x:v>SPI/SPT và chỉ số an toàn</x:v>
      </x:c>
      <x:c r="D243" s="14" t="str">
        <x:v>Va chạm vào địa hình: Số lần trực thăng đang trong trạng thái được kiểm soát va chạm với địa hình, mặt nước hoặc chướng ngại vật.</x:v>
      </x:c>
      <x:c r="E243" s="14" t="str">
        <x:v>Ban An toàn - Chất lượng</x:v>
      </x:c>
      <x:c r="F243" s="14" t="str">
        <x:v>P2</x:v>
      </x:c>
      <x:c r="G243" s="14" t="str">
        <x:v>Trên 1000 chuyến bay</x:v>
      </x:c>
      <x:c r="H243" s="14" t="str">
        <x:v>Chưa bắt đầu</x:v>
      </x:c>
      <x:c r="I243" s="20" t="n">
        <x:f>IF(H243="Hoàn thành",100%,IF(H243="Không áp dụng",100%,IF(H243="Đang thực hiện",50%,IF(H243="Đang chờ phối hợp",25%,0%))))</x:f>
        <x:v>0</x:v>
      </x:c>
      <x:c r="J243" s="58" t="str"/>
      <x:c r="K243" s="14" t="str"/>
      <x:c r="L243" s="14" t="str"/>
      <x:c r="M243" s="14" t="str"/>
      <x:c r="N243" s="14" t="str"/>
      <x:c r="O243" s="14" t="str"/>
      <x:c r="P243" s="58" t="str"/>
      <x:c r="Q243" s="14" t="str"/>
    </x:row>
    <x:row r="244">
      <x:c r="A244" s="14" t="str">
        <x:v>VATM-0243</x:v>
      </x:c>
      <x:c r="B244" s="14" t="str">
        <x:v>An toàn hàng không / SMS</x:v>
      </x:c>
      <x:c r="C244" s="14" t="str">
        <x:v>SPI/SPT và chỉ số an toàn</x:v>
      </x:c>
      <x:c r="D244" s="14" t="str">
        <x:v>Xâm nhập đường cất hạ cánh: Số lần tàu bay xâm nhập trái phép đường cất hạ cánh.</x:v>
      </x:c>
      <x:c r="E244" s="14" t="str">
        <x:v>Ban An toàn - Chất lượng</x:v>
      </x:c>
      <x:c r="F244" s="14" t="str">
        <x:v>P2</x:v>
      </x:c>
      <x:c r="G244" s="14" t="str">
        <x:v>Trên 100 chuyển động tàu bay</x:v>
      </x:c>
      <x:c r="H244" s="14" t="str">
        <x:v>Chưa bắt đầu</x:v>
      </x:c>
      <x:c r="I244" s="20" t="n">
        <x:f>IF(H244="Hoàn thành",100%,IF(H244="Không áp dụng",100%,IF(H244="Đang thực hiện",50%,IF(H244="Đang chờ phối hợp",25%,0%))))</x:f>
        <x:v>0</x:v>
      </x:c>
      <x:c r="J244" s="58" t="str"/>
      <x:c r="K244" s="14" t="str"/>
      <x:c r="L244" s="14" t="str"/>
      <x:c r="M244" s="14" t="str"/>
      <x:c r="N244" s="14" t="str"/>
      <x:c r="O244" s="14" t="str"/>
      <x:c r="P244" s="58" t="str"/>
      <x:c r="Q244" s="14" t="str"/>
    </x:row>
    <x:row r="245">
      <x:c r="A245" s="14" t="str">
        <x:v>VATM-0244</x:v>
      </x:c>
      <x:c r="B245" s="14" t="str">
        <x:v>An toàn hàng không / SMS</x:v>
      </x:c>
      <x:c r="C245" s="14" t="str">
        <x:v>SPI/SPT và chỉ số an toàn</x:v>
      </x:c>
      <x:c r="D245" s="14" t="str">
        <x:v>Bay vào khu vực thời tiết bất lợi: Số lần tàu bay bay vào khu vực có thời tiết bất lợi vượt quá tiêu chuẩn khai thác.</x:v>
      </x:c>
      <x:c r="E245" s="14" t="str">
        <x:v>Ban An toàn - Chất lượng</x:v>
      </x:c>
      <x:c r="F245" s="14" t="str">
        <x:v>P2</x:v>
      </x:c>
      <x:c r="G245" s="14" t="str">
        <x:v>Trên 100 chuyến bay</x:v>
      </x:c>
      <x:c r="H245" s="14" t="str">
        <x:v>Chưa bắt đầu</x:v>
      </x:c>
      <x:c r="I245" s="20" t="n">
        <x:f>IF(H245="Hoàn thành",100%,IF(H245="Không áp dụng",100%,IF(H245="Đang thực hiện",50%,IF(H245="Đang chờ phối hợp",25%,0%))))</x:f>
        <x:v>0</x:v>
      </x:c>
      <x:c r="J245" s="58" t="str"/>
      <x:c r="K245" s="14" t="str"/>
      <x:c r="L245" s="14" t="str"/>
      <x:c r="M245" s="14" t="str"/>
      <x:c r="N245" s="14" t="str"/>
      <x:c r="O245" s="14" t="str"/>
      <x:c r="P245" s="58" t="str"/>
      <x:c r="Q245" s="14" t="str"/>
    </x:row>
    <x:row r="246">
      <x:c r="A246" s="14" t="str">
        <x:v>VATM-0245</x:v>
      </x:c>
      <x:c r="B246" s="14" t="str">
        <x:v>An toàn hàng không / SMS</x:v>
      </x:c>
      <x:c r="C246" s="14" t="str">
        <x:v>SPI/SPT và chỉ số an toàn</x:v>
      </x:c>
      <x:c r="D246" s="14" t="str">
        <x:v>Sai lệch mực bay: Số lần tàu bay sai lệch quá 200 ft so với mực bay được kiểm soát viên không lưu chỉ định.</x:v>
      </x:c>
      <x:c r="E246" s="14" t="str">
        <x:v>Ban An toàn - Chất lượng</x:v>
      </x:c>
      <x:c r="F246" s="14" t="str">
        <x:v>P2</x:v>
      </x:c>
      <x:c r="G246" s="14" t="str">
        <x:v>Trên 100 chuyến bay</x:v>
      </x:c>
      <x:c r="H246" s="14" t="str">
        <x:v>Chưa bắt đầu</x:v>
      </x:c>
      <x:c r="I246" s="20" t="n">
        <x:f>IF(H246="Hoàn thành",100%,IF(H246="Không áp dụng",100%,IF(H246="Đang thực hiện",50%,IF(H246="Đang chờ phối hợp",25%,0%))))</x:f>
        <x:v>0</x:v>
      </x:c>
      <x:c r="J246" s="58" t="str"/>
      <x:c r="K246" s="14" t="str"/>
      <x:c r="L246" s="14" t="str"/>
      <x:c r="M246" s="14" t="str"/>
      <x:c r="N246" s="14" t="str"/>
      <x:c r="O246" s="14" t="str"/>
      <x:c r="P246" s="58" t="str"/>
      <x:c r="Q246" s="14" t="str"/>
    </x:row>
    <x:row r="247">
      <x:c r="A247" s="14" t="str">
        <x:v>VATM-0246</x:v>
      </x:c>
      <x:c r="B247" s="14" t="str">
        <x:v>An toàn hàng không / SMS</x:v>
      </x:c>
      <x:c r="C247" s="14" t="str">
        <x:v>SPI/SPT và chỉ số an toàn</x:v>
      </x:c>
      <x:c r="D247" s="14" t="str">
        <x:v>Vi phạm không phận: Số lần tàu bay bay vào khu vực không phận khi chưa được phép bởi cơ sở điều hành không lưu.</x:v>
      </x:c>
      <x:c r="E247" s="14" t="str">
        <x:v>Ban An toàn - Chất lượng</x:v>
      </x:c>
      <x:c r="F247" s="14" t="str">
        <x:v>P2</x:v>
      </x:c>
      <x:c r="G247" s="14" t="str">
        <x:v>Trên 100 chuyến bay</x:v>
      </x:c>
      <x:c r="H247" s="14" t="str">
        <x:v>Chưa bắt đầu</x:v>
      </x:c>
      <x:c r="I247" s="20" t="n">
        <x:f>IF(H247="Hoàn thành",100%,IF(H247="Không áp dụng",100%,IF(H247="Đang thực hiện",50%,IF(H247="Đang chờ phối hợp",25%,0%))))</x:f>
        <x:v>0</x:v>
      </x:c>
      <x:c r="J247" s="58" t="str"/>
      <x:c r="K247" s="14" t="str"/>
      <x:c r="L247" s="14" t="str"/>
      <x:c r="M247" s="14" t="str"/>
      <x:c r="N247" s="14" t="str"/>
      <x:c r="O247" s="14" t="str"/>
      <x:c r="P247" s="58" t="str"/>
      <x:c r="Q247" s="14" t="str"/>
    </x:row>
    <x:row r="248">
      <x:c r="A248" s="14" t="str">
        <x:v>VATM-0247</x:v>
      </x:c>
      <x:c r="B248" s="14" t="str">
        <x:v>An toàn hàng không / SMS</x:v>
      </x:c>
      <x:c r="C248" s="14" t="str">
        <x:v>SPI/SPT và chỉ số an toàn</x:v>
      </x:c>
      <x:c r="D248" s="14" t="str">
        <x:v>Tai nạn tàu bay liên quan đến điều hành bay: Số vụ tai nạn tàu bay được xác định có liên quan đến công tác điều hành bay.</x:v>
      </x:c>
      <x:c r="E248" s="14" t="str">
        <x:v>Ban An toàn - Chất lượng</x:v>
      </x:c>
      <x:c r="F248" s="14" t="str">
        <x:v>P2</x:v>
      </x:c>
      <x:c r="G248" s="14" t="str">
        <x:v>Trên 10000 chuyến bay</x:v>
      </x:c>
      <x:c r="H248" s="14" t="str">
        <x:v>Chưa bắt đầu</x:v>
      </x:c>
      <x:c r="I248" s="20" t="n">
        <x:f>IF(H248="Hoàn thành",100%,IF(H248="Không áp dụng",100%,IF(H248="Đang thực hiện",50%,IF(H248="Đang chờ phối hợp",25%,0%))))</x:f>
        <x:v>0</x:v>
      </x:c>
      <x:c r="J248" s="58" t="str"/>
      <x:c r="K248" s="14" t="str"/>
      <x:c r="L248" s="14" t="str"/>
      <x:c r="M248" s="14" t="str"/>
      <x:c r="N248" s="14" t="str"/>
      <x:c r="O248" s="14" t="str"/>
      <x:c r="P248" s="58" t="str"/>
      <x:c r="Q248" s="14" t="str"/>
    </x:row>
    <x:row r="249">
      <x:c r="A249" s="14" t="str">
        <x:v>VATM-0248</x:v>
      </x:c>
      <x:c r="B249" s="14" t="str">
        <x:v>An toàn hàng không / SMS</x:v>
      </x:c>
      <x:c r="C249" s="14" t="str">
        <x:v>SPI/SPT và chỉ số an toàn</x:v>
      </x:c>
      <x:c r="D249" s="14" t="str">
        <x:v>Các sự cố nghiêm trọng: Số lượng sự cố nghiêm trọng được xác định có liên quan đến công tác điều hành bay.</x:v>
      </x:c>
      <x:c r="E249" s="14" t="str">
        <x:v>Ban An toàn - Chất lượng</x:v>
      </x:c>
      <x:c r="F249" s="14" t="str">
        <x:v>P2</x:v>
      </x:c>
      <x:c r="G249" s="14" t="str">
        <x:v>Trên 10000 chuyến bay</x:v>
      </x:c>
      <x:c r="H249" s="14" t="str">
        <x:v>Chưa bắt đầu</x:v>
      </x:c>
      <x:c r="I249" s="20" t="n">
        <x:f>IF(H249="Hoàn thành",100%,IF(H249="Không áp dụng",100%,IF(H249="Đang thực hiện",50%,IF(H249="Đang chờ phối hợp",25%,0%))))</x:f>
        <x:v>0</x:v>
      </x:c>
      <x:c r="J249" s="58" t="str"/>
      <x:c r="K249" s="14" t="str"/>
      <x:c r="L249" s="14" t="str"/>
      <x:c r="M249" s="14" t="str"/>
      <x:c r="N249" s="14" t="str"/>
      <x:c r="O249" s="14" t="str"/>
      <x:c r="P249" s="58" t="str"/>
      <x:c r="Q249" s="14" t="str"/>
    </x:row>
    <x:row r="250">
      <x:c r="A250" s="14" t="str">
        <x:v>VATM-0249</x:v>
      </x:c>
      <x:c r="B250" s="14" t="str">
        <x:v>An toàn hàng không / SMS</x:v>
      </x:c>
      <x:c r="C250" s="14" t="str">
        <x:v>SPI/SPT và chỉ số an toàn</x:v>
      </x:c>
      <x:c r="D250" s="14" t="str">
        <x:v>Vi phạm phân cách tối thiểu: Số lượng chuyến bay vi phạm phân cách tối thiểu do công tác điều hành bay.</x:v>
      </x:c>
      <x:c r="E250" s="14" t="str">
        <x:v>Ban An toàn - Chất lượng</x:v>
      </x:c>
      <x:c r="F250" s="14" t="str">
        <x:v>P2</x:v>
      </x:c>
      <x:c r="G250" s="14" t="str">
        <x:v>Trên 10000 chuyến bay</x:v>
      </x:c>
      <x:c r="H250" s="14" t="str">
        <x:v>Chưa bắt đầu</x:v>
      </x:c>
      <x:c r="I250" s="20" t="n">
        <x:f>IF(H250="Hoàn thành",100%,IF(H250="Không áp dụng",100%,IF(H250="Đang thực hiện",50%,IF(H250="Đang chờ phối hợp",25%,0%))))</x:f>
        <x:v>0</x:v>
      </x:c>
      <x:c r="J250" s="58" t="str"/>
      <x:c r="K250" s="14" t="str"/>
      <x:c r="L250" s="14" t="str"/>
      <x:c r="M250" s="14" t="str"/>
      <x:c r="N250" s="14" t="str"/>
      <x:c r="O250" s="14" t="str"/>
      <x:c r="P250" s="58" t="str"/>
      <x:c r="Q250" s="14" t="str"/>
    </x:row>
    <x:row r="251">
      <x:c r="A251" s="14" t="str">
        <x:v>VATM-0250</x:v>
      </x:c>
      <x:c r="B251" s="14" t="str">
        <x:v>An toàn hàng không / SMS</x:v>
      </x:c>
      <x:c r="C251" s="14" t="str">
        <x:v>SPI/SPT và chỉ số an toàn</x:v>
      </x:c>
      <x:c r="D251" s="14" t="str">
        <x:v>Vi phạm độ cao an toàn tối thiểu: Số lượng chuyến bay vi phạm độ cao an toàn tối thiểu do công tác điều hành bay.</x:v>
      </x:c>
      <x:c r="E251" s="14" t="str">
        <x:v>Ban An toàn - Chất lượng</x:v>
      </x:c>
      <x:c r="F251" s="14" t="str">
        <x:v>P2</x:v>
      </x:c>
      <x:c r="G251" s="14" t="str">
        <x:v>Trên 10000 chuyến bay</x:v>
      </x:c>
      <x:c r="H251" s="14" t="str">
        <x:v>Chưa bắt đầu</x:v>
      </x:c>
      <x:c r="I251" s="20" t="n">
        <x:f>IF(H251="Hoàn thành",100%,IF(H251="Không áp dụng",100%,IF(H251="Đang thực hiện",50%,IF(H251="Đang chờ phối hợp",25%,0%))))</x:f>
        <x:v>0</x:v>
      </x:c>
      <x:c r="J251" s="58" t="str"/>
      <x:c r="K251" s="14" t="str"/>
      <x:c r="L251" s="14" t="str"/>
      <x:c r="M251" s="14" t="str"/>
      <x:c r="N251" s="14" t="str"/>
      <x:c r="O251" s="14" t="str"/>
      <x:c r="P251" s="58" t="str"/>
      <x:c r="Q251" s="14" t="str"/>
    </x:row>
    <x:row r="252">
      <x:c r="A252" s="14" t="str">
        <x:v>VATM-0251</x:v>
      </x:c>
      <x:c r="B252" s="14" t="str">
        <x:v>An toàn hàng không / SMS</x:v>
      </x:c>
      <x:c r="C252" s="14" t="str">
        <x:v>SPI/SPT và chỉ số an toàn</x:v>
      </x:c>
      <x:c r="D252" s="14" t="str">
        <x:v>Vi phạm không phận: Số lượng chuyến bay vi phạm bay vào khu vực cấm bay, khu vực hạn chế hoặc khu vực nguy hiểm do công tác điều hành bay.</x:v>
      </x:c>
      <x:c r="E252" s="14" t="str">
        <x:v>Ban An toàn - Chất lượng</x:v>
      </x:c>
      <x:c r="F252" s="14" t="str">
        <x:v>P2</x:v>
      </x:c>
      <x:c r="G252" s="14" t="str">
        <x:v>Trên 10000 chuyến bay</x:v>
      </x:c>
      <x:c r="H252" s="14" t="str">
        <x:v>Chưa bắt đầu</x:v>
      </x:c>
      <x:c r="I252" s="20" t="n">
        <x:f>IF(H252="Hoàn thành",100%,IF(H252="Không áp dụng",100%,IF(H252="Đang thực hiện",50%,IF(H252="Đang chờ phối hợp",25%,0%))))</x:f>
        <x:v>0</x:v>
      </x:c>
      <x:c r="J252" s="58" t="str"/>
      <x:c r="K252" s="14" t="str"/>
      <x:c r="L252" s="14" t="str"/>
      <x:c r="M252" s="14" t="str"/>
      <x:c r="N252" s="14" t="str"/>
      <x:c r="O252" s="14" t="str"/>
      <x:c r="P252" s="58" t="str"/>
      <x:c r="Q252" s="14" t="str"/>
    </x:row>
    <x:row r="253">
      <x:c r="A253" s="14" t="str">
        <x:v>VATM-0252</x:v>
      </x:c>
      <x:c r="B253" s="14" t="str">
        <x:v>An toàn hàng không / SMS</x:v>
      </x:c>
      <x:c r="C253" s="14" t="str">
        <x:v>SPI/SPT và chỉ số an toàn</x:v>
      </x:c>
      <x:c r="D253" s="14" t="str">
        <x:v>Sự cố điều hành sai lệch phương thức: Số lượng chuyến bay bị điều hành không đúng phương thức quy định.</x:v>
      </x:c>
      <x:c r="E253" s="14" t="str">
        <x:v>Ban An toàn - Chất lượng</x:v>
      </x:c>
      <x:c r="F253" s="14" t="str">
        <x:v>P2</x:v>
      </x:c>
      <x:c r="G253" s="14" t="str">
        <x:v>Trên 10000 chuyến bay</x:v>
      </x:c>
      <x:c r="H253" s="14" t="str">
        <x:v>Chưa bắt đầu</x:v>
      </x:c>
      <x:c r="I253" s="20" t="n">
        <x:f>IF(H253="Hoàn thành",100%,IF(H253="Không áp dụng",100%,IF(H253="Đang thực hiện",50%,IF(H253="Đang chờ phối hợp",25%,0%))))</x:f>
        <x:v>0</x:v>
      </x:c>
      <x:c r="J253" s="58" t="str"/>
      <x:c r="K253" s="14" t="str"/>
      <x:c r="L253" s="14" t="str"/>
      <x:c r="M253" s="14" t="str"/>
      <x:c r="N253" s="14" t="str"/>
      <x:c r="O253" s="14" t="str"/>
      <x:c r="P253" s="58" t="str"/>
      <x:c r="Q253" s="14" t="str"/>
    </x:row>
    <x:row r="254">
      <x:c r="A254" s="14" t="str">
        <x:v>VATM-0253</x:v>
      </x:c>
      <x:c r="B254" s="14" t="str">
        <x:v>An toàn hàng không / SMS</x:v>
      </x:c>
      <x:c r="C254" s="14" t="str">
        <x:v>SPI/SPT và chỉ số an toàn</x:v>
      </x:c>
      <x:c r="D254" s="14" t="str">
        <x:v>Xâm nhập trái phép đường cất hạ cánh: Số lượng chuyến bay xâm nhập đường cất hạ cánh không đúng quy định do công tác điều hành bay.</x:v>
      </x:c>
      <x:c r="E254" s="14" t="str">
        <x:v>Ban An toàn - Chất lượng</x:v>
      </x:c>
      <x:c r="F254" s="14" t="str">
        <x:v>P2</x:v>
      </x:c>
      <x:c r="G254" s="14" t="str">
        <x:v>Trên 10000 chuyển động tàu bay</x:v>
      </x:c>
      <x:c r="H254" s="14" t="str">
        <x:v>Chưa bắt đầu</x:v>
      </x:c>
      <x:c r="I254" s="20" t="n">
        <x:f>IF(H254="Hoàn thành",100%,IF(H254="Không áp dụng",100%,IF(H254="Đang thực hiện",50%,IF(H254="Đang chờ phối hợp",25%,0%))))</x:f>
        <x:v>0</x:v>
      </x:c>
      <x:c r="J254" s="58" t="str"/>
      <x:c r="K254" s="14" t="str"/>
      <x:c r="L254" s="14" t="str"/>
      <x:c r="M254" s="14" t="str"/>
      <x:c r="N254" s="14" t="str"/>
      <x:c r="O254" s="14" t="str"/>
      <x:c r="P254" s="58" t="str"/>
      <x:c r="Q254" s="14" t="str"/>
    </x:row>
    <x:row r="255">
      <x:c r="A255" s="14" t="str">
        <x:v>VATM-0254</x:v>
      </x:c>
      <x:c r="B255" s="14" t="str">
        <x:v>An toàn hàng không / SMS</x:v>
      </x:c>
      <x:c r="C255" s="14" t="str">
        <x:v>SPI/SPT và chỉ số an toàn</x:v>
      </x:c>
      <x:c r="D255" s="14" t="str">
        <x:v>Gián đoạn cung cấp dịch vụ bảo đảm hoạt động bay: Số lần hoạt động bay bị gián đoạn, ảnh hưởng đến an toàn hàng không do công tác cung cấp dịch vụ bảo đảm hoạt động bay.</x:v>
      </x:c>
      <x:c r="E255" s="14" t="str">
        <x:v>Ban An toàn - Chất lượng</x:v>
      </x:c>
      <x:c r="F255" s="14" t="str">
        <x:v>P2</x:v>
      </x:c>
      <x:c r="G255" s="14" t="str">
        <x:v>Trên 10000 chuyến bay</x:v>
      </x:c>
      <x:c r="H255" s="14" t="str">
        <x:v>Chưa bắt đầu</x:v>
      </x:c>
      <x:c r="I255" s="20" t="n">
        <x:f>IF(H255="Hoàn thành",100%,IF(H255="Không áp dụng",100%,IF(H255="Đang thực hiện",50%,IF(H255="Đang chờ phối hợp",25%,0%))))</x:f>
        <x:v>0</x:v>
      </x:c>
      <x:c r="J255" s="58" t="str"/>
      <x:c r="K255" s="14" t="str"/>
      <x:c r="L255" s="14" t="str"/>
      <x:c r="M255" s="14" t="str"/>
      <x:c r="N255" s="14" t="str"/>
      <x:c r="O255" s="14" t="str"/>
      <x:c r="P255" s="58" t="str"/>
      <x:c r="Q255" s="14" t="str"/>
    </x:row>
    <x:row r="256">
      <x:c r="A256" s="14" t="str">
        <x:v>VATM-0255</x:v>
      </x:c>
      <x:c r="B256" s="14" t="str">
        <x:v>An toàn hàng không / SMS</x:v>
      </x:c>
      <x:c r="C256" s="14" t="str">
        <x:v>SPI/SPT và chỉ số an toàn</x:v>
      </x:c>
      <x:c r="D256" s="14" t="str">
        <x:v>Mất khả năng thực hiện nhiệm vụ: Số lần kiểm soát viên không lưu có vấn đề sức khỏe dẫn đến không thể tiếp tục nhiệm vụ trong quá trình điều hành bay.</x:v>
      </x:c>
      <x:c r="E256" s="14" t="str">
        <x:v>Ban An toàn - Chất lượng</x:v>
      </x:c>
      <x:c r="F256" s="14" t="str">
        <x:v>P2</x:v>
      </x:c>
      <x:c r="G256" s="14" t="str">
        <x:v>Trên 10000 chuyến bay</x:v>
      </x:c>
      <x:c r="H256" s="14" t="str">
        <x:v>Chưa bắt đầu</x:v>
      </x:c>
      <x:c r="I256" s="20" t="n">
        <x:f>IF(H256="Hoàn thành",100%,IF(H256="Không áp dụng",100%,IF(H256="Đang thực hiện",50%,IF(H256="Đang chờ phối hợp",25%,0%))))</x:f>
        <x:v>0</x:v>
      </x:c>
      <x:c r="J256" s="58" t="str"/>
      <x:c r="K256" s="14" t="str"/>
      <x:c r="L256" s="14" t="str"/>
      <x:c r="M256" s="14" t="str"/>
      <x:c r="N256" s="14" t="str"/>
      <x:c r="O256" s="14" t="str"/>
      <x:c r="P256" s="58" t="str"/>
      <x:c r="Q256" s="14" t="str"/>
    </x:row>
    <x:row r="257">
      <x:c r="A257" s="14" t="str">
        <x:v>VATM-0256</x:v>
      </x:c>
      <x:c r="B257" s="14" t="str">
        <x:v>An toàn hàng không / SMS</x:v>
      </x:c>
      <x:c r="C257" s="14" t="str">
        <x:v>SPI/SPT và chỉ số an toàn</x:v>
      </x:c>
      <x:c r="D257" s="14" t="str">
        <x:v>Xông ra ngoài đường cất hạ cánh: Số lần tàu bay xông ra ngoài đường cất hạ cánh liên quan tới quản lý, khai thác công trình trong sân bay.</x:v>
      </x:c>
      <x:c r="E257" s="14" t="str">
        <x:v>Ban An toàn - Chất lượng</x:v>
      </x:c>
      <x:c r="F257" s="14" t="str">
        <x:v>P2</x:v>
      </x:c>
      <x:c r="G257" s="14" t="str">
        <x:v>Trên 1000 chuyển động tàu bay</x:v>
      </x:c>
      <x:c r="H257" s="14" t="str">
        <x:v>Chưa bắt đầu</x:v>
      </x:c>
      <x:c r="I257" s="20" t="n">
        <x:f>IF(H257="Hoàn thành",100%,IF(H257="Không áp dụng",100%,IF(H257="Đang thực hiện",50%,IF(H257="Đang chờ phối hợp",25%,0%))))</x:f>
        <x:v>0</x:v>
      </x:c>
      <x:c r="J257" s="58" t="str"/>
      <x:c r="K257" s="14" t="str"/>
      <x:c r="L257" s="14" t="str"/>
      <x:c r="M257" s="14" t="str"/>
      <x:c r="N257" s="14" t="str"/>
      <x:c r="O257" s="14" t="str"/>
      <x:c r="P257" s="58" t="str"/>
      <x:c r="Q257" s="14" t="str"/>
    </x:row>
    <x:row r="258">
      <x:c r="A258" s="14" t="str">
        <x:v>VATM-0257</x:v>
      </x:c>
      <x:c r="B258" s="14" t="str">
        <x:v>An toàn hàng không / SMS</x:v>
      </x:c>
      <x:c r="C258" s="14" t="str">
        <x:v>SPI/SPT và chỉ số an toàn</x:v>
      </x:c>
      <x:c r="D258" s="14" t="str">
        <x:v>Xâm nhập đường cất hạ cánh: Số lần tàu bay, phương tiện, con người xâm nhập đường cất hạ cánh liên quan tới quản lý, khai thác công trình trong sân bay.</x:v>
      </x:c>
      <x:c r="E258" s="14" t="str">
        <x:v>Ban An toàn - Chất lượng</x:v>
      </x:c>
      <x:c r="F258" s="14" t="str">
        <x:v>P2</x:v>
      </x:c>
      <x:c r="G258" s="14" t="str">
        <x:v>Trên 1000 chuyển động tàu bay</x:v>
      </x:c>
      <x:c r="H258" s="14" t="str">
        <x:v>Chưa bắt đầu</x:v>
      </x:c>
      <x:c r="I258" s="20" t="n">
        <x:f>IF(H258="Hoàn thành",100%,IF(H258="Không áp dụng",100%,IF(H258="Đang thực hiện",50%,IF(H258="Đang chờ phối hợp",25%,0%))))</x:f>
        <x:v>0</x:v>
      </x:c>
      <x:c r="J258" s="58" t="str"/>
      <x:c r="K258" s="14" t="str"/>
      <x:c r="L258" s="14" t="str"/>
      <x:c r="M258" s="14" t="str"/>
      <x:c r="N258" s="14" t="str"/>
      <x:c r="O258" s="14" t="str"/>
      <x:c r="P258" s="58" t="str"/>
      <x:c r="Q258" s="14" t="str"/>
    </x:row>
    <x:row r="259">
      <x:c r="A259" s="14" t="str">
        <x:v>VATM-0258</x:v>
      </x:c>
      <x:c r="B259" s="14" t="str">
        <x:v>An toàn hàng không / SMS</x:v>
      </x:c>
      <x:c r="C259" s="14" t="str">
        <x:v>SPI/SPT và chỉ số an toàn</x:v>
      </x:c>
      <x:c r="D259" s="14" t="str">
        <x:v>Tàu bay va chạm trên mặt đất: Sự cố tàu bay va chạm với tàu bay, phương tiện, công trình trong sân bay khi lăn hoặc đỗ liên quan đến quản lý, khai thác công trình trong sân bay.</x:v>
      </x:c>
      <x:c r="E259" s="14" t="str">
        <x:v>Ban An toàn - Chất lượng</x:v>
      </x:c>
      <x:c r="F259" s="14" t="str">
        <x:v>P2</x:v>
      </x:c>
      <x:c r="G259" s="14" t="str">
        <x:v>Trên 1000 chuyển động tàu bay</x:v>
      </x:c>
      <x:c r="H259" s="14" t="str">
        <x:v>Chưa bắt đầu</x:v>
      </x:c>
      <x:c r="I259" s="20" t="n">
        <x:f>IF(H259="Hoàn thành",100%,IF(H259="Không áp dụng",100%,IF(H259="Đang thực hiện",50%,IF(H259="Đang chờ phối hợp",25%,0%))))</x:f>
        <x:v>0</x:v>
      </x:c>
      <x:c r="J259" s="58" t="str"/>
      <x:c r="K259" s="14" t="str"/>
      <x:c r="L259" s="14" t="str"/>
      <x:c r="M259" s="14" t="str"/>
      <x:c r="N259" s="14" t="str"/>
      <x:c r="O259" s="14" t="str"/>
      <x:c r="P259" s="58" t="str"/>
      <x:c r="Q259" s="14" t="str"/>
    </x:row>
    <x:row r="260">
      <x:c r="A260" s="14" t="str">
        <x:v>VATM-0259</x:v>
      </x:c>
      <x:c r="B260" s="14" t="str">
        <x:v>An toàn hàng không / SMS</x:v>
      </x:c>
      <x:c r="C260" s="14" t="str">
        <x:v>SPI/SPT và chỉ số an toàn</x:v>
      </x:c>
      <x:c r="D260" s="14" t="str">
        <x:v>Tàu bay lăn nhầm đường lăn, vệt lăn, vị trí đỗ: Số lần tàu bay lăn nhầm đường lăn, vệt lăn và vị trí đỗ tàu bay liên quan tới quản lý, khai thác công trình trong sân bay.</x:v>
      </x:c>
      <x:c r="E260" s="14" t="str">
        <x:v>Ban An toàn - Chất lượng</x:v>
      </x:c>
      <x:c r="F260" s="14" t="str">
        <x:v>P2</x:v>
      </x:c>
      <x:c r="G260" s="14" t="str">
        <x:v>Trên 1000 chuyển động tàu bay</x:v>
      </x:c>
      <x:c r="H260" s="14" t="str">
        <x:v>Chưa bắt đầu</x:v>
      </x:c>
      <x:c r="I260" s="20" t="n">
        <x:f>IF(H260="Hoàn thành",100%,IF(H260="Không áp dụng",100%,IF(H260="Đang thực hiện",50%,IF(H260="Đang chờ phối hợp",25%,0%))))</x:f>
        <x:v>0</x:v>
      </x:c>
      <x:c r="J260" s="58" t="str"/>
      <x:c r="K260" s="14" t="str"/>
      <x:c r="L260" s="14" t="str"/>
      <x:c r="M260" s="14" t="str"/>
      <x:c r="N260" s="14" t="str"/>
      <x:c r="O260" s="14" t="str"/>
      <x:c r="P260" s="58" t="str"/>
      <x:c r="Q260" s="14" t="str"/>
    </x:row>
    <x:row r="261">
      <x:c r="A261" s="14" t="str">
        <x:v>VATM-0260</x:v>
      </x:c>
      <x:c r="B261" s="14" t="str">
        <x:v>An toàn hàng không / SMS</x:v>
      </x:c>
      <x:c r="C261" s="14" t="str">
        <x:v>SPI/SPT và chỉ số an toàn</x:v>
      </x:c>
      <x:c r="D261" s="14" t="str">
        <x:v>Phát hiện vi phạm nồng độ cồn, chất kích thích: Số lần nhân viên hàng không, bao gồm người lái tàu bay, kiểm soát viên không lưu, nhân viên kỹ thuật bảo dưỡng, bị phát hiện sử dụng chất có cồn hoặc chất kích thích thần kinh bị cấm khi thực hiện nhiệm vụ khai thác tàu bay.</x:v>
      </x:c>
      <x:c r="E261" s="14" t="str">
        <x:v>Ban An toàn - Chất lượng</x:v>
      </x:c>
      <x:c r="F261" s="14" t="str">
        <x:v>P2</x:v>
      </x:c>
      <x:c r="G261" s="14" t="str">
        <x:v>Trên 1000 chuyến bay hoặc 1000 giờ công bảo dưỡng đối với tổ chức bảo dưỡng</x:v>
      </x:c>
      <x:c r="H261" s="14" t="str">
        <x:v>Chưa bắt đầu</x:v>
      </x:c>
      <x:c r="I261" s="20" t="n">
        <x:f>IF(H261="Hoàn thành",100%,IF(H261="Không áp dụng",100%,IF(H261="Đang thực hiện",50%,IF(H261="Đang chờ phối hợp",25%,0%))))</x:f>
        <x:v>0</x:v>
      </x:c>
      <x:c r="J261" s="58" t="str"/>
      <x:c r="K261" s="14" t="str"/>
      <x:c r="L261" s="14" t="str"/>
      <x:c r="M261" s="14" t="str"/>
      <x:c r="N261" s="14" t="str"/>
      <x:c r="O261" s="14" t="str"/>
      <x:c r="P261" s="58" t="str"/>
      <x:c r="Q261" s="14" t="str"/>
    </x:row>
    <x:row r="262">
      <x:c r="A262" s="14" t="str">
        <x:v>VATM-0261</x:v>
      </x:c>
      <x:c r="B262" s="14" t="str">
        <x:v>An toàn hàng không / SMS</x:v>
      </x:c>
      <x:c r="C262" s="14" t="str">
        <x:v>SPI/SPT và chỉ số an toàn</x:v>
      </x:c>
      <x:c r="D262" s="14" t="str">
        <x:v>Khắc phục đúng hạn các nội dung không tuân thủ: Tỷ lệ phần trăm các khuyến cáo an toàn hàng không được khắc phục đầy đủ, đúng hạn trên tổng số khuyến cáo an toàn hàng không của Cục HKVN.</x:v>
      </x:c>
      <x:c r="E262" s="14" t="str">
        <x:v>Ban An toàn - Chất lượng</x:v>
      </x:c>
      <x:c r="F262" s="14" t="str">
        <x:v>P2</x:v>
      </x:c>
      <x:c r="G262" s="14" t="str">
        <x:v>%</x:v>
      </x:c>
      <x:c r="H262" s="14" t="str">
        <x:v>Chưa bắt đầu</x:v>
      </x:c>
      <x:c r="I262" s="20" t="n">
        <x:f>IF(H262="Hoàn thành",100%,IF(H262="Không áp dụng",100%,IF(H262="Đang thực hiện",50%,IF(H262="Đang chờ phối hợp",25%,0%))))</x:f>
        <x:v>0</x:v>
      </x:c>
      <x:c r="J262" s="58" t="str"/>
      <x:c r="K262" s="14" t="str"/>
      <x:c r="L262" s="14" t="str"/>
      <x:c r="M262" s="14" t="str"/>
      <x:c r="N262" s="14" t="str"/>
      <x:c r="O262" s="14" t="str"/>
      <x:c r="P262" s="58" t="str"/>
      <x:c r="Q262" s="14" t="str"/>
    </x:row>
    <x:row r="263">
      <x:c r="A263" s="14" t="str">
        <x:v>VATM-0262</x:v>
      </x:c>
      <x:c r="B263" s="14" t="str">
        <x:v>An toàn hàng không / SMS</x:v>
      </x:c>
      <x:c r="C263" s="14" t="str">
        <x:v>SPI/SPT và chỉ số an toàn</x:v>
      </x:c>
      <x:c r="D263" s="14" t="str">
        <x:v>Các điểm không tuân thủ: Số lượng các điểm không tuân thủ các quy định pháp luật về hàng không dân dụng.</x:v>
      </x:c>
      <x:c r="E263" s="14" t="str">
        <x:v>Ban An toàn - Chất lượng</x:v>
      </x:c>
      <x:c r="F263" s="14" t="str">
        <x:v>P2</x:v>
      </x:c>
      <x:c r="G263" s="14" t="str">
        <x:v>Tính trên đợt kiểm tra</x:v>
      </x:c>
      <x:c r="H263" s="14" t="str">
        <x:v>Chưa bắt đầu</x:v>
      </x:c>
      <x:c r="I263" s="20" t="n">
        <x:f>IF(H263="Hoàn thành",100%,IF(H263="Không áp dụng",100%,IF(H263="Đang thực hiện",50%,IF(H263="Đang chờ phối hợp",25%,0%))))</x:f>
        <x:v>0</x:v>
      </x:c>
      <x:c r="J263" s="58" t="str"/>
      <x:c r="K263" s="14" t="str"/>
      <x:c r="L263" s="14" t="str"/>
      <x:c r="M263" s="14" t="str"/>
      <x:c r="N263" s="14" t="str"/>
      <x:c r="O263" s="14" t="str"/>
      <x:c r="P263" s="58" t="str"/>
      <x:c r="Q263" s="14" t="str"/>
    </x:row>
    <x:row r="264">
      <x:c r="A264" s="14" t="str">
        <x:v>VATM-0263</x:v>
      </x:c>
      <x:c r="B264" s="14" t="str">
        <x:v>An toàn hàng không / SMS</x:v>
      </x:c>
      <x:c r="C264" s="14" t="str">
        <x:v>SPI/SPT và chỉ số an toàn</x:v>
      </x:c>
      <x:c r="D264" s="14" t="str">
        <x:v>Báo cáo an toàn tự nguyện: Số lượng báo cáo tự nguyện do nhân viên hàng không báo cáo.</x:v>
      </x:c>
      <x:c r="E264" s="14" t="str">
        <x:v>Ban An toàn - Chất lượng</x:v>
      </x:c>
      <x:c r="F264" s="14" t="str">
        <x:v>P2</x:v>
      </x:c>
      <x:c r="G264" s="14" t="str">
        <x:v>Tính hằng tháng</x:v>
      </x:c>
      <x:c r="H264" s="14" t="str">
        <x:v>Chưa bắt đầu</x:v>
      </x:c>
      <x:c r="I264" s="20" t="n">
        <x:f>IF(H264="Hoàn thành",100%,IF(H264="Không áp dụng",100%,IF(H264="Đang thực hiện",50%,IF(H264="Đang chờ phối hợp",25%,0%))))</x:f>
        <x:v>0</x:v>
      </x:c>
      <x:c r="J264" s="58" t="str"/>
      <x:c r="K264" s="14" t="str"/>
      <x:c r="L264" s="14" t="str"/>
      <x:c r="M264" s="14" t="str"/>
      <x:c r="N264" s="14" t="str"/>
      <x:c r="O264" s="14" t="str"/>
      <x:c r="P264" s="58" t="str"/>
      <x:c r="Q264" s="14" t="str"/>
    </x:row>
    <x:row r="265">
      <x:c r="A265" s="14" t="str">
        <x:v>VATM-0264</x:v>
      </x:c>
      <x:c r="B265" s="14" t="str">
        <x:v>An toàn hàng không / SMS</x:v>
      </x:c>
      <x:c r="C265" s="14" t="str">
        <x:v>SPI/SPT và chỉ số an toàn</x:v>
      </x:c>
      <x:c r="D265" s="14" t="str">
        <x:v>Nhân viên bị thương trong quá trình làm nhiệm vụ: Số lượng nhân viên hàng không bị thương.</x:v>
      </x:c>
      <x:c r="E265" s="14" t="str">
        <x:v>Ban An toàn - Chất lượng</x:v>
      </x:c>
      <x:c r="F265" s="14" t="str">
        <x:v>P2</x:v>
      </x:c>
      <x:c r="G265" s="14" t="str">
        <x:v>Trên 1000 chuyến bay hoặc 1000 giờ bảo dưỡng đối với tổ chức bảo dưỡng</x:v>
      </x:c>
      <x:c r="H265" s="14" t="str">
        <x:v>Chưa bắt đầu</x:v>
      </x:c>
      <x:c r="I265" s="20" t="n">
        <x:f>IF(H265="Hoàn thành",100%,IF(H265="Không áp dụng",100%,IF(H265="Đang thực hiện",50%,IF(H265="Đang chờ phối hợp",25%,0%))))</x:f>
        <x:v>0</x:v>
      </x:c>
      <x:c r="J265" s="58" t="str"/>
      <x:c r="K265" s="14" t="str"/>
      <x:c r="L265" s="14" t="str"/>
      <x:c r="M265" s="14" t="str"/>
      <x:c r="N265" s="14" t="str"/>
      <x:c r="O265" s="14" t="str"/>
      <x:c r="P265" s="58" t="str"/>
      <x:c r="Q265" s="14" t="str"/>
    </x:row>
    <x:row r="266">
      <x:c r="A266" s="14" t="str">
        <x:v>VATM-0265</x:v>
      </x:c>
      <x:c r="B266" s="14" t="str">
        <x:v>An toàn hàng không / SMS</x:v>
      </x:c>
      <x:c r="C266" s="14" t="str">
        <x:v>Báo cáo MOR, sự cố và điều tra</x:v>
      </x:c>
      <x:c r="D266" s="14" t="str">
        <x:v>Sử dụng dữ liệu không chính xác hoặc nhập sai dữ liệu dẫn đường hoặc tính toán tính năng, có nguy cơ gây mất an toàn hàng không.</x:v>
      </x:c>
      <x:c r="E266" s="14" t="str">
        <x:v>Ban An toàn - Chất lượng</x:v>
      </x:c>
      <x:c r="F266" s="14" t="str">
        <x:v>P2</x:v>
      </x:c>
      <x:c r="G266" s="14" t="str">
        <x:v>24 giờ</x:v>
      </x:c>
      <x:c r="H266" s="14" t="str">
        <x:v>Chưa bắt đầu</x:v>
      </x:c>
      <x:c r="I266" s="20" t="n">
        <x:f>IF(H266="Hoàn thành",100%,IF(H266="Không áp dụng",100%,IF(H266="Đang thực hiện",50%,IF(H266="Đang chờ phối hợp",25%,0%))))</x:f>
        <x:v>0</x:v>
      </x:c>
      <x:c r="J266" s="58" t="str"/>
      <x:c r="K266" s="14" t="str"/>
      <x:c r="L266" s="14" t="str"/>
      <x:c r="M266" s="14" t="str"/>
      <x:c r="N266" s="14" t="str"/>
      <x:c r="O266" s="14" t="str"/>
      <x:c r="P266" s="58" t="str"/>
      <x:c r="Q266" s="14" t="str"/>
    </x:row>
    <x:row r="267">
      <x:c r="A267" s="14" t="str">
        <x:v>VATM-0266</x:v>
      </x:c>
      <x:c r="B267" s="14" t="str">
        <x:v>An toàn hàng không / SMS</x:v>
      </x:c>
      <x:c r="C267" s="14" t="str">
        <x:v>Báo cáo MOR, sự cố và điều tra</x:v>
      </x:c>
      <x:c r="D267" s="14" t="str">
        <x:v>Tàu bay xông ra khỏi đường lăn hoặc đường cất hạ cánh hoặc khu vực cất hạ cánh đối với trực thăng.</x:v>
      </x:c>
      <x:c r="E267" s="14" t="str">
        <x:v>Ban An toàn - Chất lượng</x:v>
      </x:c>
      <x:c r="F267" s="14" t="str">
        <x:v>P2</x:v>
      </x:c>
      <x:c r="G267" s="14" t="str">
        <x:v>24 giờ</x:v>
      </x:c>
      <x:c r="H267" s="14" t="str">
        <x:v>Chưa bắt đầu</x:v>
      </x:c>
      <x:c r="I267" s="20" t="n">
        <x:f>IF(H267="Hoàn thành",100%,IF(H267="Không áp dụng",100%,IF(H267="Đang thực hiện",50%,IF(H267="Đang chờ phối hợp",25%,0%))))</x:f>
        <x:v>0</x:v>
      </x:c>
      <x:c r="J267" s="58" t="str"/>
      <x:c r="K267" s="14" t="str"/>
      <x:c r="L267" s="14" t="str"/>
      <x:c r="M267" s="14" t="str"/>
      <x:c r="N267" s="14" t="str"/>
      <x:c r="O267" s="14" t="str"/>
      <x:c r="P267" s="58" t="str"/>
      <x:c r="Q267" s="14" t="str"/>
    </x:row>
    <x:row r="268">
      <x:c r="A268" s="14" t="str">
        <x:v>VATM-0267</x:v>
      </x:c>
      <x:c r="B268" s="14" t="str">
        <x:v>An toàn hàng không / SMS</x:v>
      </x:c>
      <x:c r="C268" s="14" t="str">
        <x:v>Báo cáo MOR, sự cố và điều tra</x:v>
      </x:c>
      <x:c r="D268" s="14" t="str">
        <x:v>Tàu bay xâm nhập trái phép vào đường lăn hoặc đường cất hạ cánh.</x:v>
      </x:c>
      <x:c r="E268" s="14" t="str">
        <x:v>Ban An toàn - Chất lượng</x:v>
      </x:c>
      <x:c r="F268" s="14" t="str">
        <x:v>P2</x:v>
      </x:c>
      <x:c r="G268" s="14" t="str">
        <x:v>24 giờ</x:v>
      </x:c>
      <x:c r="H268" s="14" t="str">
        <x:v>Chưa bắt đầu</x:v>
      </x:c>
      <x:c r="I268" s="20" t="n">
        <x:f>IF(H268="Hoàn thành",100%,IF(H268="Không áp dụng",100%,IF(H268="Đang thực hiện",50%,IF(H268="Đang chờ phối hợp",25%,0%))))</x:f>
        <x:v>0</x:v>
      </x:c>
      <x:c r="J268" s="58" t="str"/>
      <x:c r="K268" s="14" t="str"/>
      <x:c r="L268" s="14" t="str"/>
      <x:c r="M268" s="14" t="str"/>
      <x:c r="N268" s="14" t="str"/>
      <x:c r="O268" s="14" t="str"/>
      <x:c r="P268" s="58" t="str"/>
      <x:c r="Q268" s="14" t="str"/>
    </x:row>
    <x:row r="269">
      <x:c r="A269" s="14" t="str">
        <x:v>VATM-0268</x:v>
      </x:c>
      <x:c r="B269" s="14" t="str">
        <x:v>An toàn hàng không / SMS</x:v>
      </x:c>
      <x:c r="C269" s="14" t="str">
        <x:v>Báo cáo MOR, sự cố và điều tra</x:v>
      </x:c>
      <x:c r="D269" s="14" t="str">
        <x:v>Tàu bay xâm nhập trái phép vào khu vực tiếp cận cuối và cất cánh đối với trực thăng.</x:v>
      </x:c>
      <x:c r="E269" s="14" t="str">
        <x:v>Ban An toàn - Chất lượng</x:v>
      </x:c>
      <x:c r="F269" s="14" t="str">
        <x:v>P2</x:v>
      </x:c>
      <x:c r="G269" s="14" t="str">
        <x:v>24 giờ</x:v>
      </x:c>
      <x:c r="H269" s="14" t="str">
        <x:v>Chưa bắt đầu</x:v>
      </x:c>
      <x:c r="I269" s="20" t="n">
        <x:f>IF(H269="Hoàn thành",100%,IF(H269="Không áp dụng",100%,IF(H269="Đang thực hiện",50%,IF(H269="Đang chờ phối hợp",25%,0%))))</x:f>
        <x:v>0</x:v>
      </x:c>
      <x:c r="J269" s="58" t="str"/>
      <x:c r="K269" s="14" t="str"/>
      <x:c r="L269" s="14" t="str"/>
      <x:c r="M269" s="14" t="str"/>
      <x:c r="N269" s="14" t="str"/>
      <x:c r="O269" s="14" t="str"/>
      <x:c r="P269" s="58" t="str"/>
      <x:c r="Q269" s="14" t="str"/>
    </x:row>
    <x:row r="270">
      <x:c r="A270" s="14" t="str">
        <x:v>VATM-0269</x:v>
      </x:c>
      <x:c r="B270" s="14" t="str">
        <x:v>An toàn hàng không / SMS</x:v>
      </x:c>
      <x:c r="C270" s="14" t="str">
        <x:v>Báo cáo MOR, sự cố và điều tra</x:v>
      </x:c>
      <x:c r="D270" s="14" t="str">
        <x:v>Tàu bay hủy cất cánh.</x:v>
      </x:c>
      <x:c r="E270" s="14" t="str">
        <x:v>Ban An toàn - Chất lượng</x:v>
      </x:c>
      <x:c r="F270" s="14" t="str">
        <x:v>P2</x:v>
      </x:c>
      <x:c r="G270" s="14" t="str">
        <x:v>24 giờ</x:v>
      </x:c>
      <x:c r="H270" s="14" t="str">
        <x:v>Chưa bắt đầu</x:v>
      </x:c>
      <x:c r="I270" s="20" t="n">
        <x:f>IF(H270="Hoàn thành",100%,IF(H270="Không áp dụng",100%,IF(H270="Đang thực hiện",50%,IF(H270="Đang chờ phối hợp",25%,0%))))</x:f>
        <x:v>0</x:v>
      </x:c>
      <x:c r="J270" s="58" t="str"/>
      <x:c r="K270" s="14" t="str"/>
      <x:c r="L270" s="14" t="str"/>
      <x:c r="M270" s="14" t="str"/>
      <x:c r="N270" s="14" t="str"/>
      <x:c r="O270" s="14" t="str"/>
      <x:c r="P270" s="58" t="str"/>
      <x:c r="Q270" s="14" t="str"/>
    </x:row>
    <x:row r="271">
      <x:c r="A271" s="14" t="str">
        <x:v>VATM-0270</x:v>
      </x:c>
      <x:c r="B271" s="14" t="str">
        <x:v>An toàn hàng không / SMS</x:v>
      </x:c>
      <x:c r="C271" s="14" t="str">
        <x:v>Báo cáo MOR, sự cố và điều tra</x:v>
      </x:c>
      <x:c r="D271" s="14" t="str">
        <x:v>Tàu bay không đạt tính năng khai thác yêu cầu hoặc dự kiến trong khi cất cánh, bay lại hoặc tiếp cận, hạ cánh.</x:v>
      </x:c>
      <x:c r="E271" s="14" t="str">
        <x:v>Ban An toàn - Chất lượng</x:v>
      </x:c>
      <x:c r="F271" s="14" t="str">
        <x:v>P2</x:v>
      </x:c>
      <x:c r="G271" s="14" t="str">
        <x:v>24 giờ</x:v>
      </x:c>
      <x:c r="H271" s="14" t="str">
        <x:v>Chưa bắt đầu</x:v>
      </x:c>
      <x:c r="I271" s="20" t="n">
        <x:f>IF(H271="Hoàn thành",100%,IF(H271="Không áp dụng",100%,IF(H271="Đang thực hiện",50%,IF(H271="Đang chờ phối hợp",25%,0%))))</x:f>
        <x:v>0</x:v>
      </x:c>
      <x:c r="J271" s="58" t="str"/>
      <x:c r="K271" s="14" t="str"/>
      <x:c r="L271" s="14" t="str"/>
      <x:c r="M271" s="14" t="str"/>
      <x:c r="N271" s="14" t="str"/>
      <x:c r="O271" s="14" t="str"/>
      <x:c r="P271" s="58" t="str"/>
      <x:c r="Q271" s="14" t="str"/>
    </x:row>
    <x:row r="272">
      <x:c r="A272" s="14" t="str">
        <x:v>VATM-0271</x:v>
      </x:c>
      <x:c r="B272" s="14" t="str">
        <x:v>An toàn hàng không / SMS</x:v>
      </x:c>
      <x:c r="C272" s="14" t="str">
        <x:v>Báo cáo MOR, sự cố và điều tra</x:v>
      </x:c>
      <x:c r="D272" s="14" t="str">
        <x:v>Va quệt đuôi, đầu mép cánh, cánh quạt hoặc vỏ động cơ với bề mặt cất hạ cánh khi cất cánh hoặc hạ cánh.</x:v>
      </x:c>
      <x:c r="E272" s="14" t="str">
        <x:v>Ban An toàn - Chất lượng</x:v>
      </x:c>
      <x:c r="F272" s="14" t="str">
        <x:v>P2</x:v>
      </x:c>
      <x:c r="G272" s="14" t="str">
        <x:v>24 giờ</x:v>
      </x:c>
      <x:c r="H272" s="14" t="str">
        <x:v>Chưa bắt đầu</x:v>
      </x:c>
      <x:c r="I272" s="20" t="n">
        <x:f>IF(H272="Hoàn thành",100%,IF(H272="Không áp dụng",100%,IF(H272="Đang thực hiện",50%,IF(H272="Đang chờ phối hợp",25%,0%))))</x:f>
        <x:v>0</x:v>
      </x:c>
      <x:c r="J272" s="58" t="str"/>
      <x:c r="K272" s="14" t="str"/>
      <x:c r="L272" s="14" t="str"/>
      <x:c r="M272" s="14" t="str"/>
      <x:c r="N272" s="14" t="str"/>
      <x:c r="O272" s="14" t="str"/>
      <x:c r="P272" s="58" t="str"/>
      <x:c r="Q272" s="14" t="str"/>
    </x:row>
    <x:row r="273">
      <x:c r="A273" s="14" t="str">
        <x:v>VATM-0272</x:v>
      </x:c>
      <x:c r="B273" s="14" t="str">
        <x:v>An toàn hàng không / SMS</x:v>
      </x:c>
      <x:c r="C273" s="14" t="str">
        <x:v>Báo cáo MOR, sự cố và điều tra</x:v>
      </x:c>
      <x:c r="D273" s="14" t="str">
        <x:v>Tiếp tục tiếp cận, hạ cánh khi không bảo đảm tiếp cận ổn định.</x:v>
      </x:c>
      <x:c r="E273" s="14" t="str">
        <x:v>Ban An toàn - Chất lượng</x:v>
      </x:c>
      <x:c r="F273" s="14" t="str">
        <x:v>P2</x:v>
      </x:c>
      <x:c r="G273" s="14" t="str">
        <x:v>24 giờ</x:v>
      </x:c>
      <x:c r="H273" s="14" t="str">
        <x:v>Chưa bắt đầu</x:v>
      </x:c>
      <x:c r="I273" s="20" t="n">
        <x:f>IF(H273="Hoàn thành",100%,IF(H273="Không áp dụng",100%,IF(H273="Đang thực hiện",50%,IF(H273="Đang chờ phối hợp",25%,0%))))</x:f>
        <x:v>0</x:v>
      </x:c>
      <x:c r="J273" s="58" t="str"/>
      <x:c r="K273" s="14" t="str"/>
      <x:c r="L273" s="14" t="str"/>
      <x:c r="M273" s="14" t="str"/>
      <x:c r="N273" s="14" t="str"/>
      <x:c r="O273" s="14" t="str"/>
      <x:c r="P273" s="58" t="str"/>
      <x:c r="Q273" s="14" t="str"/>
    </x:row>
    <x:row r="274">
      <x:c r="A274" s="14" t="str">
        <x:v>VATM-0273</x:v>
      </x:c>
      <x:c r="B274" s="14" t="str">
        <x:v>An toàn hàng không / SMS</x:v>
      </x:c>
      <x:c r="C274" s="14" t="str">
        <x:v>Báo cáo MOR, sự cố và điều tra</x:v>
      </x:c>
      <x:c r="D274" s="14" t="str">
        <x:v>Tiếp tục tiếp cận bằng thiết bị xuống dưới mức tối thiểu được công bố khi không có đủ tham chiếu bằng mắt.</x:v>
      </x:c>
      <x:c r="E274" s="14" t="str">
        <x:v>Ban An toàn - Chất lượng</x:v>
      </x:c>
      <x:c r="F274" s="14" t="str">
        <x:v>P2</x:v>
      </x:c>
      <x:c r="G274" s="14" t="str">
        <x:v>24 giờ</x:v>
      </x:c>
      <x:c r="H274" s="14" t="str">
        <x:v>Chưa bắt đầu</x:v>
      </x:c>
      <x:c r="I274" s="20" t="n">
        <x:f>IF(H274="Hoàn thành",100%,IF(H274="Không áp dụng",100%,IF(H274="Đang thực hiện",50%,IF(H274="Đang chờ phối hợp",25%,0%))))</x:f>
        <x:v>0</x:v>
      </x:c>
      <x:c r="J274" s="58" t="str"/>
      <x:c r="K274" s="14" t="str"/>
      <x:c r="L274" s="14" t="str"/>
      <x:c r="M274" s="14" t="str"/>
      <x:c r="N274" s="14" t="str"/>
      <x:c r="O274" s="14" t="str"/>
      <x:c r="P274" s="58" t="str"/>
      <x:c r="Q274" s="14" t="str"/>
    </x:row>
    <x:row r="275">
      <x:c r="A275" s="14" t="str">
        <x:v>VATM-0274</x:v>
      </x:c>
      <x:c r="B275" s="14" t="str">
        <x:v>An toàn hàng không / SMS</x:v>
      </x:c>
      <x:c r="C275" s="14" t="str">
        <x:v>Báo cáo MOR, sự cố và điều tra</x:v>
      </x:c>
      <x:c r="D275" s="14" t="str">
        <x:v>Phải tiến hành hạ cánh bắt buộc.</x:v>
      </x:c>
      <x:c r="E275" s="14" t="str">
        <x:v>Ban An toàn - Chất lượng</x:v>
      </x:c>
      <x:c r="F275" s="14" t="str">
        <x:v>P2</x:v>
      </x:c>
      <x:c r="G275" s="14" t="str">
        <x:v>24 giờ</x:v>
      </x:c>
      <x:c r="H275" s="14" t="str">
        <x:v>Chưa bắt đầu</x:v>
      </x:c>
      <x:c r="I275" s="20" t="n">
        <x:f>IF(H275="Hoàn thành",100%,IF(H275="Không áp dụng",100%,IF(H275="Đang thực hiện",50%,IF(H275="Đang chờ phối hợp",25%,0%))))</x:f>
        <x:v>0</x:v>
      </x:c>
      <x:c r="J275" s="58" t="str"/>
      <x:c r="K275" s="14" t="str"/>
      <x:c r="L275" s="14" t="str"/>
      <x:c r="M275" s="14" t="str"/>
      <x:c r="N275" s="14" t="str"/>
      <x:c r="O275" s="14" t="str"/>
      <x:c r="P275" s="58" t="str"/>
      <x:c r="Q275" s="14" t="str"/>
    </x:row>
    <x:row r="276">
      <x:c r="A276" s="14" t="str">
        <x:v>VATM-0275</x:v>
      </x:c>
      <x:c r="B276" s="14" t="str">
        <x:v>An toàn hàng không / SMS</x:v>
      </x:c>
      <x:c r="C276" s="14" t="str">
        <x:v>Báo cáo MOR, sự cố và điều tra</x:v>
      </x:c>
      <x:c r="D276" s="14" t="str">
        <x:v>Hạ cánh không đúng khu vực chạm bánh.</x:v>
      </x:c>
      <x:c r="E276" s="14" t="str">
        <x:v>Ban An toàn - Chất lượng</x:v>
      </x:c>
      <x:c r="F276" s="14" t="str">
        <x:v>P2</x:v>
      </x:c>
      <x:c r="G276" s="14" t="str">
        <x:v>24 giờ</x:v>
      </x:c>
      <x:c r="H276" s="14" t="str">
        <x:v>Chưa bắt đầu</x:v>
      </x:c>
      <x:c r="I276" s="20" t="n">
        <x:f>IF(H276="Hoàn thành",100%,IF(H276="Không áp dụng",100%,IF(H276="Đang thực hiện",50%,IF(H276="Đang chờ phối hợp",25%,0%))))</x:f>
        <x:v>0</x:v>
      </x:c>
      <x:c r="J276" s="58" t="str"/>
      <x:c r="K276" s="14" t="str"/>
      <x:c r="L276" s="14" t="str"/>
      <x:c r="M276" s="14" t="str"/>
      <x:c r="N276" s="14" t="str"/>
      <x:c r="O276" s="14" t="str"/>
      <x:c r="P276" s="58" t="str"/>
      <x:c r="Q276" s="14" t="str"/>
    </x:row>
    <x:row r="277">
      <x:c r="A277" s="14" t="str">
        <x:v>VATM-0276</x:v>
      </x:c>
      <x:c r="B277" s="14" t="str">
        <x:v>An toàn hàng không / SMS</x:v>
      </x:c>
      <x:c r="C277" s="14" t="str">
        <x:v>Báo cáo MOR, sự cố và điều tra</x:v>
      </x:c>
      <x:c r="D277" s="14" t="str">
        <x:v>Mất khả năng điều khiển tàu bay do hư hỏng hệ thống điều khiển hoặc do người lái tàu bay mất khả năng điều khiển tàu bay.</x:v>
      </x:c>
      <x:c r="E277" s="14" t="str">
        <x:v>Ban An toàn - Chất lượng</x:v>
      </x:c>
      <x:c r="F277" s="14" t="str">
        <x:v>P2</x:v>
      </x:c>
      <x:c r="G277" s="14" t="str">
        <x:v>24 giờ</x:v>
      </x:c>
      <x:c r="H277" s="14" t="str">
        <x:v>Chưa bắt đầu</x:v>
      </x:c>
      <x:c r="I277" s="20" t="n">
        <x:f>IF(H277="Hoàn thành",100%,IF(H277="Không áp dụng",100%,IF(H277="Đang thực hiện",50%,IF(H277="Đang chờ phối hợp",25%,0%))))</x:f>
        <x:v>0</x:v>
      </x:c>
      <x:c r="J277" s="58" t="str"/>
      <x:c r="K277" s="14" t="str"/>
      <x:c r="L277" s="14" t="str"/>
      <x:c r="M277" s="14" t="str"/>
      <x:c r="N277" s="14" t="str"/>
      <x:c r="O277" s="14" t="str"/>
      <x:c r="P277" s="58" t="str"/>
      <x:c r="Q277" s="14" t="str"/>
    </x:row>
    <x:row r="278">
      <x:c r="A278" s="14" t="str">
        <x:v>VATM-0277</x:v>
      </x:c>
      <x:c r="B278" s="14" t="str">
        <x:v>An toàn hàng không / SMS</x:v>
      </x:c>
      <x:c r="C278" s="14" t="str">
        <x:v>Báo cáo MOR, sự cố và điều tra</x:v>
      </x:c>
      <x:c r="D278" s="14" t="str">
        <x:v>Sai lệch mực bay, độ cao được phép.</x:v>
      </x:c>
      <x:c r="E278" s="14" t="str">
        <x:v>Ban An toàn - Chất lượng</x:v>
      </x:c>
      <x:c r="F278" s="14" t="str">
        <x:v>P2</x:v>
      </x:c>
      <x:c r="G278" s="14" t="str">
        <x:v>24 giờ</x:v>
      </x:c>
      <x:c r="H278" s="14" t="str">
        <x:v>Chưa bắt đầu</x:v>
      </x:c>
      <x:c r="I278" s="20" t="n">
        <x:f>IF(H278="Hoàn thành",100%,IF(H278="Không áp dụng",100%,IF(H278="Đang thực hiện",50%,IF(H278="Đang chờ phối hợp",25%,0%))))</x:f>
        <x:v>0</x:v>
      </x:c>
      <x:c r="J278" s="58" t="str"/>
      <x:c r="K278" s="14" t="str"/>
      <x:c r="L278" s="14" t="str"/>
      <x:c r="M278" s="14" t="str"/>
      <x:c r="N278" s="14" t="str"/>
      <x:c r="O278" s="14" t="str"/>
      <x:c r="P278" s="58" t="str"/>
      <x:c r="Q278" s="14" t="str"/>
    </x:row>
    <x:row r="279">
      <x:c r="A279" s="14" t="str">
        <x:v>VATM-0278</x:v>
      </x:c>
      <x:c r="B279" s="14" t="str">
        <x:v>An toàn hàng không / SMS</x:v>
      </x:c>
      <x:c r="C279" s="14" t="str">
        <x:v>Báo cáo MOR, sự cố và điều tra</x:v>
      </x:c>
      <x:c r="D279" s="14" t="str">
        <x:v>Tàu bay kích hoạt chế độ bảo vệ gồm cảnh báo thất tốc và tự ngắt các chế độ bảo vệ tự động.</x:v>
      </x:c>
      <x:c r="E279" s="14" t="str">
        <x:v>Ban An toàn - Chất lượng</x:v>
      </x:c>
      <x:c r="F279" s="14" t="str">
        <x:v>P2</x:v>
      </x:c>
      <x:c r="G279" s="14" t="str">
        <x:v>24 giờ</x:v>
      </x:c>
      <x:c r="H279" s="14" t="str">
        <x:v>Chưa bắt đầu</x:v>
      </x:c>
      <x:c r="I279" s="20" t="n">
        <x:f>IF(H279="Hoàn thành",100%,IF(H279="Không áp dụng",100%,IF(H279="Đang thực hiện",50%,IF(H279="Đang chờ phối hợp",25%,0%))))</x:f>
        <x:v>0</x:v>
      </x:c>
      <x:c r="J279" s="58" t="str"/>
      <x:c r="K279" s="14" t="str"/>
      <x:c r="L279" s="14" t="str"/>
      <x:c r="M279" s="14" t="str"/>
      <x:c r="N279" s="14" t="str"/>
      <x:c r="O279" s="14" t="str"/>
      <x:c r="P279" s="58" t="str"/>
      <x:c r="Q279" s="14" t="str"/>
    </x:row>
    <x:row r="280">
      <x:c r="A280" s="14" t="str">
        <x:v>VATM-0279</x:v>
      </x:c>
      <x:c r="B280" s="14" t="str">
        <x:v>An toàn hàng không / SMS</x:v>
      </x:c>
      <x:c r="C280" s="14" t="str">
        <x:v>Báo cáo MOR, sự cố và điều tra</x:v>
      </x:c>
      <x:c r="D280" s="14" t="str">
        <x:v>Tàu bay bay sai lệch so với đường bay được phê duyệt theo kế hoạch bay hoặc theo chỉ định của cơ sở điều hành bay.</x:v>
      </x:c>
      <x:c r="E280" s="14" t="str">
        <x:v>Ban An toàn - Chất lượng</x:v>
      </x:c>
      <x:c r="F280" s="14" t="str">
        <x:v>P2</x:v>
      </x:c>
      <x:c r="G280" s="14" t="str">
        <x:v>24 giờ</x:v>
      </x:c>
      <x:c r="H280" s="14" t="str">
        <x:v>Chưa bắt đầu</x:v>
      </x:c>
      <x:c r="I280" s="20" t="n">
        <x:f>IF(H280="Hoàn thành",100%,IF(H280="Không áp dụng",100%,IF(H280="Đang thực hiện",50%,IF(H280="Đang chờ phối hợp",25%,0%))))</x:f>
        <x:v>0</x:v>
      </x:c>
      <x:c r="J280" s="58" t="str"/>
      <x:c r="K280" s="14" t="str"/>
      <x:c r="L280" s="14" t="str"/>
      <x:c r="M280" s="14" t="str"/>
      <x:c r="N280" s="14" t="str"/>
      <x:c r="O280" s="14" t="str"/>
      <x:c r="P280" s="58" t="str"/>
      <x:c r="Q280" s="14" t="str"/>
    </x:row>
    <x:row r="281">
      <x:c r="A281" s="14" t="str">
        <x:v>VATM-0280</x:v>
      </x:c>
      <x:c r="B281" s="14" t="str">
        <x:v>An toàn hàng không / SMS</x:v>
      </x:c>
      <x:c r="C281" s="14" t="str">
        <x:v>Báo cáo MOR, sự cố và điều tra</x:v>
      </x:c>
      <x:c r="D281" s="14" t="str">
        <x:v>Sự cố do luồng khí phản lực, luồng gió rô-to hoặc luồng gió cánh quạt gây nguy hiểm cho người hoặc hoạt động khai thác tàu bay.</x:v>
      </x:c>
      <x:c r="E281" s="14" t="str">
        <x:v>Ban An toàn - Chất lượng</x:v>
      </x:c>
      <x:c r="F281" s="14" t="str">
        <x:v>P2</x:v>
      </x:c>
      <x:c r="G281" s="14" t="str">
        <x:v>24 giờ</x:v>
      </x:c>
      <x:c r="H281" s="14" t="str">
        <x:v>Chưa bắt đầu</x:v>
      </x:c>
      <x:c r="I281" s="20" t="n">
        <x:f>IF(H281="Hoàn thành",100%,IF(H281="Không áp dụng",100%,IF(H281="Đang thực hiện",50%,IF(H281="Đang chờ phối hợp",25%,0%))))</x:f>
        <x:v>0</x:v>
      </x:c>
      <x:c r="J281" s="58" t="str"/>
      <x:c r="K281" s="14" t="str"/>
      <x:c r="L281" s="14" t="str"/>
      <x:c r="M281" s="14" t="str"/>
      <x:c r="N281" s="14" t="str"/>
      <x:c r="O281" s="14" t="str"/>
      <x:c r="P281" s="58" t="str"/>
      <x:c r="Q281" s="14" t="str"/>
    </x:row>
    <x:row r="282">
      <x:c r="A282" s="14" t="str">
        <x:v>VATM-0281</x:v>
      </x:c>
      <x:c r="B282" s="14" t="str">
        <x:v>An toàn hàng không / SMS</x:v>
      </x:c>
      <x:c r="C282" s="14" t="str">
        <x:v>Báo cáo MOR, sự cố và điều tra</x:v>
      </x:c>
      <x:c r="D282" s="14" t="str">
        <x:v>Bay vào vùng nhiễu động khiến tàu bay không thể duy trì tạm thời mực bay hoặc có người bị thương hoặc đồ đạc/hành lý không giữ đúng vị trí.</x:v>
      </x:c>
      <x:c r="E282" s="14" t="str">
        <x:v>Ban An toàn - Chất lượng</x:v>
      </x:c>
      <x:c r="F282" s="14" t="str">
        <x:v>P2</x:v>
      </x:c>
      <x:c r="G282" s="14" t="str">
        <x:v>24 giờ</x:v>
      </x:c>
      <x:c r="H282" s="14" t="str">
        <x:v>Chưa bắt đầu</x:v>
      </x:c>
      <x:c r="I282" s="20" t="n">
        <x:f>IF(H282="Hoàn thành",100%,IF(H282="Không áp dụng",100%,IF(H282="Đang thực hiện",50%,IF(H282="Đang chờ phối hợp",25%,0%))))</x:f>
        <x:v>0</x:v>
      </x:c>
      <x:c r="J282" s="58" t="str"/>
      <x:c r="K282" s="14" t="str"/>
      <x:c r="L282" s="14" t="str"/>
      <x:c r="M282" s="14" t="str"/>
      <x:c r="N282" s="14" t="str"/>
      <x:c r="O282" s="14" t="str"/>
      <x:c r="P282" s="58" t="str"/>
      <x:c r="Q282" s="14" t="str"/>
    </x:row>
    <x:row r="283">
      <x:c r="A283" s="14" t="str">
        <x:v>VATM-0282</x:v>
      </x:c>
      <x:c r="B283" s="14" t="str">
        <x:v>An toàn hàng không / SMS</x:v>
      </x:c>
      <x:c r="C283" s="14" t="str">
        <x:v>Báo cáo MOR, sự cố và điều tra</x:v>
      </x:c>
      <x:c r="D283" s="14" t="str">
        <x:v>Mất hoặc mất tạm thời tín hiệu dẫn đường vệ tinh ảnh hưởng đến an toàn bay hoặc khả năng duy trì đường bay đã phê duyệt/chỉ định.</x:v>
      </x:c>
      <x:c r="E283" s="14" t="str">
        <x:v>Ban An toàn - Chất lượng</x:v>
      </x:c>
      <x:c r="F283" s="14" t="str">
        <x:v>P2</x:v>
      </x:c>
      <x:c r="G283" s="14" t="str">
        <x:v>24 giờ</x:v>
      </x:c>
      <x:c r="H283" s="14" t="str">
        <x:v>Chưa bắt đầu</x:v>
      </x:c>
      <x:c r="I283" s="20" t="n">
        <x:f>IF(H283="Hoàn thành",100%,IF(H283="Không áp dụng",100%,IF(H283="Đang thực hiện",50%,IF(H283="Đang chờ phối hợp",25%,0%))))</x:f>
        <x:v>0</x:v>
      </x:c>
      <x:c r="J283" s="58" t="str"/>
      <x:c r="K283" s="14" t="str"/>
      <x:c r="L283" s="14" t="str"/>
      <x:c r="M283" s="14" t="str"/>
      <x:c r="N283" s="14" t="str"/>
      <x:c r="O283" s="14" t="str"/>
      <x:c r="P283" s="58" t="str"/>
      <x:c r="Q283" s="14" t="str"/>
    </x:row>
    <x:row r="284">
      <x:c r="A284" s="14" t="str">
        <x:v>VATM-0283</x:v>
      </x:c>
      <x:c r="B284" s="14" t="str">
        <x:v>An toàn hàng không / SMS</x:v>
      </x:c>
      <x:c r="C284" s="14" t="str">
        <x:v>Báo cáo MOR, sự cố và điều tra</x:v>
      </x:c>
      <x:c r="D284" s="14" t="str">
        <x:v>Nhân viên hàng không bị thương khi thực hiện nhiệm vụ.</x:v>
      </x:c>
      <x:c r="E284" s="14" t="str">
        <x:v>Ban An toàn - Chất lượng</x:v>
      </x:c>
      <x:c r="F284" s="14" t="str">
        <x:v>P2</x:v>
      </x:c>
      <x:c r="G284" s="14" t="str">
        <x:v>24 giờ</x:v>
      </x:c>
      <x:c r="H284" s="14" t="str">
        <x:v>Chưa bắt đầu</x:v>
      </x:c>
      <x:c r="I284" s="20" t="n">
        <x:f>IF(H284="Hoàn thành",100%,IF(H284="Không áp dụng",100%,IF(H284="Đang thực hiện",50%,IF(H284="Đang chờ phối hợp",25%,0%))))</x:f>
        <x:v>0</x:v>
      </x:c>
      <x:c r="J284" s="58" t="str"/>
      <x:c r="K284" s="14" t="str"/>
      <x:c r="L284" s="14" t="str"/>
      <x:c r="M284" s="14" t="str"/>
      <x:c r="N284" s="14" t="str"/>
      <x:c r="O284" s="14" t="str"/>
      <x:c r="P284" s="58" t="str"/>
      <x:c r="Q284" s="14" t="str"/>
    </x:row>
    <x:row r="285">
      <x:c r="A285" s="14" t="str">
        <x:v>VATM-0284</x:v>
      </x:c>
      <x:c r="B285" s="14" t="str">
        <x:v>An toàn hàng không / SMS</x:v>
      </x:c>
      <x:c r="C285" s="14" t="str">
        <x:v>Báo cáo MOR, sự cố và điều tra</x:v>
      </x:c>
      <x:c r="D285" s="14" t="str">
        <x:v>Các sự cố khác có thể ảnh hưởng đến an toàn khai thác tàu bay.</x:v>
      </x:c>
      <x:c r="E285" s="14" t="str">
        <x:v>Ban An toàn - Chất lượng</x:v>
      </x:c>
      <x:c r="F285" s="14" t="str">
        <x:v>P2</x:v>
      </x:c>
      <x:c r="G285" s="14" t="str">
        <x:v>24 giờ</x:v>
      </x:c>
      <x:c r="H285" s="14" t="str">
        <x:v>Chưa bắt đầu</x:v>
      </x:c>
      <x:c r="I285" s="20" t="n">
        <x:f>IF(H285="Hoàn thành",100%,IF(H285="Không áp dụng",100%,IF(H285="Đang thực hiện",50%,IF(H285="Đang chờ phối hợp",25%,0%))))</x:f>
        <x:v>0</x:v>
      </x:c>
      <x:c r="J285" s="58" t="str"/>
      <x:c r="K285" s="14" t="str"/>
      <x:c r="L285" s="14" t="str"/>
      <x:c r="M285" s="14" t="str"/>
      <x:c r="N285" s="14" t="str"/>
      <x:c r="O285" s="14" t="str"/>
      <x:c r="P285" s="58" t="str"/>
      <x:c r="Q285" s="14" t="str"/>
    </x:row>
    <x:row r="286">
      <x:c r="A286" s="14" t="str">
        <x:v>VATM-0285</x:v>
      </x:c>
      <x:c r="B286" s="14" t="str">
        <x:v>An toàn hàng không / SMS</x:v>
      </x:c>
      <x:c r="C286" s="14" t="str">
        <x:v>Báo cáo MOR, sự cố và điều tra</x:v>
      </x:c>
      <x:c r="D286" s="14" t="str">
        <x:v>Hoạt động bất thường của hệ thống điều khiển bay.</x:v>
      </x:c>
      <x:c r="E286" s="14" t="str">
        <x:v>Ban An toàn - Chất lượng</x:v>
      </x:c>
      <x:c r="F286" s="14" t="str">
        <x:v>P2</x:v>
      </x:c>
      <x:c r="G286" s="14" t="str">
        <x:v>24 giờ</x:v>
      </x:c>
      <x:c r="H286" s="14" t="str">
        <x:v>Chưa bắt đầu</x:v>
      </x:c>
      <x:c r="I286" s="20" t="n">
        <x:f>IF(H286="Hoàn thành",100%,IF(H286="Không áp dụng",100%,IF(H286="Đang thực hiện",50%,IF(H286="Đang chờ phối hợp",25%,0%))))</x:f>
        <x:v>0</x:v>
      </x:c>
      <x:c r="J286" s="58" t="str"/>
      <x:c r="K286" s="14" t="str"/>
      <x:c r="L286" s="14" t="str"/>
      <x:c r="M286" s="14" t="str"/>
      <x:c r="N286" s="14" t="str"/>
      <x:c r="O286" s="14" t="str"/>
      <x:c r="P286" s="58" t="str"/>
      <x:c r="Q286" s="14" t="str"/>
    </x:row>
    <x:row r="287">
      <x:c r="A287" s="14" t="str">
        <x:v>VATM-0286</x:v>
      </x:c>
      <x:c r="B287" s="14" t="str">
        <x:v>An toàn hàng không / SMS</x:v>
      </x:c>
      <x:c r="C287" s="14" t="str">
        <x:v>Báo cáo MOR, sự cố và điều tra</x:v>
      </x:c>
      <x:c r="D287" s="14" t="str">
        <x:v>Tắt động cơ trên không hoặc động cơ phụ không hoạt động khi cần thiết.</x:v>
      </x:c>
      <x:c r="E287" s="14" t="str">
        <x:v>Ban An toàn - Chất lượng</x:v>
      </x:c>
      <x:c r="F287" s="14" t="str">
        <x:v>P2</x:v>
      </x:c>
      <x:c r="G287" s="14" t="str">
        <x:v>24 giờ</x:v>
      </x:c>
      <x:c r="H287" s="14" t="str">
        <x:v>Chưa bắt đầu</x:v>
      </x:c>
      <x:c r="I287" s="20" t="n">
        <x:f>IF(H287="Hoàn thành",100%,IF(H287="Không áp dụng",100%,IF(H287="Đang thực hiện",50%,IF(H287="Đang chờ phối hợp",25%,0%))))</x:f>
        <x:v>0</x:v>
      </x:c>
      <x:c r="J287" s="58" t="str"/>
      <x:c r="K287" s="14" t="str"/>
      <x:c r="L287" s="14" t="str"/>
      <x:c r="M287" s="14" t="str"/>
      <x:c r="N287" s="14" t="str"/>
      <x:c r="O287" s="14" t="str"/>
      <x:c r="P287" s="58" t="str"/>
      <x:c r="Q287" s="14" t="str"/>
    </x:row>
    <x:row r="288">
      <x:c r="A288" s="14" t="str">
        <x:v>VATM-0287</x:v>
      </x:c>
      <x:c r="B288" s="14" t="str">
        <x:v>An toàn hàng không / SMS</x:v>
      </x:c>
      <x:c r="C288" s="14" t="str">
        <x:v>Báo cáo MOR, sự cố và điều tra</x:v>
      </x:c>
      <x:c r="D288" s="14" t="str">
        <x:v>Huấn lệnh kiểm soát không lưu có nguy cơ dẫn đến tàu bay khai thác vào khu vực thời tiết nguy hiểm hoặc mất phân cách với tàu bay/khu vực nguy hiểm/khu vực cấm.</x:v>
      </x:c>
      <x:c r="E288" s="14" t="str">
        <x:v>Ban An toàn - Chất lượng</x:v>
      </x:c>
      <x:c r="F288" s="14" t="str">
        <x:v>P2</x:v>
      </x:c>
      <x:c r="G288" s="14" t="str">
        <x:v>24 giờ</x:v>
      </x:c>
      <x:c r="H288" s="14" t="str">
        <x:v>Chưa bắt đầu</x:v>
      </x:c>
      <x:c r="I288" s="20" t="n">
        <x:f>IF(H288="Hoàn thành",100%,IF(H288="Không áp dụng",100%,IF(H288="Đang thực hiện",50%,IF(H288="Đang chờ phối hợp",25%,0%))))</x:f>
        <x:v>0</x:v>
      </x:c>
      <x:c r="J288" s="58" t="str"/>
      <x:c r="K288" s="14" t="str"/>
      <x:c r="L288" s="14" t="str"/>
      <x:c r="M288" s="14" t="str"/>
      <x:c r="N288" s="14" t="str"/>
      <x:c r="O288" s="14" t="str"/>
      <x:c r="P288" s="58" t="str"/>
      <x:c r="Q288" s="14" t="str"/>
    </x:row>
    <x:row r="289">
      <x:c r="A289" s="14" t="str">
        <x:v>VATM-0288</x:v>
      </x:c>
      <x:c r="B289" s="14" t="str">
        <x:v>An toàn hàng không / SMS</x:v>
      </x:c>
      <x:c r="C289" s="14" t="str">
        <x:v>Báo cáo MOR, sự cố và điều tra</x:v>
      </x:c>
      <x:c r="D289" s="14" t="str">
        <x:v>Mất liên lạc đối với đơn vị cung cấp dịch vụ không lưu trong vùng trời có kiểm soát.</x:v>
      </x:c>
      <x:c r="E289" s="14" t="str">
        <x:v>Ban An toàn - Chất lượng</x:v>
      </x:c>
      <x:c r="F289" s="14" t="str">
        <x:v>P2</x:v>
      </x:c>
      <x:c r="G289" s="14" t="str">
        <x:v>24 giờ</x:v>
      </x:c>
      <x:c r="H289" s="14" t="str">
        <x:v>Chưa bắt đầu</x:v>
      </x:c>
      <x:c r="I289" s="20" t="n">
        <x:f>IF(H289="Hoàn thành",100%,IF(H289="Không áp dụng",100%,IF(H289="Đang thực hiện",50%,IF(H289="Đang chờ phối hợp",25%,0%))))</x:f>
        <x:v>0</x:v>
      </x:c>
      <x:c r="J289" s="58" t="str"/>
      <x:c r="K289" s="14" t="str"/>
      <x:c r="L289" s="14" t="str"/>
      <x:c r="M289" s="14" t="str"/>
      <x:c r="N289" s="14" t="str"/>
      <x:c r="O289" s="14" t="str"/>
      <x:c r="P289" s="58" t="str"/>
      <x:c r="Q289" s="14" t="str"/>
    </x:row>
    <x:row r="290">
      <x:c r="A290" s="14" t="str">
        <x:v>VATM-0289</x:v>
      </x:c>
      <x:c r="B290" s="14" t="str">
        <x:v>An toàn hàng không / SMS</x:v>
      </x:c>
      <x:c r="C290" s="14" t="str">
        <x:v>Báo cáo MOR, sự cố và điều tra</x:v>
      </x:c>
      <x:c r="D290" s="14" t="str">
        <x:v>Không tuân thủ hoặc hiểu sai huấn lệnh của kiểm soát viên không lưu.</x:v>
      </x:c>
      <x:c r="E290" s="14" t="str">
        <x:v>Ban An toàn - Chất lượng</x:v>
      </x:c>
      <x:c r="F290" s="14" t="str">
        <x:v>P2</x:v>
      </x:c>
      <x:c r="G290" s="14" t="str">
        <x:v>24 giờ</x:v>
      </x:c>
      <x:c r="H290" s="14" t="str">
        <x:v>Chưa bắt đầu</x:v>
      </x:c>
      <x:c r="I290" s="20" t="n">
        <x:f>IF(H290="Hoàn thành",100%,IF(H290="Không áp dụng",100%,IF(H290="Đang thực hiện",50%,IF(H290="Đang chờ phối hợp",25%,0%))))</x:f>
        <x:v>0</x:v>
      </x:c>
      <x:c r="J290" s="58" t="str"/>
      <x:c r="K290" s="14" t="str"/>
      <x:c r="L290" s="14" t="str"/>
      <x:c r="M290" s="14" t="str"/>
      <x:c r="N290" s="14" t="str"/>
      <x:c r="O290" s="14" t="str"/>
      <x:c r="P290" s="58" t="str"/>
      <x:c r="Q290" s="14" t="str"/>
    </x:row>
    <x:row r="291">
      <x:c r="A291" s="14" t="str">
        <x:v>VATM-0290</x:v>
      </x:c>
      <x:c r="B291" s="14" t="str">
        <x:v>An toàn hàng không / SMS</x:v>
      </x:c>
      <x:c r="C291" s="14" t="str">
        <x:v>Báo cáo MOR, sự cố và điều tra</x:v>
      </x:c>
      <x:c r="D291" s="14" t="str">
        <x:v>Cố ý sai lệch khỏi chỉ dẫn của cơ sở điều hành bay nhằm bảo đảm an toàn hàng không.</x:v>
      </x:c>
      <x:c r="E291" s="14" t="str">
        <x:v>Ban An toàn - Chất lượng</x:v>
      </x:c>
      <x:c r="F291" s="14" t="str">
        <x:v>P2</x:v>
      </x:c>
      <x:c r="G291" s="14" t="str">
        <x:v>24 giờ</x:v>
      </x:c>
      <x:c r="H291" s="14" t="str">
        <x:v>Chưa bắt đầu</x:v>
      </x:c>
      <x:c r="I291" s="20" t="n">
        <x:f>IF(H291="Hoàn thành",100%,IF(H291="Không áp dụng",100%,IF(H291="Đang thực hiện",50%,IF(H291="Đang chờ phối hợp",25%,0%))))</x:f>
        <x:v>0</x:v>
      </x:c>
      <x:c r="J291" s="58" t="str"/>
      <x:c r="K291" s="14" t="str"/>
      <x:c r="L291" s="14" t="str"/>
      <x:c r="M291" s="14" t="str"/>
      <x:c r="N291" s="14" t="str"/>
      <x:c r="O291" s="14" t="str"/>
      <x:c r="P291" s="58" t="str"/>
      <x:c r="Q291" s="14" t="str"/>
    </x:row>
    <x:row r="292">
      <x:c r="A292" s="14" t="str">
        <x:v>VATM-0291</x:v>
      </x:c>
      <x:c r="B292" s="14" t="str">
        <x:v>An toàn hàng không / SMS</x:v>
      </x:c>
      <x:c r="C292" s="14" t="str">
        <x:v>Báo cáo MOR, sự cố và điều tra</x:v>
      </x:c>
      <x:c r="D292" s="14" t="str">
        <x:v>Các hỏng hóc dẫn đến việc công bố tình trạng bất thường hoặc khẩn nguy với cơ sở điều hành bay.</x:v>
      </x:c>
      <x:c r="E292" s="14" t="str">
        <x:v>Ban An toàn - Chất lượng</x:v>
      </x:c>
      <x:c r="F292" s="14" t="str">
        <x:v>P2</x:v>
      </x:c>
      <x:c r="G292" s="14" t="str">
        <x:v>24 giờ</x:v>
      </x:c>
      <x:c r="H292" s="14" t="str">
        <x:v>Chưa bắt đầu</x:v>
      </x:c>
      <x:c r="I292" s="20" t="n">
        <x:f>IF(H292="Hoàn thành",100%,IF(H292="Không áp dụng",100%,IF(H292="Đang thực hiện",50%,IF(H292="Đang chờ phối hợp",25%,0%))))</x:f>
        <x:v>0</x:v>
      </x:c>
      <x:c r="J292" s="58" t="str"/>
      <x:c r="K292" s="14" t="str"/>
      <x:c r="L292" s="14" t="str"/>
      <x:c r="M292" s="14" t="str"/>
      <x:c r="N292" s="14" t="str"/>
      <x:c r="O292" s="14" t="str"/>
      <x:c r="P292" s="58" t="str"/>
      <x:c r="Q292" s="14" t="str"/>
    </x:row>
    <x:row r="293">
      <x:c r="A293" s="14" t="str">
        <x:v>VATM-0292</x:v>
      </x:c>
      <x:c r="B293" s="14" t="str">
        <x:v>An toàn hàng không / SMS</x:v>
      </x:c>
      <x:c r="C293" s="14" t="str">
        <x:v>Báo cáo MOR, sự cố và điều tra</x:v>
      </x:c>
      <x:c r="D293" s="14" t="str">
        <x:v>Có dấu hiệu không khí nhiễm bẩn, độc hại, có khói, cháy trong tàu bay có nguy cơ gây nguy hiểm cho hành khách và thành viên tổ bay.</x:v>
      </x:c>
      <x:c r="E293" s="14" t="str">
        <x:v>Ban An toàn - Chất lượng</x:v>
      </x:c>
      <x:c r="F293" s="14" t="str">
        <x:v>P2</x:v>
      </x:c>
      <x:c r="G293" s="14" t="str">
        <x:v>24 giờ</x:v>
      </x:c>
      <x:c r="H293" s="14" t="str">
        <x:v>Chưa bắt đầu</x:v>
      </x:c>
      <x:c r="I293" s="20" t="n">
        <x:f>IF(H293="Hoàn thành",100%,IF(H293="Không áp dụng",100%,IF(H293="Đang thực hiện",50%,IF(H293="Đang chờ phối hợp",25%,0%))))</x:f>
        <x:v>0</x:v>
      </x:c>
      <x:c r="J293" s="58" t="str"/>
      <x:c r="K293" s="14" t="str"/>
      <x:c r="L293" s="14" t="str"/>
      <x:c r="M293" s="14" t="str"/>
      <x:c r="N293" s="14" t="str"/>
      <x:c r="O293" s="14" t="str"/>
      <x:c r="P293" s="58" t="str"/>
      <x:c r="Q293" s="14" t="str"/>
    </x:row>
    <x:row r="294">
      <x:c r="A294" s="14" t="str">
        <x:v>VATM-0293</x:v>
      </x:c>
      <x:c r="B294" s="14" t="str">
        <x:v>An toàn hàng không / SMS</x:v>
      </x:c>
      <x:c r="C294" s="14" t="str">
        <x:v>Báo cáo MOR, sự cố và điều tra</x:v>
      </x:c>
      <x:c r="D294" s="14" t="str">
        <x:v>Phải sử dụng thiết bị khẩn nguy trên tàu bay.</x:v>
      </x:c>
      <x:c r="E294" s="14" t="str">
        <x:v>Ban An toàn - Chất lượng</x:v>
      </x:c>
      <x:c r="F294" s="14" t="str">
        <x:v>P2</x:v>
      </x:c>
      <x:c r="G294" s="14" t="str">
        <x:v>24 giờ</x:v>
      </x:c>
      <x:c r="H294" s="14" t="str">
        <x:v>Chưa bắt đầu</x:v>
      </x:c>
      <x:c r="I294" s="20" t="n">
        <x:f>IF(H294="Hoàn thành",100%,IF(H294="Không áp dụng",100%,IF(H294="Đang thực hiện",50%,IF(H294="Đang chờ phối hợp",25%,0%))))</x:f>
        <x:v>0</x:v>
      </x:c>
      <x:c r="J294" s="58" t="str"/>
      <x:c r="K294" s="14" t="str"/>
      <x:c r="L294" s="14" t="str"/>
      <x:c r="M294" s="14" t="str"/>
      <x:c r="N294" s="14" t="str"/>
      <x:c r="O294" s="14" t="str"/>
      <x:c r="P294" s="58" t="str"/>
      <x:c r="Q294" s="14" t="str"/>
    </x:row>
    <x:row r="295">
      <x:c r="A295" s="14" t="str">
        <x:v>VATM-0294</x:v>
      </x:c>
      <x:c r="B295" s="14" t="str">
        <x:v>An toàn hàng không / SMS</x:v>
      </x:c>
      <x:c r="C295" s="14" t="str">
        <x:v>Báo cáo MOR, sự cố và điều tra</x:v>
      </x:c>
      <x:c r="D295" s="14" t="str">
        <x:v>Lượng nhiên liệu tại điểm đến thấp hơn lượng nhiên liệu dự trữ bắt buộc cuối cùng.</x:v>
      </x:c>
      <x:c r="E295" s="14" t="str">
        <x:v>Ban An toàn - Chất lượng</x:v>
      </x:c>
      <x:c r="F295" s="14" t="str">
        <x:v>P2</x:v>
      </x:c>
      <x:c r="G295" s="14" t="str">
        <x:v>24 giờ</x:v>
      </x:c>
      <x:c r="H295" s="14" t="str">
        <x:v>Chưa bắt đầu</x:v>
      </x:c>
      <x:c r="I295" s="20" t="n">
        <x:f>IF(H295="Hoàn thành",100%,IF(H295="Không áp dụng",100%,IF(H295="Đang thực hiện",50%,IF(H295="Đang chờ phối hợp",25%,0%))))</x:f>
        <x:v>0</x:v>
      </x:c>
      <x:c r="J295" s="58" t="str"/>
      <x:c r="K295" s="14" t="str"/>
      <x:c r="L295" s="14" t="str"/>
      <x:c r="M295" s="14" t="str"/>
      <x:c r="N295" s="14" t="str"/>
      <x:c r="O295" s="14" t="str"/>
      <x:c r="P295" s="58" t="str"/>
      <x:c r="Q295" s="14" t="str"/>
    </x:row>
    <x:row r="296">
      <x:c r="A296" s="14" t="str">
        <x:v>VATM-0295</x:v>
      </x:c>
      <x:c r="B296" s="14" t="str">
        <x:v>An toàn hàng không / SMS</x:v>
      </x:c>
      <x:c r="C296" s="14" t="str">
        <x:v>Báo cáo MOR, sự cố và điều tra</x:v>
      </x:c>
      <x:c r="D296" s="14" t="str">
        <x:v>Mất khả năng thực hiện nhiệm vụ của thành viên tổ bay trên chuyến bay.</x:v>
      </x:c>
      <x:c r="E296" s="14" t="str">
        <x:v>Ban An toàn - Chất lượng</x:v>
      </x:c>
      <x:c r="F296" s="14" t="str">
        <x:v>P2</x:v>
      </x:c>
      <x:c r="G296" s="14" t="str">
        <x:v>24 giờ</x:v>
      </x:c>
      <x:c r="H296" s="14" t="str">
        <x:v>Chưa bắt đầu</x:v>
      </x:c>
      <x:c r="I296" s="20" t="n">
        <x:f>IF(H296="Hoàn thành",100%,IF(H296="Không áp dụng",100%,IF(H296="Đang thực hiện",50%,IF(H296="Đang chờ phối hợp",25%,0%))))</x:f>
        <x:v>0</x:v>
      </x:c>
      <x:c r="J296" s="58" t="str"/>
      <x:c r="K296" s="14" t="str"/>
      <x:c r="L296" s="14" t="str"/>
      <x:c r="M296" s="14" t="str"/>
      <x:c r="N296" s="14" t="str"/>
      <x:c r="O296" s="14" t="str"/>
      <x:c r="P296" s="58" t="str"/>
      <x:c r="Q296" s="14" t="str"/>
    </x:row>
    <x:row r="297">
      <x:c r="A297" s="14" t="str">
        <x:v>VATM-0296</x:v>
      </x:c>
      <x:c r="B297" s="14" t="str">
        <x:v>An toàn hàng không / SMS</x:v>
      </x:c>
      <x:c r="C297" s="14" t="str">
        <x:v>Báo cáo MOR, sự cố và điều tra</x:v>
      </x:c>
      <x:c r="D297" s="14" t="str">
        <x:v>Va chạm hoặc không bảo đảm phân cách an toàn theo quy định của tàu bay với tàu bay, phương tiện, thiết bị, công trình dưới mặt đất.</x:v>
      </x:c>
      <x:c r="E297" s="14" t="str">
        <x:v>Ban An toàn - Chất lượng</x:v>
      </x:c>
      <x:c r="F297" s="14" t="str">
        <x:v>P2</x:v>
      </x:c>
      <x:c r="G297" s="14" t="str">
        <x:v>24 giờ</x:v>
      </x:c>
      <x:c r="H297" s="14" t="str">
        <x:v>Chưa bắt đầu</x:v>
      </x:c>
      <x:c r="I297" s="20" t="n">
        <x:f>IF(H297="Hoàn thành",100%,IF(H297="Không áp dụng",100%,IF(H297="Đang thực hiện",50%,IF(H297="Đang chờ phối hợp",25%,0%))))</x:f>
        <x:v>0</x:v>
      </x:c>
      <x:c r="J297" s="58" t="str"/>
      <x:c r="K297" s="14" t="str"/>
      <x:c r="L297" s="14" t="str"/>
      <x:c r="M297" s="14" t="str"/>
      <x:c r="N297" s="14" t="str"/>
      <x:c r="O297" s="14" t="str"/>
      <x:c r="P297" s="58" t="str"/>
      <x:c r="Q297" s="14" t="str"/>
    </x:row>
    <x:row r="298">
      <x:c r="A298" s="14" t="str">
        <x:v>VATM-0297</x:v>
      </x:c>
      <x:c r="B298" s="14" t="str">
        <x:v>An toàn hàng không / SMS</x:v>
      </x:c>
      <x:c r="C298" s="14" t="str">
        <x:v>Báo cáo MOR, sự cố và điều tra</x:v>
      </x:c>
      <x:c r="D298" s="14" t="str">
        <x:v>Xuất hiện cảnh báo chống va chạm trên không.</x:v>
      </x:c>
      <x:c r="E298" s="14" t="str">
        <x:v>Ban An toàn - Chất lượng</x:v>
      </x:c>
      <x:c r="F298" s="14" t="str">
        <x:v>P2</x:v>
      </x:c>
      <x:c r="G298" s="14" t="str">
        <x:v>24 giờ</x:v>
      </x:c>
      <x:c r="H298" s="14" t="str">
        <x:v>Chưa bắt đầu</x:v>
      </x:c>
      <x:c r="I298" s="20" t="n">
        <x:f>IF(H298="Hoàn thành",100%,IF(H298="Không áp dụng",100%,IF(H298="Đang thực hiện",50%,IF(H298="Đang chờ phối hợp",25%,0%))))</x:f>
        <x:v>0</x:v>
      </x:c>
      <x:c r="J298" s="58" t="str"/>
      <x:c r="K298" s="14" t="str"/>
      <x:c r="L298" s="14" t="str"/>
      <x:c r="M298" s="14" t="str"/>
      <x:c r="N298" s="14" t="str"/>
      <x:c r="O298" s="14" t="str"/>
      <x:c r="P298" s="58" t="str"/>
      <x:c r="Q298" s="14" t="str"/>
    </x:row>
    <x:row r="299">
      <x:c r="A299" s="14" t="str">
        <x:v>VATM-0298</x:v>
      </x:c>
      <x:c r="B299" s="14" t="str">
        <x:v>An toàn hàng không / SMS</x:v>
      </x:c>
      <x:c r="C299" s="14" t="str">
        <x:v>Báo cáo MOR, sự cố và điều tra</x:v>
      </x:c>
      <x:c r="D299" s="14" t="str">
        <x:v>Kích hoạt cảnh báo hệ thống cảnh báo va chạm mặt đất, địa hình.</x:v>
      </x:c>
      <x:c r="E299" s="14" t="str">
        <x:v>Ban An toàn - Chất lượng</x:v>
      </x:c>
      <x:c r="F299" s="14" t="str">
        <x:v>P2</x:v>
      </x:c>
      <x:c r="G299" s="14" t="str">
        <x:v>24 giờ</x:v>
      </x:c>
      <x:c r="H299" s="14" t="str">
        <x:v>Chưa bắt đầu</x:v>
      </x:c>
      <x:c r="I299" s="20" t="n">
        <x:f>IF(H299="Hoàn thành",100%,IF(H299="Không áp dụng",100%,IF(H299="Đang thực hiện",50%,IF(H299="Đang chờ phối hợp",25%,0%))))</x:f>
        <x:v>0</x:v>
      </x:c>
      <x:c r="J299" s="58" t="str"/>
      <x:c r="K299" s="14" t="str"/>
      <x:c r="L299" s="14" t="str"/>
      <x:c r="M299" s="14" t="str"/>
      <x:c r="N299" s="14" t="str"/>
      <x:c r="O299" s="14" t="str"/>
      <x:c r="P299" s="58" t="str"/>
      <x:c r="Q299" s="14" t="str"/>
    </x:row>
    <x:row r="300">
      <x:c r="A300" s="14" t="str">
        <x:v>VATM-0299</x:v>
      </x:c>
      <x:c r="B300" s="14" t="str">
        <x:v>An toàn hàng không / SMS</x:v>
      </x:c>
      <x:c r="C300" s="14" t="str">
        <x:v>Báo cáo MOR, sự cố và điều tra</x:v>
      </x:c>
      <x:c r="D300" s="14" t="str">
        <x:v>Va chạm với chim, động vật nuôi, hoang dã.</x:v>
      </x:c>
      <x:c r="E300" s="14" t="str">
        <x:v>Ban An toàn - Chất lượng</x:v>
      </x:c>
      <x:c r="F300" s="14" t="str">
        <x:v>P2</x:v>
      </x:c>
      <x:c r="G300" s="14" t="str">
        <x:v>24 giờ</x:v>
      </x:c>
      <x:c r="H300" s="14" t="str">
        <x:v>Chưa bắt đầu</x:v>
      </x:c>
      <x:c r="I300" s="20" t="n">
        <x:f>IF(H300="Hoàn thành",100%,IF(H300="Không áp dụng",100%,IF(H300="Đang thực hiện",50%,IF(H300="Đang chờ phối hợp",25%,0%))))</x:f>
        <x:v>0</x:v>
      </x:c>
      <x:c r="J300" s="58" t="str"/>
      <x:c r="K300" s="14" t="str"/>
      <x:c r="L300" s="14" t="str"/>
      <x:c r="M300" s="14" t="str"/>
      <x:c r="N300" s="14" t="str"/>
      <x:c r="O300" s="14" t="str"/>
      <x:c r="P300" s="58" t="str"/>
      <x:c r="Q300" s="14" t="str"/>
    </x:row>
    <x:row r="301">
      <x:c r="A301" s="14" t="str">
        <x:v>VATM-0300</x:v>
      </x:c>
      <x:c r="B301" s="14" t="str">
        <x:v>An toàn hàng không / SMS</x:v>
      </x:c>
      <x:c r="C301" s="14" t="str">
        <x:v>Báo cáo MOR, sự cố và điều tra</x:v>
      </x:c>
      <x:c r="D301" s="14" t="str">
        <x:v>Va chạm hoặc có nguy cơ va chạm với thiết bị không người lái, vật thể bay không xác định hoặc phát hiện vật thể bay trong hành lang bay có thể ảnh hưởng an toàn bay.</x:v>
      </x:c>
      <x:c r="E301" s="14" t="str">
        <x:v>Ban An toàn - Chất lượng</x:v>
      </x:c>
      <x:c r="F301" s="14" t="str">
        <x:v>P2</x:v>
      </x:c>
      <x:c r="G301" s="14" t="str">
        <x:v>24 giờ</x:v>
      </x:c>
      <x:c r="H301" s="14" t="str">
        <x:v>Chưa bắt đầu</x:v>
      </x:c>
      <x:c r="I301" s="20" t="n">
        <x:f>IF(H301="Hoàn thành",100%,IF(H301="Không áp dụng",100%,IF(H301="Đang thực hiện",50%,IF(H301="Đang chờ phối hợp",25%,0%))))</x:f>
        <x:v>0</x:v>
      </x:c>
      <x:c r="J301" s="58" t="str"/>
      <x:c r="K301" s="14" t="str"/>
      <x:c r="L301" s="14" t="str"/>
      <x:c r="M301" s="14" t="str"/>
      <x:c r="N301" s="14" t="str"/>
      <x:c r="O301" s="14" t="str"/>
      <x:c r="P301" s="58" t="str"/>
      <x:c r="Q301" s="14" t="str"/>
    </x:row>
    <x:row r="302">
      <x:c r="A302" s="14" t="str">
        <x:v>VATM-0301</x:v>
      </x:c>
      <x:c r="B302" s="14" t="str">
        <x:v>An toàn hàng không / SMS</x:v>
      </x:c>
      <x:c r="C302" s="14" t="str">
        <x:v>Báo cáo MOR, sự cố và điều tra</x:v>
      </x:c>
      <x:c r="D302" s="14" t="str">
        <x:v>Hư hỏng tàu bay do vật ngoại lai.</x:v>
      </x:c>
      <x:c r="E302" s="14" t="str">
        <x:v>Ban An toàn - Chất lượng</x:v>
      </x:c>
      <x:c r="F302" s="14" t="str">
        <x:v>P2</x:v>
      </x:c>
      <x:c r="G302" s="14" t="str">
        <x:v>24 giờ</x:v>
      </x:c>
      <x:c r="H302" s="14" t="str">
        <x:v>Chưa bắt đầu</x:v>
      </x:c>
      <x:c r="I302" s="20" t="n">
        <x:f>IF(H302="Hoàn thành",100%,IF(H302="Không áp dụng",100%,IF(H302="Đang thực hiện",50%,IF(H302="Đang chờ phối hợp",25%,0%))))</x:f>
        <x:v>0</x:v>
      </x:c>
      <x:c r="J302" s="58" t="str"/>
      <x:c r="K302" s="14" t="str"/>
      <x:c r="L302" s="14" t="str"/>
      <x:c r="M302" s="14" t="str"/>
      <x:c r="N302" s="14" t="str"/>
      <x:c r="O302" s="14" t="str"/>
      <x:c r="P302" s="58" t="str"/>
      <x:c r="Q302" s="14" t="str"/>
    </x:row>
    <x:row r="303">
      <x:c r="A303" s="14" t="str">
        <x:v>VATM-0302</x:v>
      </x:c>
      <x:c r="B303" s="14" t="str">
        <x:v>An toàn hàng không / SMS</x:v>
      </x:c>
      <x:c r="C303" s="14" t="str">
        <x:v>Báo cáo MOR, sự cố và điều tra</x:v>
      </x:c>
      <x:c r="D303" s="14" t="str">
        <x:v>Điều kiện bề mặt đường cất hạ cánh không bảo đảm như công bố dẫn đến ảnh hưởng tính năng tàu bay khi cất/hạ cánh.</x:v>
      </x:c>
      <x:c r="E303" s="14" t="str">
        <x:v>Ban An toàn - Chất lượng</x:v>
      </x:c>
      <x:c r="F303" s="14" t="str">
        <x:v>P2</x:v>
      </x:c>
      <x:c r="G303" s="14" t="str">
        <x:v>24 giờ</x:v>
      </x:c>
      <x:c r="H303" s="14" t="str">
        <x:v>Chưa bắt đầu</x:v>
      </x:c>
      <x:c r="I303" s="20" t="n">
        <x:f>IF(H303="Hoàn thành",100%,IF(H303="Không áp dụng",100%,IF(H303="Đang thực hiện",50%,IF(H303="Đang chờ phối hợp",25%,0%))))</x:f>
        <x:v>0</x:v>
      </x:c>
      <x:c r="J303" s="58" t="str"/>
      <x:c r="K303" s="14" t="str"/>
      <x:c r="L303" s="14" t="str"/>
      <x:c r="M303" s="14" t="str"/>
      <x:c r="N303" s="14" t="str"/>
      <x:c r="O303" s="14" t="str"/>
      <x:c r="P303" s="58" t="str"/>
      <x:c r="Q303" s="14" t="str"/>
    </x:row>
    <x:row r="304">
      <x:c r="A304" s="14" t="str">
        <x:v>VATM-0303</x:v>
      </x:c>
      <x:c r="B304" s="14" t="str">
        <x:v>An toàn hàng không / SMS</x:v>
      </x:c>
      <x:c r="C304" s="14" t="str">
        <x:v>Báo cáo MOR, sự cố và điều tra</x:v>
      </x:c>
      <x:c r="D304" s="14" t="str">
        <x:v>Bay vào khu vực nhiễu động ảnh hưởng khả năng duy trì mực bay/đường bay dự kiến hoặc có nguy cơ ảnh hưởng cấu trúc tàu bay.</x:v>
      </x:c>
      <x:c r="E304" s="14" t="str">
        <x:v>Ban An toàn - Chất lượng</x:v>
      </x:c>
      <x:c r="F304" s="14" t="str">
        <x:v>P2</x:v>
      </x:c>
      <x:c r="G304" s="14" t="str">
        <x:v>24 giờ</x:v>
      </x:c>
      <x:c r="H304" s="14" t="str">
        <x:v>Chưa bắt đầu</x:v>
      </x:c>
      <x:c r="I304" s="20" t="n">
        <x:f>IF(H304="Hoàn thành",100%,IF(H304="Không áp dụng",100%,IF(H304="Đang thực hiện",50%,IF(H304="Đang chờ phối hợp",25%,0%))))</x:f>
        <x:v>0</x:v>
      </x:c>
      <x:c r="J304" s="58" t="str"/>
      <x:c r="K304" s="14" t="str"/>
      <x:c r="L304" s="14" t="str"/>
      <x:c r="M304" s="14" t="str"/>
      <x:c r="N304" s="14" t="str"/>
      <x:c r="O304" s="14" t="str"/>
      <x:c r="P304" s="58" t="str"/>
      <x:c r="Q304" s="14" t="str"/>
    </x:row>
    <x:row r="305">
      <x:c r="A305" s="14" t="str">
        <x:v>VATM-0304</x:v>
      </x:c>
      <x:c r="B305" s="14" t="str">
        <x:v>An toàn hàng không / SMS</x:v>
      </x:c>
      <x:c r="C305" s="14" t="str">
        <x:v>Báo cáo MOR, sự cố và điều tra</x:v>
      </x:c>
      <x:c r="D305" s="14" t="str">
        <x:v>Quỹ đạo hoặc an toàn bay của tàu bay bị ảnh hưởng bởi pháo hoa, diều bay, chiếu laser, đèn công suất cao.</x:v>
      </x:c>
      <x:c r="E305" s="14" t="str">
        <x:v>Ban An toàn - Chất lượng</x:v>
      </x:c>
      <x:c r="F305" s="14" t="str">
        <x:v>P2</x:v>
      </x:c>
      <x:c r="G305" s="14" t="str">
        <x:v>24 giờ</x:v>
      </x:c>
      <x:c r="H305" s="14" t="str">
        <x:v>Chưa bắt đầu</x:v>
      </x:c>
      <x:c r="I305" s="20" t="n">
        <x:f>IF(H305="Hoàn thành",100%,IF(H305="Không áp dụng",100%,IF(H305="Đang thực hiện",50%,IF(H305="Đang chờ phối hợp",25%,0%))))</x:f>
        <x:v>0</x:v>
      </x:c>
      <x:c r="J305" s="58" t="str"/>
      <x:c r="K305" s="14" t="str"/>
      <x:c r="L305" s="14" t="str"/>
      <x:c r="M305" s="14" t="str"/>
      <x:c r="N305" s="14" t="str"/>
      <x:c r="O305" s="14" t="str"/>
      <x:c r="P305" s="58" t="str"/>
      <x:c r="Q305" s="14" t="str"/>
    </x:row>
    <x:row r="306">
      <x:c r="A306" s="14" t="str">
        <x:v>VATM-0305</x:v>
      </x:c>
      <x:c r="B306" s="14" t="str">
        <x:v>An toàn hàng không / SMS</x:v>
      </x:c>
      <x:c r="C306" s="14" t="str">
        <x:v>Báo cáo MOR, sự cố và điều tra</x:v>
      </x:c>
      <x:c r="D306" s="14" t="str">
        <x:v>Bị sét đánh dẫn đến hư hỏng tàu bay hoặc hệ thống tàu bay.</x:v>
      </x:c>
      <x:c r="E306" s="14" t="str">
        <x:v>Ban An toàn - Chất lượng</x:v>
      </x:c>
      <x:c r="F306" s="14" t="str">
        <x:v>P2</x:v>
      </x:c>
      <x:c r="G306" s="14" t="str">
        <x:v>24 giờ</x:v>
      </x:c>
      <x:c r="H306" s="14" t="str">
        <x:v>Chưa bắt đầu</x:v>
      </x:c>
      <x:c r="I306" s="20" t="n">
        <x:f>IF(H306="Hoàn thành",100%,IF(H306="Không áp dụng",100%,IF(H306="Đang thực hiện",50%,IF(H306="Đang chờ phối hợp",25%,0%))))</x:f>
        <x:v>0</x:v>
      </x:c>
      <x:c r="J306" s="58" t="str"/>
      <x:c r="K306" s="14" t="str"/>
      <x:c r="L306" s="14" t="str"/>
      <x:c r="M306" s="14" t="str"/>
      <x:c r="N306" s="14" t="str"/>
      <x:c r="O306" s="14" t="str"/>
      <x:c r="P306" s="58" t="str"/>
      <x:c r="Q306" s="14" t="str"/>
    </x:row>
    <x:row r="307">
      <x:c r="A307" s="14" t="str">
        <x:v>VATM-0306</x:v>
      </x:c>
      <x:c r="B307" s="14" t="str">
        <x:v>An toàn hàng không / SMS</x:v>
      </x:c>
      <x:c r="C307" s="14" t="str">
        <x:v>Báo cáo MOR, sự cố và điều tra</x:v>
      </x:c>
      <x:c r="D307" s="14" t="str">
        <x:v>Gặp mưa đá dẫn đến hư hỏng tàu bay hoặc hệ thống tàu bay.</x:v>
      </x:c>
      <x:c r="E307" s="14" t="str">
        <x:v>Ban An toàn - Chất lượng</x:v>
      </x:c>
      <x:c r="F307" s="14" t="str">
        <x:v>P2</x:v>
      </x:c>
      <x:c r="G307" s="14" t="str">
        <x:v>24 giờ</x:v>
      </x:c>
      <x:c r="H307" s="14" t="str">
        <x:v>Chưa bắt đầu</x:v>
      </x:c>
      <x:c r="I307" s="20" t="n">
        <x:f>IF(H307="Hoàn thành",100%,IF(H307="Không áp dụng",100%,IF(H307="Đang thực hiện",50%,IF(H307="Đang chờ phối hợp",25%,0%))))</x:f>
        <x:v>0</x:v>
      </x:c>
      <x:c r="J307" s="58" t="str"/>
      <x:c r="K307" s="14" t="str"/>
      <x:c r="L307" s="14" t="str"/>
      <x:c r="M307" s="14" t="str"/>
      <x:c r="N307" s="14" t="str"/>
      <x:c r="O307" s="14" t="str"/>
      <x:c r="P307" s="58" t="str"/>
      <x:c r="Q307" s="14" t="str"/>
    </x:row>
    <x:row r="308">
      <x:c r="A308" s="14" t="str">
        <x:v>VATM-0307</x:v>
      </x:c>
      <x:c r="B308" s="14" t="str">
        <x:v>An toàn hàng không / SMS</x:v>
      </x:c>
      <x:c r="C308" s="14" t="str">
        <x:v>Báo cáo MOR, sự cố và điều tra</x:v>
      </x:c>
      <x:c r="D308" s="14" t="str">
        <x:v>Bay vào khu vực có gió đứt hoặc có cảnh báo gió đứt khi cất/hạ cánh.</x:v>
      </x:c>
      <x:c r="E308" s="14" t="str">
        <x:v>Ban An toàn - Chất lượng</x:v>
      </x:c>
      <x:c r="F308" s="14" t="str">
        <x:v>P2</x:v>
      </x:c>
      <x:c r="G308" s="14" t="str">
        <x:v>24 giờ</x:v>
      </x:c>
      <x:c r="H308" s="14" t="str">
        <x:v>Chưa bắt đầu</x:v>
      </x:c>
      <x:c r="I308" s="20" t="n">
        <x:f>IF(H308="Hoàn thành",100%,IF(H308="Không áp dụng",100%,IF(H308="Đang thực hiện",50%,IF(H308="Đang chờ phối hợp",25%,0%))))</x:f>
        <x:v>0</x:v>
      </x:c>
      <x:c r="J308" s="58" t="str"/>
      <x:c r="K308" s="14" t="str"/>
      <x:c r="L308" s="14" t="str"/>
      <x:c r="M308" s="14" t="str"/>
      <x:c r="N308" s="14" t="str"/>
      <x:c r="O308" s="14" t="str"/>
      <x:c r="P308" s="58" t="str"/>
      <x:c r="Q308" s="14" t="str"/>
    </x:row>
    <x:row r="309">
      <x:c r="A309" s="14" t="str">
        <x:v>VATM-0308</x:v>
      </x:c>
      <x:c r="B309" s="14" t="str">
        <x:v>An toàn hàng không / SMS</x:v>
      </x:c>
      <x:c r="C309" s="14" t="str">
        <x:v>Báo cáo MOR, sự cố và điều tra</x:v>
      </x:c>
      <x:c r="D309" s="14" t="str">
        <x:v>Bay vào khu vực có băng ảnh hưởng đến khả năng điều khiển, gây hư hỏng tàu bay hoặc hệ thống tàu bay.</x:v>
      </x:c>
      <x:c r="E309" s="14" t="str">
        <x:v>Ban An toàn - Chất lượng</x:v>
      </x:c>
      <x:c r="F309" s="14" t="str">
        <x:v>P2</x:v>
      </x:c>
      <x:c r="G309" s="14" t="str">
        <x:v>24 giờ</x:v>
      </x:c>
      <x:c r="H309" s="14" t="str">
        <x:v>Chưa bắt đầu</x:v>
      </x:c>
      <x:c r="I309" s="20" t="n">
        <x:f>IF(H309="Hoàn thành",100%,IF(H309="Không áp dụng",100%,IF(H309="Đang thực hiện",50%,IF(H309="Đang chờ phối hợp",25%,0%))))</x:f>
        <x:v>0</x:v>
      </x:c>
      <x:c r="J309" s="58" t="str"/>
      <x:c r="K309" s="14" t="str"/>
      <x:c r="L309" s="14" t="str"/>
      <x:c r="M309" s="14" t="str"/>
      <x:c r="N309" s="14" t="str"/>
      <x:c r="O309" s="14" t="str"/>
      <x:c r="P309" s="58" t="str"/>
      <x:c r="Q309" s="14" t="str"/>
    </x:row>
    <x:row r="310">
      <x:c r="A310" s="14" t="str">
        <x:v>VATM-0309</x:v>
      </x:c>
      <x:c r="B310" s="14" t="str">
        <x:v>An toàn hàng không / SMS</x:v>
      </x:c>
      <x:c r="C310" s="14" t="str">
        <x:v>Báo cáo MOR, sự cố và điều tra</x:v>
      </x:c>
      <x:c r="D310" s="14" t="str">
        <x:v>Bay vào khu vực có cảnh báo tro núi lửa.</x:v>
      </x:c>
      <x:c r="E310" s="14" t="str">
        <x:v>Ban An toàn - Chất lượng</x:v>
      </x:c>
      <x:c r="F310" s="14" t="str">
        <x:v>P2</x:v>
      </x:c>
      <x:c r="G310" s="14" t="str">
        <x:v>24 giờ</x:v>
      </x:c>
      <x:c r="H310" s="14" t="str">
        <x:v>Chưa bắt đầu</x:v>
      </x:c>
      <x:c r="I310" s="20" t="n">
        <x:f>IF(H310="Hoàn thành",100%,IF(H310="Không áp dụng",100%,IF(H310="Đang thực hiện",50%,IF(H310="Đang chờ phối hợp",25%,0%))))</x:f>
        <x:v>0</x:v>
      </x:c>
      <x:c r="J310" s="58" t="str"/>
      <x:c r="K310" s="14" t="str"/>
      <x:c r="L310" s="14" t="str"/>
      <x:c r="M310" s="14" t="str"/>
      <x:c r="N310" s="14" t="str"/>
      <x:c r="O310" s="14" t="str"/>
      <x:c r="P310" s="58" t="str"/>
      <x:c r="Q310" s="14" t="str"/>
    </x:row>
    <x:row r="311">
      <x:c r="A311" s="14" t="str">
        <x:v>VATM-0310</x:v>
      </x:c>
      <x:c r="B311" s="14" t="str">
        <x:v>An toàn hàng không / SMS</x:v>
      </x:c>
      <x:c r="C311" s="14" t="str">
        <x:v>Báo cáo MOR, sự cố và điều tra</x:v>
      </x:c>
      <x:c r="D311" s="14" t="str">
        <x:v>Các hành vi can thiệp bất hợp pháp vào khai thác tàu bay.</x:v>
      </x:c>
      <x:c r="E311" s="14" t="str">
        <x:v>Ban An toàn - Chất lượng</x:v>
      </x:c>
      <x:c r="F311" s="14" t="str">
        <x:v>P2</x:v>
      </x:c>
      <x:c r="G311" s="14" t="str">
        <x:v>24 giờ</x:v>
      </x:c>
      <x:c r="H311" s="14" t="str">
        <x:v>Chưa bắt đầu</x:v>
      </x:c>
      <x:c r="I311" s="20" t="n">
        <x:f>IF(H311="Hoàn thành",100%,IF(H311="Không áp dụng",100%,IF(H311="Đang thực hiện",50%,IF(H311="Đang chờ phối hợp",25%,0%))))</x:f>
        <x:v>0</x:v>
      </x:c>
      <x:c r="J311" s="58" t="str"/>
      <x:c r="K311" s="14" t="str"/>
      <x:c r="L311" s="14" t="str"/>
      <x:c r="M311" s="14" t="str"/>
      <x:c r="N311" s="14" t="str"/>
      <x:c r="O311" s="14" t="str"/>
      <x:c r="P311" s="58" t="str"/>
      <x:c r="Q311" s="14" t="str"/>
    </x:row>
    <x:row r="312">
      <x:c r="A312" s="14" t="str">
        <x:v>VATM-0311</x:v>
      </x:c>
      <x:c r="B312" s="14" t="str">
        <x:v>An toàn hàng không / SMS</x:v>
      </x:c>
      <x:c r="C312" s="14" t="str">
        <x:v>Báo cáo MOR, sự cố và điều tra</x:v>
      </x:c>
      <x:c r="D312" s="14" t="str">
        <x:v>Phát hiện đồ vật bất hợp pháp trên tàu bay có nguy cơ uy hiếp an ninh, an toàn hàng không.</x:v>
      </x:c>
      <x:c r="E312" s="14" t="str">
        <x:v>Ban An toàn - Chất lượng</x:v>
      </x:c>
      <x:c r="F312" s="14" t="str">
        <x:v>P2</x:v>
      </x:c>
      <x:c r="G312" s="14" t="str">
        <x:v>24 giờ</x:v>
      </x:c>
      <x:c r="H312" s="14" t="str">
        <x:v>Chưa bắt đầu</x:v>
      </x:c>
      <x:c r="I312" s="20" t="n">
        <x:f>IF(H312="Hoàn thành",100%,IF(H312="Không áp dụng",100%,IF(H312="Đang thực hiện",50%,IF(H312="Đang chờ phối hợp",25%,0%))))</x:f>
        <x:v>0</x:v>
      </x:c>
      <x:c r="J312" s="58" t="str"/>
      <x:c r="K312" s="14" t="str"/>
      <x:c r="L312" s="14" t="str"/>
      <x:c r="M312" s="14" t="str"/>
      <x:c r="N312" s="14" t="str"/>
      <x:c r="O312" s="14" t="str"/>
      <x:c r="P312" s="58" t="str"/>
      <x:c r="Q312" s="14" t="str"/>
    </x:row>
    <x:row r="313">
      <x:c r="A313" s="14" t="str">
        <x:v>VATM-0312</x:v>
      </x:c>
      <x:c r="B313" s="14" t="str">
        <x:v>An toàn hàng không / SMS</x:v>
      </x:c>
      <x:c r="C313" s="14" t="str">
        <x:v>Báo cáo MOR, sự cố và điều tra</x:v>
      </x:c>
      <x:c r="D313" s="14" t="str">
        <x:v>Trục trặc, hư hại hệ thống hoặc thiết bị trọng yếu đối với an toàn bay hoặc hư hỏng thiết bị khẩn nguy trang bị trên tàu bay.</x:v>
      </x:c>
      <x:c r="E313" s="14" t="str">
        <x:v>Ban An toàn - Chất lượng</x:v>
      </x:c>
      <x:c r="F313" s="14" t="str">
        <x:v>P2</x:v>
      </x:c>
      <x:c r="G313" s="14" t="str">
        <x:v>24 giờ</x:v>
      </x:c>
      <x:c r="H313" s="14" t="str">
        <x:v>Chưa bắt đầu</x:v>
      </x:c>
      <x:c r="I313" s="20" t="n">
        <x:f>IF(H313="Hoàn thành",100%,IF(H313="Không áp dụng",100%,IF(H313="Đang thực hiện",50%,IF(H313="Đang chờ phối hợp",25%,0%))))</x:f>
        <x:v>0</x:v>
      </x:c>
      <x:c r="J313" s="58" t="str"/>
      <x:c r="K313" s="14" t="str"/>
      <x:c r="L313" s="14" t="str"/>
      <x:c r="M313" s="14" t="str"/>
      <x:c r="N313" s="14" t="str"/>
      <x:c r="O313" s="14" t="str"/>
      <x:c r="P313" s="58" t="str"/>
      <x:c r="Q313" s="14" t="str"/>
    </x:row>
    <x:row r="314">
      <x:c r="A314" s="14" t="str">
        <x:v>VATM-0313</x:v>
      </x:c>
      <x:c r="B314" s="14" t="str">
        <x:v>An toàn hàng không / SMS</x:v>
      </x:c>
      <x:c r="C314" s="14" t="str">
        <x:v>Báo cáo MOR, sự cố và điều tra</x:v>
      </x:c>
      <x:c r="D314" s="14" t="str">
        <x:v>Trục trặc đáng kể, vấn đề độ tin cậy hoặc lỗi chất lượng ghi lặp lại ảnh hưởng hệ thống ghi chuyến bay như FDR, hệ thống ghi dữ liệu liên kết hoặc CVR, hoặc thiếu thông tin cần thiết để bảo đảm khả năng khai thác hệ thống ghi chuyến bay.</x:v>
      </x:c>
      <x:c r="E314" s="14" t="str">
        <x:v>Ban An toàn - Chất lượng</x:v>
      </x:c>
      <x:c r="F314" s="14" t="str">
        <x:v>P2</x:v>
      </x:c>
      <x:c r="G314" s="14" t="str">
        <x:v>24 giờ</x:v>
      </x:c>
      <x:c r="H314" s="14" t="str">
        <x:v>Chưa bắt đầu</x:v>
      </x:c>
      <x:c r="I314" s="20" t="n">
        <x:f>IF(H314="Hoàn thành",100%,IF(H314="Không áp dụng",100%,IF(H314="Đang thực hiện",50%,IF(H314="Đang chờ phối hợp",25%,0%))))</x:f>
        <x:v>0</x:v>
      </x:c>
      <x:c r="J314" s="58" t="str"/>
      <x:c r="K314" s="14" t="str"/>
      <x:c r="L314" s="14" t="str"/>
      <x:c r="M314" s="14" t="str"/>
      <x:c r="N314" s="14" t="str"/>
      <x:c r="O314" s="14" t="str"/>
      <x:c r="P314" s="58" t="str"/>
      <x:c r="Q314" s="14" t="str"/>
    </x:row>
    <x:row r="315">
      <x:c r="A315" s="14" t="str">
        <x:v>VATM-0314</x:v>
      </x:c>
      <x:c r="B315" s="14" t="str">
        <x:v>An toàn hàng không / SMS</x:v>
      </x:c>
      <x:c r="C315" s="14" t="str">
        <x:v>Báo cáo MOR, sự cố và điều tra</x:v>
      </x:c>
      <x:c r="D315" s="14" t="str">
        <x:v>Nhân viên hàng không bị thương khi thực hiện nhiệm vụ.</x:v>
      </x:c>
      <x:c r="E315" s="14" t="str">
        <x:v>Ban An toàn - Chất lượng</x:v>
      </x:c>
      <x:c r="F315" s="14" t="str">
        <x:v>P2</x:v>
      </x:c>
      <x:c r="G315" s="14" t="str">
        <x:v>24 giờ</x:v>
      </x:c>
      <x:c r="H315" s="14" t="str">
        <x:v>Chưa bắt đầu</x:v>
      </x:c>
      <x:c r="I315" s="20" t="n">
        <x:f>IF(H315="Hoàn thành",100%,IF(H315="Không áp dụng",100%,IF(H315="Đang thực hiện",50%,IF(H315="Đang chờ phối hợp",25%,0%))))</x:f>
        <x:v>0</x:v>
      </x:c>
      <x:c r="J315" s="58" t="str"/>
      <x:c r="K315" s="14" t="str"/>
      <x:c r="L315" s="14" t="str"/>
      <x:c r="M315" s="14" t="str"/>
      <x:c r="N315" s="14" t="str"/>
      <x:c r="O315" s="14" t="str"/>
      <x:c r="P315" s="58" t="str"/>
      <x:c r="Q315" s="14" t="str"/>
    </x:row>
    <x:row r="316">
      <x:c r="A316" s="14" t="str">
        <x:v>VATM-0315</x:v>
      </x:c>
      <x:c r="B316" s="14" t="str">
        <x:v>An toàn hàng không / SMS</x:v>
      </x:c>
      <x:c r="C316" s="14" t="str">
        <x:v>Báo cáo MOR, sự cố và điều tra</x:v>
      </x:c>
      <x:c r="D316" s="14" t="str">
        <x:v>Cảnh báo va chạm trên không.</x:v>
      </x:c>
      <x:c r="E316" s="14" t="str">
        <x:v>Ban An toàn - Chất lượng</x:v>
      </x:c>
      <x:c r="F316" s="14" t="str">
        <x:v>P2</x:v>
      </x:c>
      <x:c r="G316" s="14" t="str">
        <x:v>24 giờ</x:v>
      </x:c>
      <x:c r="H316" s="14" t="str">
        <x:v>Chưa bắt đầu</x:v>
      </x:c>
      <x:c r="I316" s="20" t="n">
        <x:f>IF(H316="Hoàn thành",100%,IF(H316="Không áp dụng",100%,IF(H316="Đang thực hiện",50%,IF(H316="Đang chờ phối hợp",25%,0%))))</x:f>
        <x:v>0</x:v>
      </x:c>
      <x:c r="J316" s="58" t="str"/>
      <x:c r="K316" s="14" t="str"/>
      <x:c r="L316" s="14" t="str"/>
      <x:c r="M316" s="14" t="str"/>
      <x:c r="N316" s="14" t="str"/>
      <x:c r="O316" s="14" t="str"/>
      <x:c r="P316" s="58" t="str"/>
      <x:c r="Q316" s="14" t="str"/>
    </x:row>
    <x:row r="317">
      <x:c r="A317" s="14" t="str">
        <x:v>VATM-0316</x:v>
      </x:c>
      <x:c r="B317" s="14" t="str">
        <x:v>An toàn hàng không / SMS</x:v>
      </x:c>
      <x:c r="C317" s="14" t="str">
        <x:v>Báo cáo MOR, sự cố và điều tra</x:v>
      </x:c>
      <x:c r="D317" s="14" t="str">
        <x:v>Các tình huống dẫn đến tổ lái phải công bố tình trạng bất thường và khẩn nguy.</x:v>
      </x:c>
      <x:c r="E317" s="14" t="str">
        <x:v>Ban An toàn - Chất lượng</x:v>
      </x:c>
      <x:c r="F317" s="14" t="str">
        <x:v>P2</x:v>
      </x:c>
      <x:c r="G317" s="14" t="str">
        <x:v>24 giờ</x:v>
      </x:c>
      <x:c r="H317" s="14" t="str">
        <x:v>Chưa bắt đầu</x:v>
      </x:c>
      <x:c r="I317" s="20" t="n">
        <x:f>IF(H317="Hoàn thành",100%,IF(H317="Không áp dụng",100%,IF(H317="Đang thực hiện",50%,IF(H317="Đang chờ phối hợp",25%,0%))))</x:f>
        <x:v>0</x:v>
      </x:c>
      <x:c r="J317" s="58" t="str"/>
      <x:c r="K317" s="14" t="str"/>
      <x:c r="L317" s="14" t="str"/>
      <x:c r="M317" s="14" t="str"/>
      <x:c r="N317" s="14" t="str"/>
      <x:c r="O317" s="14" t="str"/>
      <x:c r="P317" s="58" t="str"/>
      <x:c r="Q317" s="14" t="str"/>
    </x:row>
    <x:row r="318">
      <x:c r="A318" s="14" t="str">
        <x:v>VATM-0317</x:v>
      </x:c>
      <x:c r="B318" s="14" t="str">
        <x:v>An toàn hàng không / SMS</x:v>
      </x:c>
      <x:c r="C318" s="14" t="str">
        <x:v>Báo cáo MOR, sự cố và điều tra</x:v>
      </x:c>
      <x:c r="D318" s="14" t="str">
        <x:v>Nguy cơ va chạm giữa các tàu bay với nhau hoặc giữa tàu bay với vật thể bay khác.</x:v>
      </x:c>
      <x:c r="E318" s="14" t="str">
        <x:v>Ban An toàn - Chất lượng</x:v>
      </x:c>
      <x:c r="F318" s="14" t="str">
        <x:v>P2</x:v>
      </x:c>
      <x:c r="G318" s="14" t="str">
        <x:v>24 giờ</x:v>
      </x:c>
      <x:c r="H318" s="14" t="str">
        <x:v>Chưa bắt đầu</x:v>
      </x:c>
      <x:c r="I318" s="20" t="n">
        <x:f>IF(H318="Hoàn thành",100%,IF(H318="Không áp dụng",100%,IF(H318="Đang thực hiện",50%,IF(H318="Đang chờ phối hợp",25%,0%))))</x:f>
        <x:v>0</x:v>
      </x:c>
      <x:c r="J318" s="58" t="str"/>
      <x:c r="K318" s="14" t="str"/>
      <x:c r="L318" s="14" t="str"/>
      <x:c r="M318" s="14" t="str"/>
      <x:c r="N318" s="14" t="str"/>
      <x:c r="O318" s="14" t="str"/>
      <x:c r="P318" s="58" t="str"/>
      <x:c r="Q318" s="14" t="str"/>
    </x:row>
    <x:row r="319">
      <x:c r="A319" s="14" t="str">
        <x:v>VATM-0318</x:v>
      </x:c>
      <x:c r="B319" s="14" t="str">
        <x:v>An toàn hàng không / SMS</x:v>
      </x:c>
      <x:c r="C319" s="14" t="str">
        <x:v>Báo cáo MOR, sự cố và điều tra</x:v>
      </x:c>
      <x:c r="D319" s="14" t="str">
        <x:v>Nguy cơ va chạm giữa các tàu bay với nhau và giữa tàu bay với phương tiện hoặc chướng ngại vật khi đang lăn.</x:v>
      </x:c>
      <x:c r="E319" s="14" t="str">
        <x:v>Ban An toàn - Chất lượng</x:v>
      </x:c>
      <x:c r="F319" s="14" t="str">
        <x:v>P2</x:v>
      </x:c>
      <x:c r="G319" s="14" t="str">
        <x:v>24 giờ</x:v>
      </x:c>
      <x:c r="H319" s="14" t="str">
        <x:v>Chưa bắt đầu</x:v>
      </x:c>
      <x:c r="I319" s="20" t="n">
        <x:f>IF(H319="Hoàn thành",100%,IF(H319="Không áp dụng",100%,IF(H319="Đang thực hiện",50%,IF(H319="Đang chờ phối hợp",25%,0%))))</x:f>
        <x:v>0</x:v>
      </x:c>
      <x:c r="J319" s="58" t="str"/>
      <x:c r="K319" s="14" t="str"/>
      <x:c r="L319" s="14" t="str"/>
      <x:c r="M319" s="14" t="str"/>
      <x:c r="N319" s="14" t="str"/>
      <x:c r="O319" s="14" t="str"/>
      <x:c r="P319" s="58" t="str"/>
      <x:c r="Q319" s="14" t="str"/>
    </x:row>
    <x:row r="320">
      <x:c r="A320" s="14" t="str">
        <x:v>VATM-0319</x:v>
      </x:c>
      <x:c r="B320" s="14" t="str">
        <x:v>An toàn hàng không / SMS</x:v>
      </x:c>
      <x:c r="C320" s="14" t="str">
        <x:v>Báo cáo MOR, sự cố và điều tra</x:v>
      </x:c>
      <x:c r="D320" s="14" t="str">
        <x:v>Tàu bay bay vào khu vực cấm bay, khu vực hạn chế hoặc khu vực nguy hiểm.</x:v>
      </x:c>
      <x:c r="E320" s="14" t="str">
        <x:v>Ban An toàn - Chất lượng</x:v>
      </x:c>
      <x:c r="F320" s="14" t="str">
        <x:v>P2</x:v>
      </x:c>
      <x:c r="G320" s="14" t="str">
        <x:v>24 giờ</x:v>
      </x:c>
      <x:c r="H320" s="14" t="str">
        <x:v>Chưa bắt đầu</x:v>
      </x:c>
      <x:c r="I320" s="20" t="n">
        <x:f>IF(H320="Hoàn thành",100%,IF(H320="Không áp dụng",100%,IF(H320="Đang thực hiện",50%,IF(H320="Đang chờ phối hợp",25%,0%))))</x:f>
        <x:v>0</x:v>
      </x:c>
      <x:c r="J320" s="58" t="str"/>
      <x:c r="K320" s="14" t="str"/>
      <x:c r="L320" s="14" t="str"/>
      <x:c r="M320" s="14" t="str"/>
      <x:c r="N320" s="14" t="str"/>
      <x:c r="O320" s="14" t="str"/>
      <x:c r="P320" s="58" t="str"/>
      <x:c r="Q320" s="14" t="str"/>
    </x:row>
    <x:row r="321">
      <x:c r="A321" s="14" t="str">
        <x:v>VATM-0320</x:v>
      </x:c>
      <x:c r="B321" s="14" t="str">
        <x:v>An toàn hàng không / SMS</x:v>
      </x:c>
      <x:c r="C321" s="14" t="str">
        <x:v>Báo cáo MOR, sự cố và điều tra</x:v>
      </x:c>
      <x:c r="D321" s="14" t="str">
        <x:v>Tàu bay hạ cánh hoặc cất cánh không đúng đường CHC được chỉ định.</x:v>
      </x:c>
      <x:c r="E321" s="14" t="str">
        <x:v>Ban An toàn - Chất lượng</x:v>
      </x:c>
      <x:c r="F321" s="14" t="str">
        <x:v>P2</x:v>
      </x:c>
      <x:c r="G321" s="14" t="str">
        <x:v>24 giờ</x:v>
      </x:c>
      <x:c r="H321" s="14" t="str">
        <x:v>Chưa bắt đầu</x:v>
      </x:c>
      <x:c r="I321" s="20" t="n">
        <x:f>IF(H321="Hoàn thành",100%,IF(H321="Không áp dụng",100%,IF(H321="Đang thực hiện",50%,IF(H321="Đang chờ phối hợp",25%,0%))))</x:f>
        <x:v>0</x:v>
      </x:c>
      <x:c r="J321" s="58" t="str"/>
      <x:c r="K321" s="14" t="str"/>
      <x:c r="L321" s="14" t="str"/>
      <x:c r="M321" s="14" t="str"/>
      <x:c r="N321" s="14" t="str"/>
      <x:c r="O321" s="14" t="str"/>
      <x:c r="P321" s="58" t="str"/>
      <x:c r="Q321" s="14" t="str"/>
    </x:row>
    <x:row r="322">
      <x:c r="A322" s="14" t="str">
        <x:v>VATM-0321</x:v>
      </x:c>
      <x:c r="B322" s="14" t="str">
        <x:v>An toàn hàng không / SMS</x:v>
      </x:c>
      <x:c r="C322" s="14" t="str">
        <x:v>Báo cáo MOR, sự cố và điều tra</x:v>
      </x:c>
      <x:c r="D322" s="14" t="str">
        <x:v>Tàu bay lăn nhầm đường lăn.</x:v>
      </x:c>
      <x:c r="E322" s="14" t="str">
        <x:v>Ban An toàn - Chất lượng</x:v>
      </x:c>
      <x:c r="F322" s="14" t="str">
        <x:v>P2</x:v>
      </x:c>
      <x:c r="G322" s="14" t="str">
        <x:v>24 giờ</x:v>
      </x:c>
      <x:c r="H322" s="14" t="str">
        <x:v>Chưa bắt đầu</x:v>
      </x:c>
      <x:c r="I322" s="20" t="n">
        <x:f>IF(H322="Hoàn thành",100%,IF(H322="Không áp dụng",100%,IF(H322="Đang thực hiện",50%,IF(H322="Đang chờ phối hợp",25%,0%))))</x:f>
        <x:v>0</x:v>
      </x:c>
      <x:c r="J322" s="58" t="str"/>
      <x:c r="K322" s="14" t="str"/>
      <x:c r="L322" s="14" t="str"/>
      <x:c r="M322" s="14" t="str"/>
      <x:c r="N322" s="14" t="str"/>
      <x:c r="O322" s="14" t="str"/>
      <x:c r="P322" s="58" t="str"/>
      <x:c r="Q322" s="14" t="str"/>
    </x:row>
    <x:row r="323">
      <x:c r="A323" s="14" t="str">
        <x:v>VATM-0322</x:v>
      </x:c>
      <x:c r="B323" s="14" t="str">
        <x:v>An toàn hàng không / SMS</x:v>
      </x:c>
      <x:c r="C323" s="14" t="str">
        <x:v>Báo cáo MOR, sự cố và điều tra</x:v>
      </x:c>
      <x:c r="D323" s="14" t="str">
        <x:v>Tàu bay vi phạm độ cao an toàn tối thiểu, gần va chạm với địa hình hoặc chướng ngại vật trên mặt đất.</x:v>
      </x:c>
      <x:c r="E323" s="14" t="str">
        <x:v>Ban An toàn - Chất lượng</x:v>
      </x:c>
      <x:c r="F323" s="14" t="str">
        <x:v>P2</x:v>
      </x:c>
      <x:c r="G323" s="14" t="str">
        <x:v>24 giờ</x:v>
      </x:c>
      <x:c r="H323" s="14" t="str">
        <x:v>Chưa bắt đầu</x:v>
      </x:c>
      <x:c r="I323" s="20" t="n">
        <x:f>IF(H323="Hoàn thành",100%,IF(H323="Không áp dụng",100%,IF(H323="Đang thực hiện",50%,IF(H323="Đang chờ phối hợp",25%,0%))))</x:f>
        <x:v>0</x:v>
      </x:c>
      <x:c r="J323" s="58" t="str"/>
      <x:c r="K323" s="14" t="str"/>
      <x:c r="L323" s="14" t="str"/>
      <x:c r="M323" s="14" t="str"/>
      <x:c r="N323" s="14" t="str"/>
      <x:c r="O323" s="14" t="str"/>
      <x:c r="P323" s="58" t="str"/>
      <x:c r="Q323" s="14" t="str"/>
    </x:row>
    <x:row r="324">
      <x:c r="A324" s="14" t="str">
        <x:v>VATM-0323</x:v>
      </x:c>
      <x:c r="B324" s="14" t="str">
        <x:v>An toàn hàng không / SMS</x:v>
      </x:c>
      <x:c r="C324" s="14" t="str">
        <x:v>Báo cáo MOR, sự cố và điều tra</x:v>
      </x:c>
      <x:c r="D324" s="14" t="str">
        <x:v>Tàu bay xông ra khỏi đường lăn hoặc đường CHC.</x:v>
      </x:c>
      <x:c r="E324" s="14" t="str">
        <x:v>Ban An toàn - Chất lượng</x:v>
      </x:c>
      <x:c r="F324" s="14" t="str">
        <x:v>P2</x:v>
      </x:c>
      <x:c r="G324" s="14" t="str">
        <x:v>24 giờ</x:v>
      </x:c>
      <x:c r="H324" s="14" t="str">
        <x:v>Chưa bắt đầu</x:v>
      </x:c>
      <x:c r="I324" s="20" t="n">
        <x:f>IF(H324="Hoàn thành",100%,IF(H324="Không áp dụng",100%,IF(H324="Đang thực hiện",50%,IF(H324="Đang chờ phối hợp",25%,0%))))</x:f>
        <x:v>0</x:v>
      </x:c>
      <x:c r="J324" s="58" t="str"/>
      <x:c r="K324" s="14" t="str"/>
      <x:c r="L324" s="14" t="str"/>
      <x:c r="M324" s="14" t="str"/>
      <x:c r="N324" s="14" t="str"/>
      <x:c r="O324" s="14" t="str"/>
      <x:c r="P324" s="58" t="str"/>
      <x:c r="Q324" s="14" t="str"/>
    </x:row>
    <x:row r="325">
      <x:c r="A325" s="14" t="str">
        <x:v>VATM-0324</x:v>
      </x:c>
      <x:c r="B325" s="14" t="str">
        <x:v>An toàn hàng không / SMS</x:v>
      </x:c>
      <x:c r="C325" s="14" t="str">
        <x:v>Báo cáo MOR, sự cố và điều tra</x:v>
      </x:c>
      <x:c r="D325" s="14" t="str">
        <x:v>Tình huống xâm nhập đường CHC trái phép.</x:v>
      </x:c>
      <x:c r="E325" s="14" t="str">
        <x:v>Ban An toàn - Chất lượng</x:v>
      </x:c>
      <x:c r="F325" s="14" t="str">
        <x:v>P2</x:v>
      </x:c>
      <x:c r="G325" s="14" t="str">
        <x:v>24 giờ</x:v>
      </x:c>
      <x:c r="H325" s="14" t="str">
        <x:v>Chưa bắt đầu</x:v>
      </x:c>
      <x:c r="I325" s="20" t="n">
        <x:f>IF(H325="Hoàn thành",100%,IF(H325="Không áp dụng",100%,IF(H325="Đang thực hiện",50%,IF(H325="Đang chờ phối hợp",25%,0%))))</x:f>
        <x:v>0</x:v>
      </x:c>
      <x:c r="J325" s="58" t="str"/>
      <x:c r="K325" s="14" t="str"/>
      <x:c r="L325" s="14" t="str"/>
      <x:c r="M325" s="14" t="str"/>
      <x:c r="N325" s="14" t="str"/>
      <x:c r="O325" s="14" t="str"/>
      <x:c r="P325" s="58" t="str"/>
      <x:c r="Q325" s="14" t="str"/>
    </x:row>
    <x:row r="326">
      <x:c r="A326" s="14" t="str">
        <x:v>VATM-0325</x:v>
      </x:c>
      <x:c r="B326" s="14" t="str">
        <x:v>An toàn hàng không / SMS</x:v>
      </x:c>
      <x:c r="C326" s="14" t="str">
        <x:v>Báo cáo MOR, sự cố và điều tra</x:v>
      </x:c>
      <x:c r="D326" s="14" t="str">
        <x:v>Tình huống xâm nhập khu vực tiếp cận cuối và cất cánh đối với trực thăng trái phép.</x:v>
      </x:c>
      <x:c r="E326" s="14" t="str">
        <x:v>Ban An toàn - Chất lượng</x:v>
      </x:c>
      <x:c r="F326" s="14" t="str">
        <x:v>P2</x:v>
      </x:c>
      <x:c r="G326" s="14" t="str">
        <x:v>24 giờ</x:v>
      </x:c>
      <x:c r="H326" s="14" t="str">
        <x:v>Chưa bắt đầu</x:v>
      </x:c>
      <x:c r="I326" s="20" t="n">
        <x:f>IF(H326="Hoàn thành",100%,IF(H326="Không áp dụng",100%,IF(H326="Đang thực hiện",50%,IF(H326="Đang chờ phối hợp",25%,0%))))</x:f>
        <x:v>0</x:v>
      </x:c>
      <x:c r="J326" s="58" t="str"/>
      <x:c r="K326" s="14" t="str"/>
      <x:c r="L326" s="14" t="str"/>
      <x:c r="M326" s="14" t="str"/>
      <x:c r="N326" s="14" t="str"/>
      <x:c r="O326" s="14" t="str"/>
      <x:c r="P326" s="58" t="str"/>
      <x:c r="Q326" s="14" t="str"/>
    </x:row>
    <x:row r="327">
      <x:c r="A327" s="14" t="str">
        <x:v>VATM-0326</x:v>
      </x:c>
      <x:c r="B327" s="14" t="str">
        <x:v>An toàn hàng không / SMS</x:v>
      </x:c>
      <x:c r="C327" s="14" t="str">
        <x:v>Báo cáo MOR, sự cố và điều tra</x:v>
      </x:c>
      <x:c r="D327" s="14" t="str">
        <x:v>Vi phạm tiêu chuẩn phân cách tối thiểu giữa các tàu bay.</x:v>
      </x:c>
      <x:c r="E327" s="14" t="str">
        <x:v>Ban An toàn - Chất lượng</x:v>
      </x:c>
      <x:c r="F327" s="14" t="str">
        <x:v>P2</x:v>
      </x:c>
      <x:c r="G327" s="14" t="str">
        <x:v>24 giờ</x:v>
      </x:c>
      <x:c r="H327" s="14" t="str">
        <x:v>Chưa bắt đầu</x:v>
      </x:c>
      <x:c r="I327" s="20" t="n">
        <x:f>IF(H327="Hoàn thành",100%,IF(H327="Không áp dụng",100%,IF(H327="Đang thực hiện",50%,IF(H327="Đang chờ phối hợp",25%,0%))))</x:f>
        <x:v>0</x:v>
      </x:c>
      <x:c r="J327" s="58" t="str"/>
      <x:c r="K327" s="14" t="str"/>
      <x:c r="L327" s="14" t="str"/>
      <x:c r="M327" s="14" t="str"/>
      <x:c r="N327" s="14" t="str"/>
      <x:c r="O327" s="14" t="str"/>
      <x:c r="P327" s="58" t="str"/>
      <x:c r="Q327" s="14" t="str"/>
    </x:row>
    <x:row r="328">
      <x:c r="A328" s="14" t="str">
        <x:v>VATM-0327</x:v>
      </x:c>
      <x:c r="B328" s="14" t="str">
        <x:v>An toàn hàng không / SMS</x:v>
      </x:c>
      <x:c r="C328" s="14" t="str">
        <x:v>Báo cáo MOR, sự cố và điều tra</x:v>
      </x:c>
      <x:c r="D328" s="14" t="str">
        <x:v>Can nhiễu tần số vô tuyến điện hàng không ảnh hưởng đến công tác điều hành bay.</x:v>
      </x:c>
      <x:c r="E328" s="14" t="str">
        <x:v>Ban An toàn - Chất lượng</x:v>
      </x:c>
      <x:c r="F328" s="14" t="str">
        <x:v>P2</x:v>
      </x:c>
      <x:c r="G328" s="14" t="str">
        <x:v>24 giờ</x:v>
      </x:c>
      <x:c r="H328" s="14" t="str">
        <x:v>Chưa bắt đầu</x:v>
      </x:c>
      <x:c r="I328" s="20" t="n">
        <x:f>IF(H328="Hoàn thành",100%,IF(H328="Không áp dụng",100%,IF(H328="Đang thực hiện",50%,IF(H328="Đang chờ phối hợp",25%,0%))))</x:f>
        <x:v>0</x:v>
      </x:c>
      <x:c r="J328" s="58" t="str"/>
      <x:c r="K328" s="14" t="str"/>
      <x:c r="L328" s="14" t="str"/>
      <x:c r="M328" s="14" t="str"/>
      <x:c r="N328" s="14" t="str"/>
      <x:c r="O328" s="14" t="str"/>
      <x:c r="P328" s="58" t="str"/>
      <x:c r="Q328" s="14" t="str"/>
    </x:row>
    <x:row r="329">
      <x:c r="A329" s="14" t="str">
        <x:v>VATM-0328</x:v>
      </x:c>
      <x:c r="B329" s="14" t="str">
        <x:v>An toàn hàng không / SMS</x:v>
      </x:c>
      <x:c r="C329" s="14" t="str">
        <x:v>Báo cáo MOR, sự cố và điều tra</x:v>
      </x:c>
      <x:c r="D329" s="14" t="str">
        <x:v>Can nhiễu, mất hoặc giả mạo tín hiệu vệ tinh gây ảnh hưởng tới các phương thức dẫn đường vệ tinh.</x:v>
      </x:c>
      <x:c r="E329" s="14" t="str">
        <x:v>Ban An toàn - Chất lượng</x:v>
      </x:c>
      <x:c r="F329" s="14" t="str">
        <x:v>P2</x:v>
      </x:c>
      <x:c r="G329" s="14" t="str">
        <x:v>24 giờ</x:v>
      </x:c>
      <x:c r="H329" s="14" t="str">
        <x:v>Chưa bắt đầu</x:v>
      </x:c>
      <x:c r="I329" s="20" t="n">
        <x:f>IF(H329="Hoàn thành",100%,IF(H329="Không áp dụng",100%,IF(H329="Đang thực hiện",50%,IF(H329="Đang chờ phối hợp",25%,0%))))</x:f>
        <x:v>0</x:v>
      </x:c>
      <x:c r="J329" s="58" t="str"/>
      <x:c r="K329" s="14" t="str"/>
      <x:c r="L329" s="14" t="str"/>
      <x:c r="M329" s="14" t="str"/>
      <x:c r="N329" s="14" t="str"/>
      <x:c r="O329" s="14" t="str"/>
      <x:c r="P329" s="58" t="str"/>
      <x:c r="Q329" s="14" t="str"/>
    </x:row>
    <x:row r="330">
      <x:c r="A330" s="14" t="str">
        <x:v>VATM-0329</x:v>
      </x:c>
      <x:c r="B330" s="14" t="str">
        <x:v>An toàn hàng không / SMS</x:v>
      </x:c>
      <x:c r="C330" s="14" t="str">
        <x:v>Báo cáo MOR, sự cố và điều tra</x:v>
      </x:c>
      <x:c r="D330" s="14" t="str">
        <x:v>Chiếm dụng trái phép tần số vô tuyến điện hàng không.</x:v>
      </x:c>
      <x:c r="E330" s="14" t="str">
        <x:v>Ban An toàn - Chất lượng</x:v>
      </x:c>
      <x:c r="F330" s="14" t="str">
        <x:v>P2</x:v>
      </x:c>
      <x:c r="G330" s="14" t="str">
        <x:v>24 giờ</x:v>
      </x:c>
      <x:c r="H330" s="14" t="str">
        <x:v>Chưa bắt đầu</x:v>
      </x:c>
      <x:c r="I330" s="20" t="n">
        <x:f>IF(H330="Hoàn thành",100%,IF(H330="Không áp dụng",100%,IF(H330="Đang thực hiện",50%,IF(H330="Đang chờ phối hợp",25%,0%))))</x:f>
        <x:v>0</x:v>
      </x:c>
      <x:c r="J330" s="58" t="str"/>
      <x:c r="K330" s="14" t="str"/>
      <x:c r="L330" s="14" t="str"/>
      <x:c r="M330" s="14" t="str"/>
      <x:c r="N330" s="14" t="str"/>
      <x:c r="O330" s="14" t="str"/>
      <x:c r="P330" s="58" t="str"/>
      <x:c r="Q330" s="14" t="str"/>
    </x:row>
    <x:row r="331">
      <x:c r="A331" s="14" t="str">
        <x:v>VATM-0330</x:v>
      </x:c>
      <x:c r="B331" s="14" t="str">
        <x:v>An toàn hàng không / SMS</x:v>
      </x:c>
      <x:c r="C331" s="14" t="str">
        <x:v>Báo cáo MOR, sự cố và điều tra</x:v>
      </x:c>
      <x:c r="D331" s="14" t="str">
        <x:v>Gián đoạn cung cấp dịch vụ điều hành bay.</x:v>
      </x:c>
      <x:c r="E331" s="14" t="str">
        <x:v>Ban An toàn - Chất lượng</x:v>
      </x:c>
      <x:c r="F331" s="14" t="str">
        <x:v>P2</x:v>
      </x:c>
      <x:c r="G331" s="14" t="str">
        <x:v>24 giờ</x:v>
      </x:c>
      <x:c r="H331" s="14" t="str">
        <x:v>Chưa bắt đầu</x:v>
      </x:c>
      <x:c r="I331" s="20" t="n">
        <x:f>IF(H331="Hoàn thành",100%,IF(H331="Không áp dụng",100%,IF(H331="Đang thực hiện",50%,IF(H331="Đang chờ phối hợp",25%,0%))))</x:f>
        <x:v>0</x:v>
      </x:c>
      <x:c r="J331" s="58" t="str"/>
      <x:c r="K331" s="14" t="str"/>
      <x:c r="L331" s="14" t="str"/>
      <x:c r="M331" s="14" t="str"/>
      <x:c r="N331" s="14" t="str"/>
      <x:c r="O331" s="14" t="str"/>
      <x:c r="P331" s="58" t="str"/>
      <x:c r="Q331" s="14" t="str"/>
    </x:row>
    <x:row r="332">
      <x:c r="A332" s="14" t="str">
        <x:v>VATM-0331</x:v>
      </x:c>
      <x:c r="B332" s="14" t="str">
        <x:v>An toàn hàng không / SMS</x:v>
      </x:c>
      <x:c r="C332" s="14" t="str">
        <x:v>Báo cáo MOR, sự cố và điều tra</x:v>
      </x:c>
      <x:c r="D332" s="14" t="str">
        <x:v>Gián đoạn cung cấp dịch vụ thông tin-dẫn đường-giám sát, khí tượng hoặc thông báo tin tức hàng không.</x:v>
      </x:c>
      <x:c r="E332" s="14" t="str">
        <x:v>Ban An toàn - Chất lượng</x:v>
      </x:c>
      <x:c r="F332" s="14" t="str">
        <x:v>P2</x:v>
      </x:c>
      <x:c r="G332" s="14" t="str">
        <x:v>24 giờ</x:v>
      </x:c>
      <x:c r="H332" s="14" t="str">
        <x:v>Chưa bắt đầu</x:v>
      </x:c>
      <x:c r="I332" s="20" t="n">
        <x:f>IF(H332="Hoàn thành",100%,IF(H332="Không áp dụng",100%,IF(H332="Đang thực hiện",50%,IF(H332="Đang chờ phối hợp",25%,0%))))</x:f>
        <x:v>0</x:v>
      </x:c>
      <x:c r="J332" s="58" t="str"/>
      <x:c r="K332" s="14" t="str"/>
      <x:c r="L332" s="14" t="str"/>
      <x:c r="M332" s="14" t="str"/>
      <x:c r="N332" s="14" t="str"/>
      <x:c r="O332" s="14" t="str"/>
      <x:c r="P332" s="58" t="str"/>
      <x:c r="Q332" s="14" t="str"/>
    </x:row>
    <x:row r="333">
      <x:c r="A333" s="14" t="str">
        <x:v>VATM-0332</x:v>
      </x:c>
      <x:c r="B333" s="14" t="str">
        <x:v>An toàn hàng không / SMS</x:v>
      </x:c>
      <x:c r="C333" s="14" t="str">
        <x:v>Báo cáo MOR, sự cố và điều tra</x:v>
      </x:c>
      <x:c r="D333" s="14" t="str">
        <x:v>Mất liên lạc kéo dài với tàu bay hoặc với cơ sở ATS khác.</x:v>
      </x:c>
      <x:c r="E333" s="14" t="str">
        <x:v>Ban An toàn - Chất lượng</x:v>
      </x:c>
      <x:c r="F333" s="14" t="str">
        <x:v>P2</x:v>
      </x:c>
      <x:c r="G333" s="14" t="str">
        <x:v>24 giờ</x:v>
      </x:c>
      <x:c r="H333" s="14" t="str">
        <x:v>Chưa bắt đầu</x:v>
      </x:c>
      <x:c r="I333" s="20" t="n">
        <x:f>IF(H333="Hoàn thành",100%,IF(H333="Không áp dụng",100%,IF(H333="Đang thực hiện",50%,IF(H333="Đang chờ phối hợp",25%,0%))))</x:f>
        <x:v>0</x:v>
      </x:c>
      <x:c r="J333" s="58" t="str"/>
      <x:c r="K333" s="14" t="str"/>
      <x:c r="L333" s="14" t="str"/>
      <x:c r="M333" s="14" t="str"/>
      <x:c r="N333" s="14" t="str"/>
      <x:c r="O333" s="14" t="str"/>
      <x:c r="P333" s="58" t="str"/>
      <x:c r="Q333" s="14" t="str"/>
    </x:row>
    <x:row r="334">
      <x:c r="A334" s="14" t="str">
        <x:v>VATM-0333</x:v>
      </x:c>
      <x:c r="B334" s="14" t="str">
        <x:v>An toàn hàng không / SMS</x:v>
      </x:c>
      <x:c r="C334" s="14" t="str">
        <x:v>Báo cáo MOR, sự cố và điều tra</x:v>
      </x:c>
      <x:c r="D334" s="14" t="str">
        <x:v>Tổ lái không chấp hành hoặc không thực hiện đúng quy định về lập kế hoạch bay không lưu, quy tắc bay, phương thức bay.</x:v>
      </x:c>
      <x:c r="E334" s="14" t="str">
        <x:v>Ban An toàn - Chất lượng</x:v>
      </x:c>
      <x:c r="F334" s="14" t="str">
        <x:v>P2</x:v>
      </x:c>
      <x:c r="G334" s="14" t="str">
        <x:v>24 giờ</x:v>
      </x:c>
      <x:c r="H334" s="14" t="str">
        <x:v>Chưa bắt đầu</x:v>
      </x:c>
      <x:c r="I334" s="20" t="n">
        <x:f>IF(H334="Hoàn thành",100%,IF(H334="Không áp dụng",100%,IF(H334="Đang thực hiện",50%,IF(H334="Đang chờ phối hợp",25%,0%))))</x:f>
        <x:v>0</x:v>
      </x:c>
      <x:c r="J334" s="58" t="str"/>
      <x:c r="K334" s="14" t="str"/>
      <x:c r="L334" s="14" t="str"/>
      <x:c r="M334" s="14" t="str"/>
      <x:c r="N334" s="14" t="str"/>
      <x:c r="O334" s="14" t="str"/>
      <x:c r="P334" s="58" t="str"/>
      <x:c r="Q334" s="14" t="str"/>
    </x:row>
    <x:row r="335">
      <x:c r="A335" s="14" t="str">
        <x:v>VATM-0334</x:v>
      </x:c>
      <x:c r="B335" s="14" t="str">
        <x:v>An toàn hàng không / SMS</x:v>
      </x:c>
      <x:c r="C335" s="14" t="str">
        <x:v>Báo cáo MOR, sự cố và điều tra</x:v>
      </x:c>
      <x:c r="D335" s="14" t="str">
        <x:v>Tổ lái thực hiện không đúng nội dung của phép bay gây uy hiếp an toàn bay hoặc ảnh hưởng đến hoạt động bay.</x:v>
      </x:c>
      <x:c r="E335" s="14" t="str">
        <x:v>Ban An toàn - Chất lượng</x:v>
      </x:c>
      <x:c r="F335" s="14" t="str">
        <x:v>P2</x:v>
      </x:c>
      <x:c r="G335" s="14" t="str">
        <x:v>24 giờ</x:v>
      </x:c>
      <x:c r="H335" s="14" t="str">
        <x:v>Chưa bắt đầu</x:v>
      </x:c>
      <x:c r="I335" s="20" t="n">
        <x:f>IF(H335="Hoàn thành",100%,IF(H335="Không áp dụng",100%,IF(H335="Đang thực hiện",50%,IF(H335="Đang chờ phối hợp",25%,0%))))</x:f>
        <x:v>0</x:v>
      </x:c>
      <x:c r="J335" s="58" t="str"/>
      <x:c r="K335" s="14" t="str"/>
      <x:c r="L335" s="14" t="str"/>
      <x:c r="M335" s="14" t="str"/>
      <x:c r="N335" s="14" t="str"/>
      <x:c r="O335" s="14" t="str"/>
      <x:c r="P335" s="58" t="str"/>
      <x:c r="Q335" s="14" t="str"/>
    </x:row>
    <x:row r="336">
      <x:c r="A336" s="14" t="str">
        <x:v>VATM-0335</x:v>
      </x:c>
      <x:c r="B336" s="14" t="str">
        <x:v>An toàn hàng không / SMS</x:v>
      </x:c>
      <x:c r="C336" s="14" t="str">
        <x:v>Báo cáo MOR, sự cố và điều tra</x:v>
      </x:c>
      <x:c r="D336" s="14" t="str">
        <x:v>Tổ lái không chấp hành huấn lệnh hoặc thực hiện sai huấn lệnh của kiểm soát viên không lưu dẫn đến uy hiếp an toàn hàng không hoặc ảnh hưởng đến hoạt động bay.</x:v>
      </x:c>
      <x:c r="E336" s="14" t="str">
        <x:v>Ban An toàn - Chất lượng</x:v>
      </x:c>
      <x:c r="F336" s="14" t="str">
        <x:v>P2</x:v>
      </x:c>
      <x:c r="G336" s="14" t="str">
        <x:v>24 giờ</x:v>
      </x:c>
      <x:c r="H336" s="14" t="str">
        <x:v>Chưa bắt đầu</x:v>
      </x:c>
      <x:c r="I336" s="20" t="n">
        <x:f>IF(H336="Hoàn thành",100%,IF(H336="Không áp dụng",100%,IF(H336="Đang thực hiện",50%,IF(H336="Đang chờ phối hợp",25%,0%))))</x:f>
        <x:v>0</x:v>
      </x:c>
      <x:c r="J336" s="58" t="str"/>
      <x:c r="K336" s="14" t="str"/>
      <x:c r="L336" s="14" t="str"/>
      <x:c r="M336" s="14" t="str"/>
      <x:c r="N336" s="14" t="str"/>
      <x:c r="O336" s="14" t="str"/>
      <x:c r="P336" s="58" t="str"/>
      <x:c r="Q336" s="14" t="str"/>
    </x:row>
    <x:row r="337">
      <x:c r="A337" s="14" t="str">
        <x:v>VATM-0336</x:v>
      </x:c>
      <x:c r="B337" s="14" t="str">
        <x:v>An toàn hàng không / SMS</x:v>
      </x:c>
      <x:c r="C337" s="14" t="str">
        <x:v>Báo cáo MOR, sự cố và điều tra</x:v>
      </x:c>
      <x:c r="D337" s="14" t="str">
        <x:v>Các tình huống can thiệp bất hợp pháp vào cơ sở cung cấp dịch vụ điều hành bay hoặc tàu bay như đe dọa khủng bố, đánh bom hoặc cướp tàu bay.</x:v>
      </x:c>
      <x:c r="E337" s="14" t="str">
        <x:v>Ban An toàn - Chất lượng</x:v>
      </x:c>
      <x:c r="F337" s="14" t="str">
        <x:v>P2</x:v>
      </x:c>
      <x:c r="G337" s="14" t="str">
        <x:v>24 giờ</x:v>
      </x:c>
      <x:c r="H337" s="14" t="str">
        <x:v>Chưa bắt đầu</x:v>
      </x:c>
      <x:c r="I337" s="20" t="n">
        <x:f>IF(H337="Hoàn thành",100%,IF(H337="Không áp dụng",100%,IF(H337="Đang thực hiện",50%,IF(H337="Đang chờ phối hợp",25%,0%))))</x:f>
        <x:v>0</x:v>
      </x:c>
      <x:c r="J337" s="58" t="str"/>
      <x:c r="K337" s="14" t="str"/>
      <x:c r="L337" s="14" t="str"/>
      <x:c r="M337" s="14" t="str"/>
      <x:c r="N337" s="14" t="str"/>
      <x:c r="O337" s="14" t="str"/>
      <x:c r="P337" s="58" t="str"/>
      <x:c r="Q337" s="14" t="str"/>
    </x:row>
    <x:row r="338">
      <x:c r="A338" s="14" t="str">
        <x:v>VATM-0337</x:v>
      </x:c>
      <x:c r="B338" s="14" t="str">
        <x:v>An toàn hàng không / SMS</x:v>
      </x:c>
      <x:c r="C338" s="14" t="str">
        <x:v>Báo cáo MOR, sự cố và điều tra</x:v>
      </x:c>
      <x:c r="D338" s="14" t="str">
        <x:v>Chuyển giao kiểm soát tàu bay không có hiệp đồng hoặc không đúng với nội dung đã hiệp đồng.</x:v>
      </x:c>
      <x:c r="E338" s="14" t="str">
        <x:v>Ban An toàn - Chất lượng</x:v>
      </x:c>
      <x:c r="F338" s="14" t="str">
        <x:v>P2</x:v>
      </x:c>
      <x:c r="G338" s="14" t="str">
        <x:v>24 giờ</x:v>
      </x:c>
      <x:c r="H338" s="14" t="str">
        <x:v>Chưa bắt đầu</x:v>
      </x:c>
      <x:c r="I338" s="20" t="n">
        <x:f>IF(H338="Hoàn thành",100%,IF(H338="Không áp dụng",100%,IF(H338="Đang thực hiện",50%,IF(H338="Đang chờ phối hợp",25%,0%))))</x:f>
        <x:v>0</x:v>
      </x:c>
      <x:c r="J338" s="58" t="str"/>
      <x:c r="K338" s="14" t="str"/>
      <x:c r="L338" s="14" t="str"/>
      <x:c r="M338" s="14" t="str"/>
      <x:c r="N338" s="14" t="str"/>
      <x:c r="O338" s="14" t="str"/>
      <x:c r="P338" s="58" t="str"/>
      <x:c r="Q338" s="14" t="str"/>
    </x:row>
    <x:row r="339">
      <x:c r="A339" s="14" t="str">
        <x:v>VATM-0338</x:v>
      </x:c>
      <x:c r="B339" s="14" t="str">
        <x:v>An toàn hàng không / SMS</x:v>
      </x:c>
      <x:c r="C339" s="14" t="str">
        <x:v>Báo cáo MOR, sự cố và điều tra</x:v>
      </x:c>
      <x:c r="D339" s="14" t="str">
        <x:v>Kiểm soát viên không lưu thực hiện không đúng quy trình, quy định có nguy cơ ảnh hưởng đến an toàn hoạt động bay.</x:v>
      </x:c>
      <x:c r="E339" s="14" t="str">
        <x:v>Ban An toàn - Chất lượng</x:v>
      </x:c>
      <x:c r="F339" s="14" t="str">
        <x:v>P2</x:v>
      </x:c>
      <x:c r="G339" s="14" t="str">
        <x:v>24 giờ</x:v>
      </x:c>
      <x:c r="H339" s="14" t="str">
        <x:v>Chưa bắt đầu</x:v>
      </x:c>
      <x:c r="I339" s="20" t="n">
        <x:f>IF(H339="Hoàn thành",100%,IF(H339="Không áp dụng",100%,IF(H339="Đang thực hiện",50%,IF(H339="Đang chờ phối hợp",25%,0%))))</x:f>
        <x:v>0</x:v>
      </x:c>
      <x:c r="J339" s="58" t="str"/>
      <x:c r="K339" s="14" t="str"/>
      <x:c r="L339" s="14" t="str"/>
      <x:c r="M339" s="14" t="str"/>
      <x:c r="N339" s="14" t="str"/>
      <x:c r="O339" s="14" t="str"/>
      <x:c r="P339" s="58" t="str"/>
      <x:c r="Q339" s="14" t="str"/>
    </x:row>
    <x:row r="340">
      <x:c r="A340" s="14" t="str">
        <x:v>VATM-0339</x:v>
      </x:c>
      <x:c r="B340" s="14" t="str">
        <x:v>An toàn hàng không / SMS</x:v>
      </x:c>
      <x:c r="C340" s="14" t="str">
        <x:v>Báo cáo MOR, sự cố và điều tra</x:v>
      </x:c>
      <x:c r="D340" s="14" t="str">
        <x:v>Nhân viên hàng không bị thương khi thực hiện nhiệm vụ.</x:v>
      </x:c>
      <x:c r="E340" s="14" t="str">
        <x:v>Ban An toàn - Chất lượng</x:v>
      </x:c>
      <x:c r="F340" s="14" t="str">
        <x:v>P2</x:v>
      </x:c>
      <x:c r="G340" s="14" t="str">
        <x:v>24 giờ</x:v>
      </x:c>
      <x:c r="H340" s="14" t="str">
        <x:v>Chưa bắt đầu</x:v>
      </x:c>
      <x:c r="I340" s="20" t="n">
        <x:f>IF(H340="Hoàn thành",100%,IF(H340="Không áp dụng",100%,IF(H340="Đang thực hiện",50%,IF(H340="Đang chờ phối hợp",25%,0%))))</x:f>
        <x:v>0</x:v>
      </x:c>
      <x:c r="J340" s="58" t="str"/>
      <x:c r="K340" s="14" t="str"/>
      <x:c r="L340" s="14" t="str"/>
      <x:c r="M340" s="14" t="str"/>
      <x:c r="N340" s="14" t="str"/>
      <x:c r="O340" s="14" t="str"/>
      <x:c r="P340" s="58" t="str"/>
      <x:c r="Q340" s="14" t="str"/>
    </x:row>
    <x:row r="341">
      <x:c r="A341" s="14" t="str">
        <x:v>VATM-0340</x:v>
      </x:c>
      <x:c r="B341" s="14" t="str">
        <x:v>An toàn hàng không / SMS</x:v>
      </x:c>
      <x:c r="C341" s="14" t="str">
        <x:v>Báo cáo MOR, sự cố và điều tra</x:v>
      </x:c>
      <x:c r="D341" s="14" t="str">
        <x:v>Tàu bay hủy việc thực hiện cất cánh khi đang chạy đà trên đường cất hạ cánh.</x:v>
      </x:c>
      <x:c r="E341" s="14" t="str">
        <x:v>Ban An toàn - Chất lượng</x:v>
      </x:c>
      <x:c r="F341" s="14" t="str">
        <x:v>P2</x:v>
      </x:c>
      <x:c r="G341" s="14" t="str">
        <x:v>24 giờ</x:v>
      </x:c>
      <x:c r="H341" s="14" t="str">
        <x:v>Chưa bắt đầu</x:v>
      </x:c>
      <x:c r="I341" s="20" t="n">
        <x:f>IF(H341="Hoàn thành",100%,IF(H341="Không áp dụng",100%,IF(H341="Đang thực hiện",50%,IF(H341="Đang chờ phối hợp",25%,0%))))</x:f>
        <x:v>0</x:v>
      </x:c>
      <x:c r="J341" s="58" t="str"/>
      <x:c r="K341" s="14" t="str"/>
      <x:c r="L341" s="14" t="str"/>
      <x:c r="M341" s="14" t="str"/>
      <x:c r="N341" s="14" t="str"/>
      <x:c r="O341" s="14" t="str"/>
      <x:c r="P341" s="58" t="str"/>
      <x:c r="Q341" s="14" t="str"/>
    </x:row>
    <x:row r="342">
      <x:c r="A342" s="14" t="str">
        <x:v>VATM-0341</x:v>
      </x:c>
      <x:c r="B342" s="14" t="str">
        <x:v>An toàn hàng không / SMS</x:v>
      </x:c>
      <x:c r="C342" s="14" t="str">
        <x:v>Báo cáo MOR, sự cố và điều tra</x:v>
      </x:c>
      <x:c r="D342" s="14" t="str">
        <x:v>Tàu bay xông ra ngoài đường cất hạ cánh, đường lăn hoặc hạ lệch đường cất hạ cánh.</x:v>
      </x:c>
      <x:c r="E342" s="14" t="str">
        <x:v>Ban An toàn - Chất lượng</x:v>
      </x:c>
      <x:c r="F342" s="14" t="str">
        <x:v>P2</x:v>
      </x:c>
      <x:c r="G342" s="14" t="str">
        <x:v>24 giờ</x:v>
      </x:c>
      <x:c r="H342" s="14" t="str">
        <x:v>Chưa bắt đầu</x:v>
      </x:c>
      <x:c r="I342" s="20" t="n">
        <x:f>IF(H342="Hoàn thành",100%,IF(H342="Không áp dụng",100%,IF(H342="Đang thực hiện",50%,IF(H342="Đang chờ phối hợp",25%,0%))))</x:f>
        <x:v>0</x:v>
      </x:c>
      <x:c r="J342" s="58" t="str"/>
      <x:c r="K342" s="14" t="str"/>
      <x:c r="L342" s="14" t="str"/>
      <x:c r="M342" s="14" t="str"/>
      <x:c r="N342" s="14" t="str"/>
      <x:c r="O342" s="14" t="str"/>
      <x:c r="P342" s="58" t="str"/>
      <x:c r="Q342" s="14" t="str"/>
    </x:row>
    <x:row r="343">
      <x:c r="A343" s="14" t="str">
        <x:v>VATM-0342</x:v>
      </x:c>
      <x:c r="B343" s="14" t="str">
        <x:v>An toàn hàng không / SMS</x:v>
      </x:c>
      <x:c r="C343" s="14" t="str">
        <x:v>Báo cáo MOR, sự cố và điều tra</x:v>
      </x:c>
      <x:c r="D343" s="14" t="str">
        <x:v>Va chạm hoặc nguy cơ va chạm giữa tàu bay với tàu bay khác trên đường CHC.</x:v>
      </x:c>
      <x:c r="E343" s="14" t="str">
        <x:v>Ban An toàn - Chất lượng</x:v>
      </x:c>
      <x:c r="F343" s="14" t="str">
        <x:v>P2</x:v>
      </x:c>
      <x:c r="G343" s="14" t="str">
        <x:v>24 giờ</x:v>
      </x:c>
      <x:c r="H343" s="14" t="str">
        <x:v>Chưa bắt đầu</x:v>
      </x:c>
      <x:c r="I343" s="20" t="n">
        <x:f>IF(H343="Hoàn thành",100%,IF(H343="Không áp dụng",100%,IF(H343="Đang thực hiện",50%,IF(H343="Đang chờ phối hợp",25%,0%))))</x:f>
        <x:v>0</x:v>
      </x:c>
      <x:c r="J343" s="58" t="str"/>
      <x:c r="K343" s="14" t="str"/>
      <x:c r="L343" s="14" t="str"/>
      <x:c r="M343" s="14" t="str"/>
      <x:c r="N343" s="14" t="str"/>
      <x:c r="O343" s="14" t="str"/>
      <x:c r="P343" s="58" t="str"/>
      <x:c r="Q343" s="14" t="str"/>
    </x:row>
    <x:row r="344">
      <x:c r="A344" s="14" t="str">
        <x:v>VATM-0343</x:v>
      </x:c>
      <x:c r="B344" s="14" t="str">
        <x:v>An toàn hàng không / SMS</x:v>
      </x:c>
      <x:c r="C344" s="14" t="str">
        <x:v>Báo cáo MOR, sự cố và điều tra</x:v>
      </x:c>
      <x:c r="D344" s="14" t="str">
        <x:v>Va chạm hoặc nguy cơ va chạm giữa tàu bay với tàu bay, người, phương tiện, thiết bị, công trình trong sân bay và vật thể khác trong sân bay.</x:v>
      </x:c>
      <x:c r="E344" s="14" t="str">
        <x:v>Ban An toàn - Chất lượng</x:v>
      </x:c>
      <x:c r="F344" s="14" t="str">
        <x:v>P2</x:v>
      </x:c>
      <x:c r="G344" s="14" t="str">
        <x:v>24 giờ</x:v>
      </x:c>
      <x:c r="H344" s="14" t="str">
        <x:v>Chưa bắt đầu</x:v>
      </x:c>
      <x:c r="I344" s="20" t="n">
        <x:f>IF(H344="Hoàn thành",100%,IF(H344="Không áp dụng",100%,IF(H344="Đang thực hiện",50%,IF(H344="Đang chờ phối hợp",25%,0%))))</x:f>
        <x:v>0</x:v>
      </x:c>
      <x:c r="J344" s="58" t="str"/>
      <x:c r="K344" s="14" t="str"/>
      <x:c r="L344" s="14" t="str"/>
      <x:c r="M344" s="14" t="str"/>
      <x:c r="N344" s="14" t="str"/>
      <x:c r="O344" s="14" t="str"/>
      <x:c r="P344" s="58" t="str"/>
      <x:c r="Q344" s="14" t="str"/>
    </x:row>
    <x:row r="345">
      <x:c r="A345" s="14" t="str">
        <x:v>VATM-0344</x:v>
      </x:c>
      <x:c r="B345" s="14" t="str">
        <x:v>An toàn hàng không / SMS</x:v>
      </x:c>
      <x:c r="C345" s="14" t="str">
        <x:v>Báo cáo MOR, sự cố và điều tra</x:v>
      </x:c>
      <x:c r="D345" s="14" t="str">
        <x:v>Can thiệp bất hợp pháp vào tàu bay kể cả việc đe dọa dùng bom hoặc cướp tàu bay.</x:v>
      </x:c>
      <x:c r="E345" s="14" t="str">
        <x:v>Ban An toàn - Chất lượng</x:v>
      </x:c>
      <x:c r="F345" s="14" t="str">
        <x:v>P2</x:v>
      </x:c>
      <x:c r="G345" s="14" t="str">
        <x:v>24 giờ</x:v>
      </x:c>
      <x:c r="H345" s="14" t="str">
        <x:v>Chưa bắt đầu</x:v>
      </x:c>
      <x:c r="I345" s="20" t="n">
        <x:f>IF(H345="Hoàn thành",100%,IF(H345="Không áp dụng",100%,IF(H345="Đang thực hiện",50%,IF(H345="Đang chờ phối hợp",25%,0%))))</x:f>
        <x:v>0</x:v>
      </x:c>
      <x:c r="J345" s="58" t="str"/>
      <x:c r="K345" s="14" t="str"/>
      <x:c r="L345" s="14" t="str"/>
      <x:c r="M345" s="14" t="str"/>
      <x:c r="N345" s="14" t="str"/>
      <x:c r="O345" s="14" t="str"/>
      <x:c r="P345" s="58" t="str"/>
      <x:c r="Q345" s="14" t="str"/>
    </x:row>
    <x:row r="346">
      <x:c r="A346" s="14" t="str">
        <x:v>VATM-0345</x:v>
      </x:c>
      <x:c r="B346" s="14" t="str">
        <x:v>An toàn hàng không / SMS</x:v>
      </x:c>
      <x:c r="C346" s="14" t="str">
        <x:v>Báo cáo MOR, sự cố và điều tra</x:v>
      </x:c>
      <x:c r="D346" s="14" t="str">
        <x:v>Tàu bay cất, hạ cánh trên đường CHC đang đóng cửa, đường CHC chưa được phép khai thác hoặc cất/hạ cánh nhầm đường CHC.</x:v>
      </x:c>
      <x:c r="E346" s="14" t="str">
        <x:v>Ban An toàn - Chất lượng</x:v>
      </x:c>
      <x:c r="F346" s="14" t="str">
        <x:v>P2</x:v>
      </x:c>
      <x:c r="G346" s="14" t="str">
        <x:v>24 giờ</x:v>
      </x:c>
      <x:c r="H346" s="14" t="str">
        <x:v>Chưa bắt đầu</x:v>
      </x:c>
      <x:c r="I346" s="20" t="n">
        <x:f>IF(H346="Hoàn thành",100%,IF(H346="Không áp dụng",100%,IF(H346="Đang thực hiện",50%,IF(H346="Đang chờ phối hợp",25%,0%))))</x:f>
        <x:v>0</x:v>
      </x:c>
      <x:c r="J346" s="58" t="str"/>
      <x:c r="K346" s="14" t="str"/>
      <x:c r="L346" s="14" t="str"/>
      <x:c r="M346" s="14" t="str"/>
      <x:c r="N346" s="14" t="str"/>
      <x:c r="O346" s="14" t="str"/>
      <x:c r="P346" s="58" t="str"/>
      <x:c r="Q346" s="14" t="str"/>
    </x:row>
    <x:row r="347">
      <x:c r="A347" s="14" t="str">
        <x:v>VATM-0346</x:v>
      </x:c>
      <x:c r="B347" s="14" t="str">
        <x:v>An toàn hàng không / SMS</x:v>
      </x:c>
      <x:c r="C347" s="14" t="str">
        <x:v>Báo cáo MOR, sự cố và điều tra</x:v>
      </x:c>
      <x:c r="D347" s="14" t="str">
        <x:v>Tàu bay, phương tiện, con người vi phạm khoảng cách an toàn hoặc xâm nhập đường CHC, đường lăn khi không được phép.</x:v>
      </x:c>
      <x:c r="E347" s="14" t="str">
        <x:v>Ban An toàn - Chất lượng</x:v>
      </x:c>
      <x:c r="F347" s="14" t="str">
        <x:v>P2</x:v>
      </x:c>
      <x:c r="G347" s="14" t="str">
        <x:v>24 giờ</x:v>
      </x:c>
      <x:c r="H347" s="14" t="str">
        <x:v>Chưa bắt đầu</x:v>
      </x:c>
      <x:c r="I347" s="20" t="n">
        <x:f>IF(H347="Hoàn thành",100%,IF(H347="Không áp dụng",100%,IF(H347="Đang thực hiện",50%,IF(H347="Đang chờ phối hợp",25%,0%))))</x:f>
        <x:v>0</x:v>
      </x:c>
      <x:c r="J347" s="58" t="str"/>
      <x:c r="K347" s="14" t="str"/>
      <x:c r="L347" s="14" t="str"/>
      <x:c r="M347" s="14" t="str"/>
      <x:c r="N347" s="14" t="str"/>
      <x:c r="O347" s="14" t="str"/>
      <x:c r="P347" s="58" t="str"/>
      <x:c r="Q347" s="14" t="str"/>
    </x:row>
    <x:row r="348">
      <x:c r="A348" s="14" t="str">
        <x:v>VATM-0347</x:v>
      </x:c>
      <x:c r="B348" s="14" t="str">
        <x:v>An toàn hàng không / SMS</x:v>
      </x:c>
      <x:c r="C348" s="14" t="str">
        <x:v>Báo cáo MOR, sự cố và điều tra</x:v>
      </x:c>
      <x:c r="D348" s="14" t="str">
        <x:v>Tàu bay lăn nhầm đường lăn, vệt lăn, vị trí đỗ tàu bay.</x:v>
      </x:c>
      <x:c r="E348" s="14" t="str">
        <x:v>Ban An toàn - Chất lượng</x:v>
      </x:c>
      <x:c r="F348" s="14" t="str">
        <x:v>P2</x:v>
      </x:c>
      <x:c r="G348" s="14" t="str">
        <x:v>24 giờ</x:v>
      </x:c>
      <x:c r="H348" s="14" t="str">
        <x:v>Chưa bắt đầu</x:v>
      </x:c>
      <x:c r="I348" s="20" t="n">
        <x:f>IF(H348="Hoàn thành",100%,IF(H348="Không áp dụng",100%,IF(H348="Đang thực hiện",50%,IF(H348="Đang chờ phối hợp",25%,0%))))</x:f>
        <x:v>0</x:v>
      </x:c>
      <x:c r="J348" s="58" t="str"/>
      <x:c r="K348" s="14" t="str"/>
      <x:c r="L348" s="14" t="str"/>
      <x:c r="M348" s="14" t="str"/>
      <x:c r="N348" s="14" t="str"/>
      <x:c r="O348" s="14" t="str"/>
      <x:c r="P348" s="58" t="str"/>
      <x:c r="Q348" s="14" t="str"/>
    </x:row>
    <x:row r="349">
      <x:c r="A349" s="14" t="str">
        <x:v>VATM-0348</x:v>
      </x:c>
      <x:c r="B349" s="14" t="str">
        <x:v>An toàn hàng không / SMS</x:v>
      </x:c>
      <x:c r="C349" s="14" t="str">
        <x:v>Báo cáo MOR, sự cố và điều tra</x:v>
      </x:c>
      <x:c r="D349" s="14" t="str">
        <x:v>Va chạm với vật ngoại lai gây hư hỏng cho tàu bay.</x:v>
      </x:c>
      <x:c r="E349" s="14" t="str">
        <x:v>Ban An toàn - Chất lượng</x:v>
      </x:c>
      <x:c r="F349" s="14" t="str">
        <x:v>P2</x:v>
      </x:c>
      <x:c r="G349" s="14" t="str">
        <x:v>24 giờ</x:v>
      </x:c>
      <x:c r="H349" s="14" t="str">
        <x:v>Chưa bắt đầu</x:v>
      </x:c>
      <x:c r="I349" s="20" t="n">
        <x:f>IF(H349="Hoàn thành",100%,IF(H349="Không áp dụng",100%,IF(H349="Đang thực hiện",50%,IF(H349="Đang chờ phối hợp",25%,0%))))</x:f>
        <x:v>0</x:v>
      </x:c>
      <x:c r="J349" s="58" t="str"/>
      <x:c r="K349" s="14" t="str"/>
      <x:c r="L349" s="14" t="str"/>
      <x:c r="M349" s="14" t="str"/>
      <x:c r="N349" s="14" t="str"/>
      <x:c r="O349" s="14" t="str"/>
      <x:c r="P349" s="58" t="str"/>
      <x:c r="Q349" s="14" t="str"/>
    </x:row>
    <x:row r="350">
      <x:c r="A350" s="14" t="str">
        <x:v>VATM-0349</x:v>
      </x:c>
      <x:c r="B350" s="14" t="str">
        <x:v>An toàn hàng không / SMS</x:v>
      </x:c>
      <x:c r="C350" s="14" t="str">
        <x:v>Báo cáo MOR, sự cố và điều tra</x:v>
      </x:c>
      <x:c r="D350" s="14" t="str">
        <x:v>Phát hiện vật ngoại lai tại đường cất hạ cánh, đường lăn, sân đỗ tàu bay gây nguy hiểm hoặc nguy cơ gây nguy hiểm.</x:v>
      </x:c>
      <x:c r="E350" s="14" t="str">
        <x:v>Ban An toàn - Chất lượng</x:v>
      </x:c>
      <x:c r="F350" s="14" t="str">
        <x:v>P2</x:v>
      </x:c>
      <x:c r="G350" s="14" t="str">
        <x:v>24 giờ</x:v>
      </x:c>
      <x:c r="H350" s="14" t="str">
        <x:v>Chưa bắt đầu</x:v>
      </x:c>
      <x:c r="I350" s="20" t="n">
        <x:f>IF(H350="Hoàn thành",100%,IF(H350="Không áp dụng",100%,IF(H350="Đang thực hiện",50%,IF(H350="Đang chờ phối hợp",25%,0%))))</x:f>
        <x:v>0</x:v>
      </x:c>
      <x:c r="J350" s="58" t="str"/>
      <x:c r="K350" s="14" t="str"/>
      <x:c r="L350" s="14" t="str"/>
      <x:c r="M350" s="14" t="str"/>
      <x:c r="N350" s="14" t="str"/>
      <x:c r="O350" s="14" t="str"/>
      <x:c r="P350" s="58" t="str"/>
      <x:c r="Q350" s="14" t="str"/>
    </x:row>
    <x:row r="351">
      <x:c r="A351" s="14" t="str">
        <x:v>VATM-0350</x:v>
      </x:c>
      <x:c r="B351" s="14" t="str">
        <x:v>An toàn hàng không / SMS</x:v>
      </x:c>
      <x:c r="C351" s="14" t="str">
        <x:v>Báo cáo MOR, sự cố và điều tra</x:v>
      </x:c>
      <x:c r="D351" s="14" t="str">
        <x:v>Tàu bay va chạm chim, động vật hoang dã, vật nuôi.</x:v>
      </x:c>
      <x:c r="E351" s="14" t="str">
        <x:v>Ban An toàn - Chất lượng</x:v>
      </x:c>
      <x:c r="F351" s="14" t="str">
        <x:v>P2</x:v>
      </x:c>
      <x:c r="G351" s="14" t="str">
        <x:v>24 giờ</x:v>
      </x:c>
      <x:c r="H351" s="14" t="str">
        <x:v>Chưa bắt đầu</x:v>
      </x:c>
      <x:c r="I351" s="20" t="n">
        <x:f>IF(H351="Hoàn thành",100%,IF(H351="Không áp dụng",100%,IF(H351="Đang thực hiện",50%,IF(H351="Đang chờ phối hợp",25%,0%))))</x:f>
        <x:v>0</x:v>
      </x:c>
      <x:c r="J351" s="58" t="str"/>
      <x:c r="K351" s="14" t="str"/>
      <x:c r="L351" s="14" t="str"/>
      <x:c r="M351" s="14" t="str"/>
      <x:c r="N351" s="14" t="str"/>
      <x:c r="O351" s="14" t="str"/>
      <x:c r="P351" s="58" t="str"/>
      <x:c r="Q351" s="14" t="str"/>
    </x:row>
    <x:row r="352">
      <x:c r="A352" s="14" t="str">
        <x:v>VATM-0351</x:v>
      </x:c>
      <x:c r="B352" s="14" t="str">
        <x:v>An toàn hàng không / SMS</x:v>
      </x:c>
      <x:c r="C352" s="14" t="str">
        <x:v>Báo cáo MOR, sự cố và điều tra</x:v>
      </x:c>
      <x:c r="D352" s="14" t="str">
        <x:v>Cung cấp thông tin không chính xác, không đầy đủ hoặc nhầm lẫn về số hiệu chuyến bay, sai vị trí đỗ tàu bay.</x:v>
      </x:c>
      <x:c r="E352" s="14" t="str">
        <x:v>Ban An toàn - Chất lượng</x:v>
      </x:c>
      <x:c r="F352" s="14" t="str">
        <x:v>P2</x:v>
      </x:c>
      <x:c r="G352" s="14" t="str">
        <x:v>24 giờ</x:v>
      </x:c>
      <x:c r="H352" s="14" t="str">
        <x:v>Chưa bắt đầu</x:v>
      </x:c>
      <x:c r="I352" s="20" t="n">
        <x:f>IF(H352="Hoàn thành",100%,IF(H352="Không áp dụng",100%,IF(H352="Đang thực hiện",50%,IF(H352="Đang chờ phối hợp",25%,0%))))</x:f>
        <x:v>0</x:v>
      </x:c>
      <x:c r="J352" s="58" t="str"/>
      <x:c r="K352" s="14" t="str"/>
      <x:c r="L352" s="14" t="str"/>
      <x:c r="M352" s="14" t="str"/>
      <x:c r="N352" s="14" t="str"/>
      <x:c r="O352" s="14" t="str"/>
      <x:c r="P352" s="58" t="str"/>
      <x:c r="Q352" s="14" t="str"/>
    </x:row>
    <x:row r="353">
      <x:c r="A353" s="14" t="str">
        <x:v>VATM-0352</x:v>
      </x:c>
      <x:c r="B353" s="14" t="str">
        <x:v>An toàn hàng không / SMS</x:v>
      </x:c>
      <x:c r="C353" s="14" t="str">
        <x:v>Báo cáo MOR, sự cố và điều tra</x:v>
      </x:c>
      <x:c r="D353" s="14" t="str">
        <x:v>Sự cố kỹ thuật hoặc xuống cấp của công trình trong sân bay; hệ thống chiếu sáng sân đỗ; VDGS; thiết bị dẫn đường hoạt động bay, CNS, khí tượng, thông báo tin tức hoạt động bay dẫn đến dịch vụ BĐHĐB bị gián đoạn.</x:v>
      </x:c>
      <x:c r="E353" s="14" t="str">
        <x:v>Ban An toàn - Chất lượng</x:v>
      </x:c>
      <x:c r="F353" s="14" t="str">
        <x:v>P2</x:v>
      </x:c>
      <x:c r="G353" s="14" t="str">
        <x:v>24 giờ</x:v>
      </x:c>
      <x:c r="H353" s="14" t="str">
        <x:v>Chưa bắt đầu</x:v>
      </x:c>
      <x:c r="I353" s="20" t="n">
        <x:f>IF(H353="Hoàn thành",100%,IF(H353="Không áp dụng",100%,IF(H353="Đang thực hiện",50%,IF(H353="Đang chờ phối hợp",25%,0%))))</x:f>
        <x:v>0</x:v>
      </x:c>
      <x:c r="J353" s="58" t="str"/>
      <x:c r="K353" s="14" t="str"/>
      <x:c r="L353" s="14" t="str"/>
      <x:c r="M353" s="14" t="str"/>
      <x:c r="N353" s="14" t="str"/>
      <x:c r="O353" s="14" t="str"/>
      <x:c r="P353" s="58" t="str"/>
      <x:c r="Q353" s="14" t="str"/>
    </x:row>
    <x:row r="354">
      <x:c r="A354" s="14" t="str">
        <x:v>VATM-0353</x:v>
      </x:c>
      <x:c r="B354" s="14" t="str">
        <x:v>An toàn hàng không / SMS</x:v>
      </x:c>
      <x:c r="C354" s="14" t="str">
        <x:v>Báo cáo MOR, sự cố và điều tra</x:v>
      </x:c>
      <x:c r="D354" s="14" t="str">
        <x:v>Người, phương tiện, thiết bị di chuyển vi phạm khoảng cách an toàn đối với tàu bay tại đường lăn/sân đỗ.</x:v>
      </x:c>
      <x:c r="E354" s="14" t="str">
        <x:v>Ban An toàn - Chất lượng</x:v>
      </x:c>
      <x:c r="F354" s="14" t="str">
        <x:v>P2</x:v>
      </x:c>
      <x:c r="G354" s="14" t="str">
        <x:v>24 giờ</x:v>
      </x:c>
      <x:c r="H354" s="14" t="str">
        <x:v>Chưa bắt đầu</x:v>
      </x:c>
      <x:c r="I354" s="20" t="n">
        <x:f>IF(H354="Hoàn thành",100%,IF(H354="Không áp dụng",100%,IF(H354="Đang thực hiện",50%,IF(H354="Đang chờ phối hợp",25%,0%))))</x:f>
        <x:v>0</x:v>
      </x:c>
      <x:c r="J354" s="58" t="str"/>
      <x:c r="K354" s="14" t="str"/>
      <x:c r="L354" s="14" t="str"/>
      <x:c r="M354" s="14" t="str"/>
      <x:c r="N354" s="14" t="str"/>
      <x:c r="O354" s="14" t="str"/>
      <x:c r="P354" s="58" t="str"/>
      <x:c r="Q354" s="14" t="str"/>
    </x:row>
    <x:row r="355">
      <x:c r="A355" s="14" t="str">
        <x:v>VATM-0354</x:v>
      </x:c>
      <x:c r="B355" s="14" t="str">
        <x:v>An toàn hàng không / SMS</x:v>
      </x:c>
      <x:c r="C355" s="14" t="str">
        <x:v>Báo cáo MOR, sự cố và điều tra</x:v>
      </x:c>
      <x:c r="D355" s="14" t="str">
        <x:v>Chướng ngại vật tại sân bay hoặc khu vực lân cận không được công bố trong AIP/NOTAM hoặc không được đánh dấu/chiếu sáng đúng quy định.</x:v>
      </x:c>
      <x:c r="E355" s="14" t="str">
        <x:v>Ban An toàn - Chất lượng</x:v>
      </x:c>
      <x:c r="F355" s="14" t="str">
        <x:v>P2</x:v>
      </x:c>
      <x:c r="G355" s="14" t="str">
        <x:v>24 giờ</x:v>
      </x:c>
      <x:c r="H355" s="14" t="str">
        <x:v>Chưa bắt đầu</x:v>
      </x:c>
      <x:c r="I355" s="20" t="n">
        <x:f>IF(H355="Hoàn thành",100%,IF(H355="Không áp dụng",100%,IF(H355="Đang thực hiện",50%,IF(H355="Đang chờ phối hợp",25%,0%))))</x:f>
        <x:v>0</x:v>
      </x:c>
      <x:c r="J355" s="58" t="str"/>
      <x:c r="K355" s="14" t="str"/>
      <x:c r="L355" s="14" t="str"/>
      <x:c r="M355" s="14" t="str"/>
      <x:c r="N355" s="14" t="str"/>
      <x:c r="O355" s="14" t="str"/>
      <x:c r="P355" s="58" t="str"/>
      <x:c r="Q355" s="14" t="str"/>
    </x:row>
    <x:row r="356">
      <x:c r="A356" s="14" t="str">
        <x:v>VATM-0355</x:v>
      </x:c>
      <x:c r="B356" s="14" t="str">
        <x:v>An toàn hàng không / SMS</x:v>
      </x:c>
      <x:c r="C356" s="14" t="str">
        <x:v>Báo cáo MOR, sự cố và điều tra</x:v>
      </x:c>
      <x:c r="D356" s="14" t="str">
        <x:v>Vi phạm tiêu chuẩn phân cách tối thiểu giữa tàu bay, khoảng cách tối thiểu giữa tàu bay và phương tiện trên đường lăn/sân đỗ.</x:v>
      </x:c>
      <x:c r="E356" s="14" t="str">
        <x:v>Ban An toàn - Chất lượng</x:v>
      </x:c>
      <x:c r="F356" s="14" t="str">
        <x:v>P2</x:v>
      </x:c>
      <x:c r="G356" s="14" t="str">
        <x:v>24 giờ</x:v>
      </x:c>
      <x:c r="H356" s="14" t="str">
        <x:v>Chưa bắt đầu</x:v>
      </x:c>
      <x:c r="I356" s="20" t="n">
        <x:f>IF(H356="Hoàn thành",100%,IF(H356="Không áp dụng",100%,IF(H356="Đang thực hiện",50%,IF(H356="Đang chờ phối hợp",25%,0%))))</x:f>
        <x:v>0</x:v>
      </x:c>
      <x:c r="J356" s="58" t="str"/>
      <x:c r="K356" s="14" t="str"/>
      <x:c r="L356" s="14" t="str"/>
      <x:c r="M356" s="14" t="str"/>
      <x:c r="N356" s="14" t="str"/>
      <x:c r="O356" s="14" t="str"/>
      <x:c r="P356" s="58" t="str"/>
      <x:c r="Q356" s="14" t="str"/>
    </x:row>
    <x:row r="357">
      <x:c r="A357" s="14" t="str">
        <x:v>VATM-0356</x:v>
      </x:c>
      <x:c r="B357" s="14" t="str">
        <x:v>An toàn hàng không / SMS</x:v>
      </x:c>
      <x:c r="C357" s="14" t="str">
        <x:v>Báo cáo MOR, sự cố và điều tra</x:v>
      </x:c>
      <x:c r="D357" s="14" t="str">
        <x:v>Tàu bay phải bay lại, đình chỉ cất cánh hoặc tiếp cận hạ cánh do chướng ngại vật/vật ngoại lai trên đường cất hạ cánh.</x:v>
      </x:c>
      <x:c r="E357" s="14" t="str">
        <x:v>Ban An toàn - Chất lượng</x:v>
      </x:c>
      <x:c r="F357" s="14" t="str">
        <x:v>P2</x:v>
      </x:c>
      <x:c r="G357" s="14" t="str">
        <x:v>24 giờ</x:v>
      </x:c>
      <x:c r="H357" s="14" t="str">
        <x:v>Chưa bắt đầu</x:v>
      </x:c>
      <x:c r="I357" s="20" t="n">
        <x:f>IF(H357="Hoàn thành",100%,IF(H357="Không áp dụng",100%,IF(H357="Đang thực hiện",50%,IF(H357="Đang chờ phối hợp",25%,0%))))</x:f>
        <x:v>0</x:v>
      </x:c>
      <x:c r="J357" s="58" t="str"/>
      <x:c r="K357" s="14" t="str"/>
      <x:c r="L357" s="14" t="str"/>
      <x:c r="M357" s="14" t="str"/>
      <x:c r="N357" s="14" t="str"/>
      <x:c r="O357" s="14" t="str"/>
      <x:c r="P357" s="58" t="str"/>
      <x:c r="Q357" s="14" t="str"/>
    </x:row>
    <x:row r="358">
      <x:c r="A358" s="14" t="str">
        <x:v>VATM-0357</x:v>
      </x:c>
      <x:c r="B358" s="14" t="str">
        <x:v>An toàn hàng không / SMS</x:v>
      </x:c>
      <x:c r="C358" s="14" t="str">
        <x:v>Báo cáo MOR, sự cố và điều tra</x:v>
      </x:c>
      <x:c r="D358" s="14" t="str">
        <x:v>Lỗi cảnh báo hoặc cảnh báo chưa đầy đủ về chướng ngại vật, vật ngoại lai hoặc nguy hiểm trong sân bay gây mất an toàn.</x:v>
      </x:c>
      <x:c r="E358" s="14" t="str">
        <x:v>Ban An toàn - Chất lượng</x:v>
      </x:c>
      <x:c r="F358" s="14" t="str">
        <x:v>P2</x:v>
      </x:c>
      <x:c r="G358" s="14" t="str">
        <x:v>24 giờ</x:v>
      </x:c>
      <x:c r="H358" s="14" t="str">
        <x:v>Chưa bắt đầu</x:v>
      </x:c>
      <x:c r="I358" s="20" t="n">
        <x:f>IF(H358="Hoàn thành",100%,IF(H358="Không áp dụng",100%,IF(H358="Đang thực hiện",50%,IF(H358="Đang chờ phối hợp",25%,0%))))</x:f>
        <x:v>0</x:v>
      </x:c>
      <x:c r="J358" s="58" t="str"/>
      <x:c r="K358" s="14" t="str"/>
      <x:c r="L358" s="14" t="str"/>
      <x:c r="M358" s="14" t="str"/>
      <x:c r="N358" s="14" t="str"/>
      <x:c r="O358" s="14" t="str"/>
      <x:c r="P358" s="58" t="str"/>
      <x:c r="Q358" s="14" t="str"/>
    </x:row>
    <x:row r="359">
      <x:c r="A359" s="14" t="str">
        <x:v>VATM-0358</x:v>
      </x:c>
      <x:c r="B359" s="14" t="str">
        <x:v>An toàn hàng không / SMS</x:v>
      </x:c>
      <x:c r="C359" s="14" t="str">
        <x:v>Báo cáo MOR, sự cố và điều tra</x:v>
      </x:c>
      <x:c r="D359" s="14" t="str">
        <x:v>Can nhiễu tần số vô tuyến điện hàng không ảnh hưởng đến công tác điều hành bay, hoạt động bay.</x:v>
      </x:c>
      <x:c r="E359" s="14" t="str">
        <x:v>Ban An toàn - Chất lượng</x:v>
      </x:c>
      <x:c r="F359" s="14" t="str">
        <x:v>P2</x:v>
      </x:c>
      <x:c r="G359" s="14" t="str">
        <x:v>24 giờ</x:v>
      </x:c>
      <x:c r="H359" s="14" t="str">
        <x:v>Chưa bắt đầu</x:v>
      </x:c>
      <x:c r="I359" s="20" t="n">
        <x:f>IF(H359="Hoàn thành",100%,IF(H359="Không áp dụng",100%,IF(H359="Đang thực hiện",50%,IF(H359="Đang chờ phối hợp",25%,0%))))</x:f>
        <x:v>0</x:v>
      </x:c>
      <x:c r="J359" s="58" t="str"/>
      <x:c r="K359" s="14" t="str"/>
      <x:c r="L359" s="14" t="str"/>
      <x:c r="M359" s="14" t="str"/>
      <x:c r="N359" s="14" t="str"/>
      <x:c r="O359" s="14" t="str"/>
      <x:c r="P359" s="58" t="str"/>
      <x:c r="Q359" s="14" t="str"/>
    </x:row>
    <x:row r="360">
      <x:c r="A360" s="14" t="str">
        <x:v>VATM-0359</x:v>
      </x:c>
      <x:c r="B360" s="14" t="str">
        <x:v>An toàn hàng không / SMS</x:v>
      </x:c>
      <x:c r="C360" s="14" t="str">
        <x:v>Báo cáo MOR, sự cố và điều tra</x:v>
      </x:c>
      <x:c r="D360" s="14" t="str">
        <x:v>Phát hiện laser, thiết bị, vật dụng hoặc vật thể khác trong không trung ảnh hưởng đến an toàn bay.</x:v>
      </x:c>
      <x:c r="E360" s="14" t="str">
        <x:v>Ban An toàn - Chất lượng</x:v>
      </x:c>
      <x:c r="F360" s="14" t="str">
        <x:v>P2</x:v>
      </x:c>
      <x:c r="G360" s="14" t="str">
        <x:v>24 giờ</x:v>
      </x:c>
      <x:c r="H360" s="14" t="str">
        <x:v>Chưa bắt đầu</x:v>
      </x:c>
      <x:c r="I360" s="20" t="n">
        <x:f>IF(H360="Hoàn thành",100%,IF(H360="Không áp dụng",100%,IF(H360="Đang thực hiện",50%,IF(H360="Đang chờ phối hợp",25%,0%))))</x:f>
        <x:v>0</x:v>
      </x:c>
      <x:c r="J360" s="58" t="str"/>
      <x:c r="K360" s="14" t="str"/>
      <x:c r="L360" s="14" t="str"/>
      <x:c r="M360" s="14" t="str"/>
      <x:c r="N360" s="14" t="str"/>
      <x:c r="O360" s="14" t="str"/>
      <x:c r="P360" s="58" t="str"/>
      <x:c r="Q360" s="14" t="str"/>
    </x:row>
    <x:row r="361">
      <x:c r="A361" s="14" t="str">
        <x:v>VATM-0360</x:v>
      </x:c>
      <x:c r="B361" s="14" t="str">
        <x:v>An toàn hàng không / SMS</x:v>
      </x:c>
      <x:c r="C361" s="14" t="str">
        <x:v>Báo cáo MOR, sự cố và điều tra</x:v>
      </x:c>
      <x:c r="D361" s="14" t="str">
        <x:v>Sự cố cháy, nổ, khói tại cảng hàng không ảnh hưởng đến cung cấp dịch vụ hàng không/hoạt động bay; gây hư hỏng công trình, phương tiện, thiết bị, tàu bay hoặc nguy hiểm cho người trong sân bay.</x:v>
      </x:c>
      <x:c r="E361" s="14" t="str">
        <x:v>Ban An toàn - Chất lượng</x:v>
      </x:c>
      <x:c r="F361" s="14" t="str">
        <x:v>P2</x:v>
      </x:c>
      <x:c r="G361" s="14" t="str">
        <x:v>24 giờ</x:v>
      </x:c>
      <x:c r="H361" s="14" t="str">
        <x:v>Chưa bắt đầu</x:v>
      </x:c>
      <x:c r="I361" s="20" t="n">
        <x:f>IF(H361="Hoàn thành",100%,IF(H361="Không áp dụng",100%,IF(H361="Đang thực hiện",50%,IF(H361="Đang chờ phối hợp",25%,0%))))</x:f>
        <x:v>0</x:v>
      </x:c>
      <x:c r="J361" s="58" t="str"/>
      <x:c r="K361" s="14" t="str"/>
      <x:c r="L361" s="14" t="str"/>
      <x:c r="M361" s="14" t="str"/>
      <x:c r="N361" s="14" t="str"/>
      <x:c r="O361" s="14" t="str"/>
      <x:c r="P361" s="58" t="str"/>
      <x:c r="Q361" s="14" t="str"/>
    </x:row>
    <x:row r="362">
      <x:c r="A362" s="14" t="str">
        <x:v>VATM-0361</x:v>
      </x:c>
      <x:c r="B362" s="14" t="str">
        <x:v>An toàn hàng không / SMS</x:v>
      </x:c>
      <x:c r="C362" s="14" t="str">
        <x:v>Báo cáo MOR, sự cố và điều tra</x:v>
      </x:c>
      <x:c r="D362" s="14" t="str">
        <x:v>Sự cố do thiên tai, lụt, bão làm hư hỏng công trình trong sân bay, tàu bay, phương tiện, thiết bị dẫn đến ảnh hưởng hoặc có thể gây gián đoạn cung cấp dịch vụ hàng không tại cảng hàng không.</x:v>
      </x:c>
      <x:c r="E362" s="14" t="str">
        <x:v>Ban An toàn - Chất lượng</x:v>
      </x:c>
      <x:c r="F362" s="14" t="str">
        <x:v>P2</x:v>
      </x:c>
      <x:c r="G362" s="14" t="str">
        <x:v>24 giờ</x:v>
      </x:c>
      <x:c r="H362" s="14" t="str">
        <x:v>Chưa bắt đầu</x:v>
      </x:c>
      <x:c r="I362" s="20" t="n">
        <x:f>IF(H362="Hoàn thành",100%,IF(H362="Không áp dụng",100%,IF(H362="Đang thực hiện",50%,IF(H362="Đang chờ phối hợp",25%,0%))))</x:f>
        <x:v>0</x:v>
      </x:c>
      <x:c r="J362" s="58" t="str"/>
      <x:c r="K362" s="14" t="str"/>
      <x:c r="L362" s="14" t="str"/>
      <x:c r="M362" s="14" t="str"/>
      <x:c r="N362" s="14" t="str"/>
      <x:c r="O362" s="14" t="str"/>
      <x:c r="P362" s="58" t="str"/>
      <x:c r="Q362" s="14" t="str"/>
    </x:row>
    <x:row r="363">
      <x:c r="A363" s="14" t="str">
        <x:v>VATM-0362</x:v>
      </x:c>
      <x:c r="B363" s="14" t="str">
        <x:v>An toàn hàng không / SMS</x:v>
      </x:c>
      <x:c r="C363" s="14" t="str">
        <x:v>Báo cáo MOR, sự cố và điều tra</x:v>
      </x:c>
      <x:c r="D363" s="14" t="str">
        <x:v>Người xâm nhập trái phép vào sân bay.</x:v>
      </x:c>
      <x:c r="E363" s="14" t="str">
        <x:v>Ban An toàn - Chất lượng</x:v>
      </x:c>
      <x:c r="F363" s="14" t="str">
        <x:v>P2</x:v>
      </x:c>
      <x:c r="G363" s="14" t="str">
        <x:v>24 giờ</x:v>
      </x:c>
      <x:c r="H363" s="14" t="str">
        <x:v>Chưa bắt đầu</x:v>
      </x:c>
      <x:c r="I363" s="20" t="n">
        <x:f>IF(H363="Hoàn thành",100%,IF(H363="Không áp dụng",100%,IF(H363="Đang thực hiện",50%,IF(H363="Đang chờ phối hợp",25%,0%))))</x:f>
        <x:v>0</x:v>
      </x:c>
      <x:c r="J363" s="58" t="str"/>
      <x:c r="K363" s="14" t="str"/>
      <x:c r="L363" s="14" t="str"/>
      <x:c r="M363" s="14" t="str"/>
      <x:c r="N363" s="14" t="str"/>
      <x:c r="O363" s="14" t="str"/>
      <x:c r="P363" s="58" t="str"/>
      <x:c r="Q363" s="14" t="str"/>
    </x:row>
    <x:row r="364">
      <x:c r="A364" s="14" t="str">
        <x:v>VATM-0363</x:v>
      </x:c>
      <x:c r="B364" s="14" t="str">
        <x:v>An toàn hàng không / SMS</x:v>
      </x:c>
      <x:c r="C364" s="14" t="str">
        <x:v>Báo cáo MOR, sự cố và điều tra</x:v>
      </x:c>
      <x:c r="D364" s="14" t="str">
        <x:v>Sự cố dẫn đến công bố khẩn nguy sân bay.</x:v>
      </x:c>
      <x:c r="E364" s="14" t="str">
        <x:v>Ban An toàn - Chất lượng</x:v>
      </x:c>
      <x:c r="F364" s="14" t="str">
        <x:v>P2</x:v>
      </x:c>
      <x:c r="G364" s="14" t="str">
        <x:v>24 giờ</x:v>
      </x:c>
      <x:c r="H364" s="14" t="str">
        <x:v>Chưa bắt đầu</x:v>
      </x:c>
      <x:c r="I364" s="20" t="n">
        <x:f>IF(H364="Hoàn thành",100%,IF(H364="Không áp dụng",100%,IF(H364="Đang thực hiện",50%,IF(H364="Đang chờ phối hợp",25%,0%))))</x:f>
        <x:v>0</x:v>
      </x:c>
      <x:c r="J364" s="58" t="str"/>
      <x:c r="K364" s="14" t="str"/>
      <x:c r="L364" s="14" t="str"/>
      <x:c r="M364" s="14" t="str"/>
      <x:c r="N364" s="14" t="str"/>
      <x:c r="O364" s="14" t="str"/>
      <x:c r="P364" s="58" t="str"/>
      <x:c r="Q364" s="14" t="str"/>
    </x:row>
    <x:row r="365">
      <x:c r="A365" s="14" t="str">
        <x:v>VATM-0364</x:v>
      </x:c>
      <x:c r="B365" s="14" t="str">
        <x:v>An toàn hàng không / SMS</x:v>
      </x:c>
      <x:c r="C365" s="14" t="str">
        <x:v>Báo cáo MOR, sự cố và điều tra</x:v>
      </x:c>
      <x:c r="D365" s="14" t="str">
        <x:v>Mất hoặc gián đoạn liên lạc giữa người, phương tiện với Đài kiểm soát tại sân bay.</x:v>
      </x:c>
      <x:c r="E365" s="14" t="str">
        <x:v>Ban An toàn - Chất lượng</x:v>
      </x:c>
      <x:c r="F365" s="14" t="str">
        <x:v>P2</x:v>
      </x:c>
      <x:c r="G365" s="14" t="str">
        <x:v>24 giờ</x:v>
      </x:c>
      <x:c r="H365" s="14" t="str">
        <x:v>Chưa bắt đầu</x:v>
      </x:c>
      <x:c r="I365" s="20" t="n">
        <x:f>IF(H365="Hoàn thành",100%,IF(H365="Không áp dụng",100%,IF(H365="Đang thực hiện",50%,IF(H365="Đang chờ phối hợp",25%,0%))))</x:f>
        <x:v>0</x:v>
      </x:c>
      <x:c r="J365" s="58" t="str"/>
      <x:c r="K365" s="14" t="str"/>
      <x:c r="L365" s="14" t="str"/>
      <x:c r="M365" s="14" t="str"/>
      <x:c r="N365" s="14" t="str"/>
      <x:c r="O365" s="14" t="str"/>
      <x:c r="P365" s="58" t="str"/>
      <x:c r="Q365" s="14" t="str"/>
    </x:row>
    <x:row r="366">
      <x:c r="A366" s="14" t="str">
        <x:v>VATM-0365</x:v>
      </x:c>
      <x:c r="B366" s="14" t="str">
        <x:v>An toàn hàng không / SMS</x:v>
      </x:c>
      <x:c r="C366" s="14" t="str">
        <x:v>Báo cáo MOR, sự cố và điều tra</x:v>
      </x:c>
      <x:c r="D366" s="14" t="str">
        <x:v>Nhân viên hàng không bị thương khi thực hiện nhiệm vụ.</x:v>
      </x:c>
      <x:c r="E366" s="14" t="str">
        <x:v>Ban An toàn - Chất lượng</x:v>
      </x:c>
      <x:c r="F366" s="14" t="str">
        <x:v>P2</x:v>
      </x:c>
      <x:c r="G366" s="14" t="str">
        <x:v>24 giờ</x:v>
      </x:c>
      <x:c r="H366" s="14" t="str">
        <x:v>Chưa bắt đầu</x:v>
      </x:c>
      <x:c r="I366" s="20" t="n">
        <x:f>IF(H366="Hoàn thành",100%,IF(H366="Không áp dụng",100%,IF(H366="Đang thực hiện",50%,IF(H366="Đang chờ phối hợp",25%,0%))))</x:f>
        <x:v>0</x:v>
      </x:c>
      <x:c r="J366" s="58" t="str"/>
      <x:c r="K366" s="14" t="str"/>
      <x:c r="L366" s="14" t="str"/>
      <x:c r="M366" s="14" t="str"/>
      <x:c r="N366" s="14" t="str"/>
      <x:c r="O366" s="14" t="str"/>
      <x:c r="P366" s="58" t="str"/>
      <x:c r="Q366" s="14" t="str"/>
    </x:row>
    <x:row r="367">
      <x:c r="A367" s="14" t="str">
        <x:v>VATM-0366</x:v>
      </x:c>
      <x:c r="B367" s="14" t="str">
        <x:v>An toàn hàng không / SMS</x:v>
      </x:c>
      <x:c r="C367" s="14" t="str">
        <x:v>Báo cáo MOR, sự cố và điều tra</x:v>
      </x:c>
      <x:c r="D367" s="14" t="str">
        <x:v>Chim, động vật hoang dã, vật nuôi xâm nhập khu vực sân bay/khu vực lân cận trong phạm vi 13km từ điểm quy chiếu sân bay gây ảnh hưởng trực tiếp đến an toàn khai thác tàu bay.</x:v>
      </x:c>
      <x:c r="E367" s="14" t="str">
        <x:v>Ban An toàn - Chất lượng</x:v>
      </x:c>
      <x:c r="F367" s="14" t="str">
        <x:v>P2</x:v>
      </x:c>
      <x:c r="G367" s="14" t="str">
        <x:v>24 giờ</x:v>
      </x:c>
      <x:c r="H367" s="14" t="str">
        <x:v>Chưa bắt đầu</x:v>
      </x:c>
      <x:c r="I367" s="20" t="n">
        <x:f>IF(H367="Hoàn thành",100%,IF(H367="Không áp dụng",100%,IF(H367="Đang thực hiện",50%,IF(H367="Đang chờ phối hợp",25%,0%))))</x:f>
        <x:v>0</x:v>
      </x:c>
      <x:c r="J367" s="58" t="str"/>
      <x:c r="K367" s="14" t="str"/>
      <x:c r="L367" s="14" t="str"/>
      <x:c r="M367" s="14" t="str"/>
      <x:c r="N367" s="14" t="str"/>
      <x:c r="O367" s="14" t="str"/>
      <x:c r="P367" s="58" t="str"/>
      <x:c r="Q367" s="14" t="str"/>
    </x:row>
    <x:row r="368">
      <x:c r="A368" s="14" t="str">
        <x:v>VATM-0367</x:v>
      </x:c>
      <x:c r="B368" s="14" t="str">
        <x:v>An toàn hàng không / SMS</x:v>
      </x:c>
      <x:c r="C368" s="14" t="str">
        <x:v>Báo cáo MOR, sự cố và điều tra</x:v>
      </x:c>
      <x:c r="D368" s="14" t="str">
        <x:v>Va chạm hoặc nguy cơ va chạm giữa phương tiện, thiết bị với tàu bay, người, phương tiện, thiết bị, công trình trong sân đỗ tàu bay.</x:v>
      </x:c>
      <x:c r="E368" s="14" t="str">
        <x:v>Ban An toàn - Chất lượng</x:v>
      </x:c>
      <x:c r="F368" s="14" t="str">
        <x:v>P2</x:v>
      </x:c>
      <x:c r="G368" s="14" t="str">
        <x:v>24 giờ</x:v>
      </x:c>
      <x:c r="H368" s="14" t="str">
        <x:v>Chưa bắt đầu</x:v>
      </x:c>
      <x:c r="I368" s="20" t="n">
        <x:f>IF(H368="Hoàn thành",100%,IF(H368="Không áp dụng",100%,IF(H368="Đang thực hiện",50%,IF(H368="Đang chờ phối hợp",25%,0%))))</x:f>
        <x:v>0</x:v>
      </x:c>
      <x:c r="J368" s="58" t="str"/>
      <x:c r="K368" s="14" t="str"/>
      <x:c r="L368" s="14" t="str"/>
      <x:c r="M368" s="14" t="str"/>
      <x:c r="N368" s="14" t="str"/>
      <x:c r="O368" s="14" t="str"/>
      <x:c r="P368" s="58" t="str"/>
      <x:c r="Q368" s="14" t="str"/>
    </x:row>
    <x:row r="369">
      <x:c r="A369" s="14" t="str">
        <x:v>VATM-0368</x:v>
      </x:c>
      <x:c r="B369" s="14" t="str">
        <x:v>An toàn hàng không / SMS</x:v>
      </x:c>
      <x:c r="C369" s="14" t="str">
        <x:v>Báo cáo MOR, sự cố và điều tra</x:v>
      </x:c>
      <x:c r="D369" s="14" t="str">
        <x:v>Người và phương tiện xâm nhập trái phép đường CHC, đường lăn.</x:v>
      </x:c>
      <x:c r="E369" s="14" t="str">
        <x:v>Ban An toàn - Chất lượng</x:v>
      </x:c>
      <x:c r="F369" s="14" t="str">
        <x:v>P2</x:v>
      </x:c>
      <x:c r="G369" s="14" t="str">
        <x:v>24 giờ</x:v>
      </x:c>
      <x:c r="H369" s="14" t="str">
        <x:v>Chưa bắt đầu</x:v>
      </x:c>
      <x:c r="I369" s="20" t="n">
        <x:f>IF(H369="Hoàn thành",100%,IF(H369="Không áp dụng",100%,IF(H369="Đang thực hiện",50%,IF(H369="Đang chờ phối hợp",25%,0%))))</x:f>
        <x:v>0</x:v>
      </x:c>
      <x:c r="J369" s="58" t="str"/>
      <x:c r="K369" s="14" t="str"/>
      <x:c r="L369" s="14" t="str"/>
      <x:c r="M369" s="14" t="str"/>
      <x:c r="N369" s="14" t="str"/>
      <x:c r="O369" s="14" t="str"/>
      <x:c r="P369" s="58" t="str"/>
      <x:c r="Q369" s="14" t="str"/>
    </x:row>
    <x:row r="370">
      <x:c r="A370" s="14" t="str">
        <x:v>VATM-0369</x:v>
      </x:c>
      <x:c r="B370" s="14" t="str">
        <x:v>An toàn hàng không / SMS</x:v>
      </x:c>
      <x:c r="C370" s="14" t="str">
        <x:v>Báo cáo MOR, sự cố và điều tra</x:v>
      </x:c>
      <x:c r="D370" s="14" t="str">
        <x:v>Tàu bay xông ra ngoài đường CHC, đường lăn do người, phương tiện xâm nhập trái phép đường CHC, đường lăn.</x:v>
      </x:c>
      <x:c r="E370" s="14" t="str">
        <x:v>Ban An toàn - Chất lượng</x:v>
      </x:c>
      <x:c r="F370" s="14" t="str">
        <x:v>P2</x:v>
      </x:c>
      <x:c r="G370" s="14" t="str">
        <x:v>24 giờ</x:v>
      </x:c>
      <x:c r="H370" s="14" t="str">
        <x:v>Chưa bắt đầu</x:v>
      </x:c>
      <x:c r="I370" s="20" t="n">
        <x:f>IF(H370="Hoàn thành",100%,IF(H370="Không áp dụng",100%,IF(H370="Đang thực hiện",50%,IF(H370="Đang chờ phối hợp",25%,0%))))</x:f>
        <x:v>0</x:v>
      </x:c>
      <x:c r="J370" s="58" t="str"/>
      <x:c r="K370" s="14" t="str"/>
      <x:c r="L370" s="14" t="str"/>
      <x:c r="M370" s="14" t="str"/>
      <x:c r="N370" s="14" t="str"/>
      <x:c r="O370" s="14" t="str"/>
      <x:c r="P370" s="58" t="str"/>
      <x:c r="Q370" s="14" t="str"/>
    </x:row>
    <x:row r="371">
      <x:c r="A371" s="14" t="str">
        <x:v>VATM-0370</x:v>
      </x:c>
      <x:c r="B371" s="14" t="str">
        <x:v>An toàn hàng không / SMS</x:v>
      </x:c>
      <x:c r="C371" s="14" t="str">
        <x:v>Báo cáo MOR, sự cố và điều tra</x:v>
      </x:c>
      <x:c r="D371" s="14" t="str">
        <x:v>Người, phương tiện, thiết bị cản trở hoạt động di chuyển của tàu bay.</x:v>
      </x:c>
      <x:c r="E371" s="14" t="str">
        <x:v>Ban An toàn - Chất lượng</x:v>
      </x:c>
      <x:c r="F371" s="14" t="str">
        <x:v>P2</x:v>
      </x:c>
      <x:c r="G371" s="14" t="str">
        <x:v>24 giờ</x:v>
      </x:c>
      <x:c r="H371" s="14" t="str">
        <x:v>Chưa bắt đầu</x:v>
      </x:c>
      <x:c r="I371" s="20" t="n">
        <x:f>IF(H371="Hoàn thành",100%,IF(H371="Không áp dụng",100%,IF(H371="Đang thực hiện",50%,IF(H371="Đang chờ phối hợp",25%,0%))))</x:f>
        <x:v>0</x:v>
      </x:c>
      <x:c r="J371" s="58" t="str"/>
      <x:c r="K371" s="14" t="str"/>
      <x:c r="L371" s="14" t="str"/>
      <x:c r="M371" s="14" t="str"/>
      <x:c r="N371" s="14" t="str"/>
      <x:c r="O371" s="14" t="str"/>
      <x:c r="P371" s="58" t="str"/>
      <x:c r="Q371" s="14" t="str"/>
    </x:row>
    <x:row r="372">
      <x:c r="A372" s="14" t="str">
        <x:v>VATM-0371</x:v>
      </x:c>
      <x:c r="B372" s="14" t="str">
        <x:v>An toàn hàng không / SMS</x:v>
      </x:c>
      <x:c r="C372" s="14" t="str">
        <x:v>Báo cáo MOR, sự cố và điều tra</x:v>
      </x:c>
      <x:c r="D372" s="14" t="str">
        <x:v>Phát hiện vật ngoại lai tại sân đỗ tàu bay gây nguy hiểm hoặc nguy cơ gây nguy hiểm cho tàu bay, người trên tàu bay hoặc trong sân bay.</x:v>
      </x:c>
      <x:c r="E372" s="14" t="str">
        <x:v>Ban An toàn - Chất lượng</x:v>
      </x:c>
      <x:c r="F372" s="14" t="str">
        <x:v>P2</x:v>
      </x:c>
      <x:c r="G372" s="14" t="str">
        <x:v>24 giờ</x:v>
      </x:c>
      <x:c r="H372" s="14" t="str">
        <x:v>Chưa bắt đầu</x:v>
      </x:c>
      <x:c r="I372" s="20" t="n">
        <x:f>IF(H372="Hoàn thành",100%,IF(H372="Không áp dụng",100%,IF(H372="Đang thực hiện",50%,IF(H372="Đang chờ phối hợp",25%,0%))))</x:f>
        <x:v>0</x:v>
      </x:c>
      <x:c r="J372" s="58" t="str"/>
      <x:c r="K372" s="14" t="str"/>
      <x:c r="L372" s="14" t="str"/>
      <x:c r="M372" s="14" t="str"/>
      <x:c r="N372" s="14" t="str"/>
      <x:c r="O372" s="14" t="str"/>
      <x:c r="P372" s="58" t="str"/>
      <x:c r="Q372" s="14" t="str"/>
    </x:row>
    <x:row r="373">
      <x:c r="A373" s="14" t="str">
        <x:v>VATM-0372</x:v>
      </x:c>
      <x:c r="B373" s="14" t="str">
        <x:v>An toàn hàng không / SMS</x:v>
      </x:c>
      <x:c r="C373" s="14" t="str">
        <x:v>Báo cáo MOR, sự cố và điều tra</x:v>
      </x:c>
      <x:c r="D373" s="14" t="str">
        <x:v>Sự cố cháy, nổ, khói tại cảng hàng không do doanh nghiệp dịch vụ hàng không và đơn vị khác gây ra, ảnh hưởng cung cấp dịch vụ/hoạt động bay hoặc gây hư hỏng/nguy hiểm.</x:v>
      </x:c>
      <x:c r="E373" s="14" t="str">
        <x:v>Ban An toàn - Chất lượng</x:v>
      </x:c>
      <x:c r="F373" s="14" t="str">
        <x:v>P2</x:v>
      </x:c>
      <x:c r="G373" s="14" t="str">
        <x:v>24 giờ</x:v>
      </x:c>
      <x:c r="H373" s="14" t="str">
        <x:v>Chưa bắt đầu</x:v>
      </x:c>
      <x:c r="I373" s="20" t="n">
        <x:f>IF(H373="Hoàn thành",100%,IF(H373="Không áp dụng",100%,IF(H373="Đang thực hiện",50%,IF(H373="Đang chờ phối hợp",25%,0%))))</x:f>
        <x:v>0</x:v>
      </x:c>
      <x:c r="J373" s="58" t="str"/>
      <x:c r="K373" s="14" t="str"/>
      <x:c r="L373" s="14" t="str"/>
      <x:c r="M373" s="14" t="str"/>
      <x:c r="N373" s="14" t="str"/>
      <x:c r="O373" s="14" t="str"/>
      <x:c r="P373" s="58" t="str"/>
      <x:c r="Q373" s="14" t="str"/>
    </x:row>
    <x:row r="374">
      <x:c r="A374" s="14" t="str">
        <x:v>VATM-0373</x:v>
      </x:c>
      <x:c r="B374" s="14" t="str">
        <x:v>An toàn hàng không / SMS</x:v>
      </x:c>
      <x:c r="C374" s="14" t="str">
        <x:v>Báo cáo MOR, sự cố và điều tra</x:v>
      </x:c>
      <x:c r="D374" s="14" t="str">
        <x:v>Mất hoặc gián đoạn liên lạc với tàu bay và Đài kiểm soát tại sân bay.</x:v>
      </x:c>
      <x:c r="E374" s="14" t="str">
        <x:v>Ban An toàn - Chất lượng</x:v>
      </x:c>
      <x:c r="F374" s="14" t="str">
        <x:v>P2</x:v>
      </x:c>
      <x:c r="G374" s="14" t="str">
        <x:v>24 giờ</x:v>
      </x:c>
      <x:c r="H374" s="14" t="str">
        <x:v>Chưa bắt đầu</x:v>
      </x:c>
      <x:c r="I374" s="20" t="n">
        <x:f>IF(H374="Hoàn thành",100%,IF(H374="Không áp dụng",100%,IF(H374="Đang thực hiện",50%,IF(H374="Đang chờ phối hợp",25%,0%))))</x:f>
        <x:v>0</x:v>
      </x:c>
      <x:c r="J374" s="58" t="str"/>
      <x:c r="K374" s="14" t="str"/>
      <x:c r="L374" s="14" t="str"/>
      <x:c r="M374" s="14" t="str"/>
      <x:c r="N374" s="14" t="str"/>
      <x:c r="O374" s="14" t="str"/>
      <x:c r="P374" s="58" t="str"/>
      <x:c r="Q374" s="14" t="str"/>
    </x:row>
    <x:row r="375">
      <x:c r="A375" s="14" t="str">
        <x:v>VATM-0374</x:v>
      </x:c>
      <x:c r="B375" s="14" t="str">
        <x:v>An toàn hàng không / SMS</x:v>
      </x:c>
      <x:c r="C375" s="14" t="str">
        <x:v>Báo cáo MOR, sự cố và điều tra</x:v>
      </x:c>
      <x:c r="D375" s="14" t="str">
        <x:v>Sự cố kỹ thuật của phương tiện, thiết bị, hệ thống gây nguy hiểm hoặc nguy cơ gây nguy hiểm cho tàu bay/người.</x:v>
      </x:c>
      <x:c r="E375" s="14" t="str">
        <x:v>Ban An toàn - Chất lượng</x:v>
      </x:c>
      <x:c r="F375" s="14" t="str">
        <x:v>P2</x:v>
      </x:c>
      <x:c r="G375" s="14" t="str">
        <x:v>24 giờ</x:v>
      </x:c>
      <x:c r="H375" s="14" t="str">
        <x:v>Chưa bắt đầu</x:v>
      </x:c>
      <x:c r="I375" s="20" t="n">
        <x:f>IF(H375="Hoàn thành",100%,IF(H375="Không áp dụng",100%,IF(H375="Đang thực hiện",50%,IF(H375="Đang chờ phối hợp",25%,0%))))</x:f>
        <x:v>0</x:v>
      </x:c>
      <x:c r="J375" s="58" t="str"/>
      <x:c r="K375" s="14" t="str"/>
      <x:c r="L375" s="14" t="str"/>
      <x:c r="M375" s="14" t="str"/>
      <x:c r="N375" s="14" t="str"/>
      <x:c r="O375" s="14" t="str"/>
      <x:c r="P375" s="58" t="str"/>
      <x:c r="Q375" s="14" t="str"/>
    </x:row>
    <x:row r="376">
      <x:c r="A376" s="14" t="str">
        <x:v>VATM-0375</x:v>
      </x:c>
      <x:c r="B376" s="14" t="str">
        <x:v>An toàn hàng không / SMS</x:v>
      </x:c>
      <x:c r="C376" s="14" t="str">
        <x:v>Báo cáo MOR, sự cố và điều tra</x:v>
      </x:c>
      <x:c r="D376" s="14" t="str">
        <x:v>Tàu bay bị hư hỏng do thiết bị hoặc phương tiện phục vụ mặt đất gây ra.</x:v>
      </x:c>
      <x:c r="E376" s="14" t="str">
        <x:v>Ban An toàn - Chất lượng</x:v>
      </x:c>
      <x:c r="F376" s="14" t="str">
        <x:v>P2</x:v>
      </x:c>
      <x:c r="G376" s="14" t="str">
        <x:v>24 giờ</x:v>
      </x:c>
      <x:c r="H376" s="14" t="str">
        <x:v>Chưa bắt đầu</x:v>
      </x:c>
      <x:c r="I376" s="20" t="n">
        <x:f>IF(H376="Hoàn thành",100%,IF(H376="Không áp dụng",100%,IF(H376="Đang thực hiện",50%,IF(H376="Đang chờ phối hợp",25%,0%))))</x:f>
        <x:v>0</x:v>
      </x:c>
      <x:c r="J376" s="58" t="str"/>
      <x:c r="K376" s="14" t="str"/>
      <x:c r="L376" s="14" t="str"/>
      <x:c r="M376" s="14" t="str"/>
      <x:c r="N376" s="14" t="str"/>
      <x:c r="O376" s="14" t="str"/>
      <x:c r="P376" s="58" t="str"/>
      <x:c r="Q376" s="14" t="str"/>
    </x:row>
    <x:row r="377">
      <x:c r="A377" s="14" t="str">
        <x:v>VATM-0376</x:v>
      </x:c>
      <x:c r="B377" s="14" t="str">
        <x:v>An toàn hàng không / SMS</x:v>
      </x:c>
      <x:c r="C377" s="14" t="str">
        <x:v>Báo cáo MOR, sự cố và điều tra</x:v>
      </x:c>
      <x:c r="D377" s="14" t="str">
        <x:v>Nhân viên hàng không bị thương khi thực hiện nhiệm vụ.</x:v>
      </x:c>
      <x:c r="E377" s="14" t="str">
        <x:v>Ban An toàn - Chất lượng</x:v>
      </x:c>
      <x:c r="F377" s="14" t="str">
        <x:v>P2</x:v>
      </x:c>
      <x:c r="G377" s="14" t="str">
        <x:v>24 giờ</x:v>
      </x:c>
      <x:c r="H377" s="14" t="str">
        <x:v>Chưa bắt đầu</x:v>
      </x:c>
      <x:c r="I377" s="20" t="n">
        <x:f>IF(H377="Hoàn thành",100%,IF(H377="Không áp dụng",100%,IF(H377="Đang thực hiện",50%,IF(H377="Đang chờ phối hợp",25%,0%))))</x:f>
        <x:v>0</x:v>
      </x:c>
      <x:c r="J377" s="58" t="str"/>
      <x:c r="K377" s="14" t="str"/>
      <x:c r="L377" s="14" t="str"/>
      <x:c r="M377" s="14" t="str"/>
      <x:c r="N377" s="14" t="str"/>
      <x:c r="O377" s="14" t="str"/>
      <x:c r="P377" s="58" t="str"/>
      <x:c r="Q377" s="14" t="str"/>
    </x:row>
    <x:row r="378">
      <x:c r="A378" s="14" t="str">
        <x:v>VATM-0377</x:v>
      </x:c>
      <x:c r="B378" s="14" t="str">
        <x:v>An toàn hàng không / SMS</x:v>
      </x:c>
      <x:c r="C378" s="14" t="str">
        <x:v>Báo cáo MOR, sự cố và điều tra</x:v>
      </x:c>
      <x:c r="D378" s="14" t="str">
        <x:v>Hiện tượng gió xoáy, luồng khí từ cánh quạt trực thăng trong quá trình tiếp cận, cất cánh hoặc hạ cánh gây ảnh hưởng đến an toàn người, phương tiện, thiết bị.</x:v>
      </x:c>
      <x:c r="E378" s="14" t="str">
        <x:v>Ban An toàn - Chất lượng</x:v>
      </x:c>
      <x:c r="F378" s="14" t="str">
        <x:v>P2</x:v>
      </x:c>
      <x:c r="G378" s="14" t="str">
        <x:v>24 giờ</x:v>
      </x:c>
      <x:c r="H378" s="14" t="str">
        <x:v>Chưa bắt đầu</x:v>
      </x:c>
      <x:c r="I378" s="20" t="n">
        <x:f>IF(H378="Hoàn thành",100%,IF(H378="Không áp dụng",100%,IF(H378="Đang thực hiện",50%,IF(H378="Đang chờ phối hợp",25%,0%))))</x:f>
        <x:v>0</x:v>
      </x:c>
      <x:c r="J378" s="58" t="str"/>
      <x:c r="K378" s="14" t="str"/>
      <x:c r="L378" s="14" t="str"/>
      <x:c r="M378" s="14" t="str"/>
      <x:c r="N378" s="14" t="str"/>
      <x:c r="O378" s="14" t="str"/>
      <x:c r="P378" s="58" t="str"/>
      <x:c r="Q378" s="14" t="str"/>
    </x:row>
    <x:row r="379">
      <x:c r="A379" s="14" t="str">
        <x:v>VATM-0378</x:v>
      </x:c>
      <x:c r="B379" s="14" t="str">
        <x:v>An toàn hàng không / SMS</x:v>
      </x:c>
      <x:c r="C379" s="14" t="str">
        <x:v>Báo cáo MOR, sự cố và điều tra</x:v>
      </x:c>
      <x:c r="D379" s="14" t="str">
        <x:v>Có chướng ngại vật không được công bố trong khu vực bãi cất, hạ cánh.</x:v>
      </x:c>
      <x:c r="E379" s="14" t="str">
        <x:v>Ban An toàn - Chất lượng</x:v>
      </x:c>
      <x:c r="F379" s="14" t="str">
        <x:v>P2</x:v>
      </x:c>
      <x:c r="G379" s="14" t="str">
        <x:v>24 giờ</x:v>
      </x:c>
      <x:c r="H379" s="14" t="str">
        <x:v>Chưa bắt đầu</x:v>
      </x:c>
      <x:c r="I379" s="20" t="n">
        <x:f>IF(H379="Hoàn thành",100%,IF(H379="Không áp dụng",100%,IF(H379="Đang thực hiện",50%,IF(H379="Đang chờ phối hợp",25%,0%))))</x:f>
        <x:v>0</x:v>
      </x:c>
      <x:c r="J379" s="58" t="str"/>
      <x:c r="K379" s="14" t="str"/>
      <x:c r="L379" s="14" t="str"/>
      <x:c r="M379" s="14" t="str"/>
      <x:c r="N379" s="14" t="str"/>
      <x:c r="O379" s="14" t="str"/>
      <x:c r="P379" s="58" t="str"/>
      <x:c r="Q379" s="14" t="str"/>
    </x:row>
    <x:row r="380">
      <x:c r="A380" s="14" t="str">
        <x:v>VATM-0379</x:v>
      </x:c>
      <x:c r="B380" s="14" t="str">
        <x:v>An toàn hàng không / SMS</x:v>
      </x:c>
      <x:c r="C380" s="14" t="str">
        <x:v>Báo cáo MOR, sự cố và điều tra</x:v>
      </x:c>
      <x:c r="D380" s="14" t="str">
        <x:v>Hỏng đèn, tín hiệu hoặc điều kiện ảnh hưởng trực tiếp đến an toàn khai thác bãi cất, hạ cánh.</x:v>
      </x:c>
      <x:c r="E380" s="14" t="str">
        <x:v>Ban An toàn - Chất lượng</x:v>
      </x:c>
      <x:c r="F380" s="14" t="str">
        <x:v>P2</x:v>
      </x:c>
      <x:c r="G380" s="14" t="str">
        <x:v>24 giờ</x:v>
      </x:c>
      <x:c r="H380" s="14" t="str">
        <x:v>Chưa bắt đầu</x:v>
      </x:c>
      <x:c r="I380" s="20" t="n">
        <x:f>IF(H380="Hoàn thành",100%,IF(H380="Không áp dụng",100%,IF(H380="Đang thực hiện",50%,IF(H380="Đang chờ phối hợp",25%,0%))))</x:f>
        <x:v>0</x:v>
      </x:c>
      <x:c r="J380" s="58" t="str"/>
      <x:c r="K380" s="14" t="str"/>
      <x:c r="L380" s="14" t="str"/>
      <x:c r="M380" s="14" t="str"/>
      <x:c r="N380" s="14" t="str"/>
      <x:c r="O380" s="14" t="str"/>
      <x:c r="P380" s="58" t="str"/>
      <x:c r="Q380" s="14" t="str"/>
    </x:row>
    <x:row r="381">
      <x:c r="A381" s="14" t="str">
        <x:v>VATM-0380</x:v>
      </x:c>
      <x:c r="B381" s="14" t="str">
        <x:v>An toàn hàng không / SMS</x:v>
      </x:c>
      <x:c r="C381" s="14" t="str">
        <x:v>Báo cáo MOR, sự cố và điều tra</x:v>
      </x:c>
      <x:c r="D381" s="14" t="str">
        <x:v>Chướng ngại vật gây cản trở trong quá trình cất, hạ cánh.</x:v>
      </x:c>
      <x:c r="E381" s="14" t="str">
        <x:v>Ban An toàn - Chất lượng</x:v>
      </x:c>
      <x:c r="F381" s="14" t="str">
        <x:v>P2</x:v>
      </x:c>
      <x:c r="G381" s="14" t="str">
        <x:v>24 giờ</x:v>
      </x:c>
      <x:c r="H381" s="14" t="str">
        <x:v>Chưa bắt đầu</x:v>
      </x:c>
      <x:c r="I381" s="20" t="n">
        <x:f>IF(H381="Hoàn thành",100%,IF(H381="Không áp dụng",100%,IF(H381="Đang thực hiện",50%,IF(H381="Đang chờ phối hợp",25%,0%))))</x:f>
        <x:v>0</x:v>
      </x:c>
      <x:c r="J381" s="58" t="str"/>
      <x:c r="K381" s="14" t="str"/>
      <x:c r="L381" s="14" t="str"/>
      <x:c r="M381" s="14" t="str"/>
      <x:c r="N381" s="14" t="str"/>
      <x:c r="O381" s="14" t="str"/>
      <x:c r="P381" s="58" t="str"/>
      <x:c r="Q381" s="14" t="str"/>
    </x:row>
    <x:row r="382">
      <x:c r="A382" s="14" t="str">
        <x:v>VATM-0381</x:v>
      </x:c>
      <x:c r="B382" s="14" t="str">
        <x:v>An toàn hàng không / SMS</x:v>
      </x:c>
      <x:c r="C382" s="14" t="str">
        <x:v>Báo cáo MOR, sự cố và điều tra</x:v>
      </x:c>
      <x:c r="D382" s="14" t="str">
        <x:v>Nhân viên hàng không bị thương khi thực hiện nhiệm vụ.</x:v>
      </x:c>
      <x:c r="E382" s="14" t="str">
        <x:v>Ban An toàn - Chất lượng</x:v>
      </x:c>
      <x:c r="F382" s="14" t="str">
        <x:v>P2</x:v>
      </x:c>
      <x:c r="G382" s="14" t="str">
        <x:v>24 giờ</x:v>
      </x:c>
      <x:c r="H382" s="14" t="str">
        <x:v>Chưa bắt đầu</x:v>
      </x:c>
      <x:c r="I382" s="20" t="n">
        <x:f>IF(H382="Hoàn thành",100%,IF(H382="Không áp dụng",100%,IF(H382="Đang thực hiện",50%,IF(H382="Đang chờ phối hợp",25%,0%))))</x:f>
        <x:v>0</x:v>
      </x:c>
      <x:c r="J382" s="58" t="str"/>
      <x:c r="K382" s="14" t="str"/>
      <x:c r="L382" s="14" t="str"/>
      <x:c r="M382" s="14" t="str"/>
      <x:c r="N382" s="14" t="str"/>
      <x:c r="O382" s="14" t="str"/>
      <x:c r="P382" s="58" t="str"/>
      <x:c r="Q382" s="14" t="str"/>
    </x:row>
    <x:row r="383">
      <x:c r="A383" s="14" t="str">
        <x:v>VATM-0382</x:v>
      </x:c>
      <x:c r="B383" s="14" t="str">
        <x:v>An toàn hàng không / SMS</x:v>
      </x:c>
      <x:c r="C383" s="14" t="str">
        <x:v>Báo cáo MOR, sự cố và điều tra</x:v>
      </x:c>
      <x:c r="D383" s="14" t="str">
        <x:v>Vụ việc không phải sự cố/tai nạn nhưng cần thu thập, tổng hợp để thống kê, phân tích, đánh giá, nhận diện mối nguy và giảm thiểu/kiểm soát rủi ro; đã gây ra hoặc có nguy cơ gây gián đoạn hoạt động bay, ảnh hưởng kế hoạch/lịch trình khai thác tàu bay, hoặc làm suy giảm/gián đoạn năng lực cung cấp dịch vụ hàng không.</x:v>
      </x:c>
      <x:c r="E383" s="14" t="str">
        <x:v>Ban An toàn - Chất lượng</x:v>
      </x:c>
      <x:c r="F383" s="14" t="str">
        <x:v>P2</x:v>
      </x:c>
      <x:c r="G383" s="14" t="str">
        <x:v>72 giờ</x:v>
      </x:c>
      <x:c r="H383" s="14" t="str">
        <x:v>Chưa bắt đầu</x:v>
      </x:c>
      <x:c r="I383" s="20" t="n">
        <x:f>IF(H383="Hoàn thành",100%,IF(H383="Không áp dụng",100%,IF(H383="Đang thực hiện",50%,IF(H383="Đang chờ phối hợp",25%,0%))))</x:f>
        <x:v>0</x:v>
      </x:c>
      <x:c r="J383" s="58" t="str"/>
      <x:c r="K383" s="14" t="str"/>
      <x:c r="L383" s="14" t="str"/>
      <x:c r="M383" s="14" t="str"/>
      <x:c r="N383" s="14" t="str"/>
      <x:c r="O383" s="14" t="str"/>
      <x:c r="P383" s="58" t="str"/>
      <x:c r="Q383" s="14" t="str"/>
    </x:row>
    <x:row r="384">
      <x:c r="A384" s="14" t="str">
        <x:v>VATM-0383</x:v>
      </x:c>
      <x:c r="B384" s="14" t="str">
        <x:v>An ninh hàng không</x:v>
      </x:c>
      <x:c r="C384" s="14" t="str">
        <x:v>Quản trị, phối hợp và giám sát ANHK</x:v>
      </x:c>
      <x:c r="D384" s="14" t="str">
        <x:v>Xác lập trách nhiệm bảo đảm an ninh hàng không của tất cả tổ chức liên quan; báo cáo/xử lý kịp thời sự cố, hành vi vi phạm; duy trì khai thác an toàn, liên tục, hiệu quả.</x:v>
      </x:c>
      <x:c r="E384" s="14" t="str">
        <x:v>Ban An ninh hàng không; Ban An toàn - Chất lượng; Các Công ty Quản lý bay khu vực Bắc/Trung/Nam</x:v>
      </x:c>
      <x:c r="F384" s="14" t="str">
        <x:v>P1</x:v>
      </x:c>
      <x:c r="G384" s="14" t="str">
        <x:v>Thường xuyên</x:v>
      </x:c>
      <x:c r="H384" s="14" t="str">
        <x:v>Chưa bắt đầu</x:v>
      </x:c>
      <x:c r="I384" s="20" t="n">
        <x:f>IF(H384="Hoàn thành",100%,IF(H384="Không áp dụng",100%,IF(H384="Đang thực hiện",50%,IF(H384="Đang chờ phối hợp",25%,0%))))</x:f>
        <x:v>0</x:v>
      </x:c>
      <x:c r="J384" s="58" t="str"/>
      <x:c r="K384" s="14" t="str"/>
      <x:c r="L384" s="14" t="str"/>
      <x:c r="M384" s="14" t="str"/>
      <x:c r="N384" s="14" t="str"/>
      <x:c r="O384" s="14" t="str"/>
      <x:c r="P384" s="58" t="str"/>
      <x:c r="Q384" s="14" t="str"/>
    </x:row>
    <x:row r="385">
      <x:c r="A385" s="14" t="str">
        <x:v>VATM-0384</x:v>
      </x:c>
      <x:c r="B385" s="14" t="str">
        <x:v>An ninh hàng không</x:v>
      </x:c>
      <x:c r="C385" s="14" t="str">
        <x:v>An ninh hệ thống CNS/ATM/CNTT</x:v>
      </x:c>
      <x:c r="D385" s="14" t="str">
        <x:v>Các doanh nghiệp, tổ chức liên quan triển khai công tác bảo vệ an ninh hàng không trong phạm vi trách nhiệm.</x:v>
      </x:c>
      <x:c r="E385" s="14" t="str">
        <x:v>Ban An ninh hàng không; Ban An toàn - Chất lượng</x:v>
      </x:c>
      <x:c r="F385" s="14" t="str">
        <x:v>P1</x:v>
      </x:c>
      <x:c r="G385" s="14" t="str">
        <x:v>Hằng ngày</x:v>
      </x:c>
      <x:c r="H385" s="14" t="str">
        <x:v>Chưa bắt đầu</x:v>
      </x:c>
      <x:c r="I385" s="20" t="n">
        <x:f>IF(H385="Hoàn thành",100%,IF(H385="Không áp dụng",100%,IF(H385="Đang thực hiện",50%,IF(H385="Đang chờ phối hợp",25%,0%))))</x:f>
        <x:v>0</x:v>
      </x:c>
      <x:c r="J385" s="58" t="str"/>
      <x:c r="K385" s="14" t="str"/>
      <x:c r="L385" s="14" t="str"/>
      <x:c r="M385" s="14" t="str"/>
      <x:c r="N385" s="14" t="str"/>
      <x:c r="O385" s="14" t="str"/>
      <x:c r="P385" s="58" t="str"/>
      <x:c r="Q385" s="14" t="str"/>
    </x:row>
    <x:row r="386">
      <x:c r="A386" s="14" t="str">
        <x:v>VATM-0385</x:v>
      </x:c>
      <x:c r="B386" s="14" t="str">
        <x:v>An ninh hàng không</x:v>
      </x:c>
      <x:c r="C386" s="14" t="str">
        <x:v>Khu vực hạn chế/kiểm soát ra vào</x:v>
      </x:c>
      <x:c r="D386" s="14" t="str">
        <x:v>Doanh nghiệp cung cấp dịch vụ không lưu phải xây dựng Chương trình an ninh hàng không của đơn vị, trình Nhà chức trách an ninh hàng không phê duyệt và tổ chức thực hiện.</x:v>
      </x:c>
      <x:c r="E386" s="14" t="str">
        <x:v>Ban An ninh hàng không; Ban An toàn - Chất lượng</x:v>
      </x:c>
      <x:c r="F386" s="14" t="str">
        <x:v>P1</x:v>
      </x:c>
      <x:c r="G386" s="14" t="str">
        <x:v>Trước/Ngay khi NĐ có hiệu lực và khi sửa đổi</x:v>
      </x:c>
      <x:c r="H386" s="14" t="str">
        <x:v>Chưa bắt đầu</x:v>
      </x:c>
      <x:c r="I386" s="20" t="n">
        <x:f>IF(H386="Hoàn thành",100%,IF(H386="Không áp dụng",100%,IF(H386="Đang thực hiện",50%,IF(H386="Đang chờ phối hợp",25%,0%))))</x:f>
        <x:v>0</x:v>
      </x:c>
      <x:c r="J386" s="58" t="str"/>
      <x:c r="K386" s="14" t="str"/>
      <x:c r="L386" s="14" t="str"/>
      <x:c r="M386" s="14" t="str"/>
      <x:c r="N386" s="14" t="str"/>
      <x:c r="O386" s="14" t="str"/>
      <x:c r="P386" s="58" t="str"/>
      <x:c r="Q386" s="14" t="str"/>
    </x:row>
    <x:row r="387">
      <x:c r="A387" s="14" t="str">
        <x:v>VATM-0386</x:v>
      </x:c>
      <x:c r="B387" s="14" t="str">
        <x:v>An ninh hàng không</x:v>
      </x:c>
      <x:c r="C387" s="14" t="str">
        <x:v>Khu vực hạn chế/kiểm soát ra vào</x:v>
      </x:c>
      <x:c r="D387" s="14" t="str">
        <x:v>Trung tâm kiểm soát đường dài, kiểm soát tiếp cận-tại sân, quản lý luồng không lưu, đài KSKL, trạm radar, trạm thông tin điều hành bay là khu vực hạn chế; VATM phải phối hợp thiết lập, quản lý, kiểm soát người/phương tiện ra vào.</x:v>
      </x:c>
      <x:c r="E387" s="14" t="str">
        <x:v>Ban An ninh hàng không; Ban Kỹ thuật - CNS/IT/Môi trường; Trung tâm Quản lý luồng không lưu; Các Công ty Quản lý bay khu vực Bắc/Trung/Nam</x:v>
      </x:c>
      <x:c r="F387" s="14" t="str">
        <x:v>P1</x:v>
      </x:c>
      <x:c r="G387" s="14" t="str">
        <x:v>Liên tục; rà soát định kỳ và khi thay đổi mặt bằng</x:v>
      </x:c>
      <x:c r="H387" s="14" t="str">
        <x:v>Chưa bắt đầu</x:v>
      </x:c>
      <x:c r="I387" s="20" t="n">
        <x:f>IF(H387="Hoàn thành",100%,IF(H387="Không áp dụng",100%,IF(H387="Đang thực hiện",50%,IF(H387="Đang chờ phối hợp",25%,0%))))</x:f>
        <x:v>0</x:v>
      </x:c>
      <x:c r="J387" s="58" t="str"/>
      <x:c r="K387" s="14" t="str"/>
      <x:c r="L387" s="14" t="str"/>
      <x:c r="M387" s="14" t="str"/>
      <x:c r="N387" s="14" t="str"/>
      <x:c r="O387" s="14" t="str"/>
      <x:c r="P387" s="58" t="str"/>
      <x:c r="Q387" s="14" t="str"/>
    </x:row>
    <x:row r="388">
      <x:c r="A388" s="14" t="str">
        <x:v>VATM-0387</x:v>
      </x:c>
      <x:c r="B388" s="14" t="str">
        <x:v>An ninh hàng không</x:v>
      </x:c>
      <x:c r="C388" s="14" t="str">
        <x:v>Khu vực hạn chế/kiểm soát ra vào</x:v>
      </x:c>
      <x:c r="D388" s="14" t="str">
        <x:v>Khi tăng cường bảo đảm an ninh hoặc bảo vệ hiện trường, phải phối hợp thiết lập khu vực hạn chế tạm thời và thông báo cho đơn vị hoạt động thường xuyên.</x:v>
      </x:c>
      <x:c r="E388" s="14" t="str">
        <x:v>Ban An ninh hàng không; Các Công ty Quản lý bay khu vực Bắc/Trung/Nam</x:v>
      </x:c>
      <x:c r="F388" s="14" t="str">
        <x:v>P1</x:v>
      </x:c>
      <x:c r="G388" s="14" t="str">
        <x:v>Khi phát sinh</x:v>
      </x:c>
      <x:c r="H388" s="14" t="str">
        <x:v>Chưa bắt đầu</x:v>
      </x:c>
      <x:c r="I388" s="20" t="n">
        <x:f>IF(H388="Hoàn thành",100%,IF(H388="Không áp dụng",100%,IF(H388="Đang thực hiện",50%,IF(H388="Đang chờ phối hợp",25%,0%))))</x:f>
        <x:v>0</x:v>
      </x:c>
      <x:c r="J388" s="58" t="str"/>
      <x:c r="K388" s="14" t="str"/>
      <x:c r="L388" s="14" t="str"/>
      <x:c r="M388" s="14" t="str"/>
      <x:c r="N388" s="14" t="str"/>
      <x:c r="O388" s="14" t="str"/>
      <x:c r="P388" s="58" t="str"/>
      <x:c r="Q388" s="14" t="str"/>
    </x:row>
    <x:row r="389">
      <x:c r="A389" s="14" t="str">
        <x:v>VATM-0388</x:v>
      </x:c>
      <x:c r="B389" s="14" t="str">
        <x:v>An ninh hàng không</x:v>
      </x:c>
      <x:c r="C389" s="14" t="str">
        <x:v>Khu vực hạn chế/kiểm soát ra vào</x:v>
      </x:c>
      <x:c r="D389" s="14" t="str">
        <x:v>Người, phương tiện vào khu vực hạn chế phải có thẻ/giấy phép, được kiểm tra/giám sát/hộ tống theo quy định.</x:v>
      </x:c>
      <x:c r="E389" s="14" t="str">
        <x:v>Ban An ninh hàng không; Các Công ty Quản lý bay khu vực Bắc/Trung/Nam</x:v>
      </x:c>
      <x:c r="F389" s="14" t="str">
        <x:v>P1</x:v>
      </x:c>
      <x:c r="G389" s="14" t="str">
        <x:v>Thường xuyên</x:v>
      </x:c>
      <x:c r="H389" s="14" t="str">
        <x:v>Chưa bắt đầu</x:v>
      </x:c>
      <x:c r="I389" s="20" t="n">
        <x:f>IF(H389="Hoàn thành",100%,IF(H389="Không áp dụng",100%,IF(H389="Đang thực hiện",50%,IF(H389="Đang chờ phối hợp",25%,0%))))</x:f>
        <x:v>0</x:v>
      </x:c>
      <x:c r="J389" s="58" t="str"/>
      <x:c r="K389" s="14" t="str"/>
      <x:c r="L389" s="14" t="str"/>
      <x:c r="M389" s="14" t="str"/>
      <x:c r="N389" s="14" t="str"/>
      <x:c r="O389" s="14" t="str"/>
      <x:c r="P389" s="58" t="str"/>
      <x:c r="Q389" s="14" t="str"/>
    </x:row>
    <x:row r="390">
      <x:c r="A390" s="14" t="str">
        <x:v>VATM-0389</x:v>
      </x:c>
      <x:c r="B390" s="14" t="str">
        <x:v>An ninh hàng không</x:v>
      </x:c>
      <x:c r="C390" s="14" t="str">
        <x:v>An ninh hệ thống CNS/ATM/CNTT</x:v>
      </x:c>
      <x:c r="D390" s="14" t="str">
        <x:v>Khi có đối tượng/tình huống cần lục soát liên quan khu vực VATM, phải phối hợp, lập biên bản và bảo vệ hoạt động bay.</x:v>
      </x:c>
      <x:c r="E390" s="14" t="str">
        <x:v>Ban An ninh hàng không; Các Công ty Quản lý bay khu vực Bắc/Trung/Nam</x:v>
      </x:c>
      <x:c r="F390" s="14" t="str">
        <x:v>P1</x:v>
      </x:c>
      <x:c r="G390" s="14" t="str">
        <x:v>Khi phát sinh</x:v>
      </x:c>
      <x:c r="H390" s="14" t="str">
        <x:v>Chưa bắt đầu</x:v>
      </x:c>
      <x:c r="I390" s="20" t="n">
        <x:f>IF(H390="Hoàn thành",100%,IF(H390="Không áp dụng",100%,IF(H390="Đang thực hiện",50%,IF(H390="Đang chờ phối hợp",25%,0%))))</x:f>
        <x:v>0</x:v>
      </x:c>
      <x:c r="J390" s="58" t="str"/>
      <x:c r="K390" s="14" t="str"/>
      <x:c r="L390" s="14" t="str"/>
      <x:c r="M390" s="14" t="str"/>
      <x:c r="N390" s="14" t="str"/>
      <x:c r="O390" s="14" t="str"/>
      <x:c r="P390" s="58" t="str"/>
      <x:c r="Q390" s="14" t="str"/>
    </x:row>
    <x:row r="391">
      <x:c r="A391" s="14" t="str">
        <x:v>VATM-0390</x:v>
      </x:c>
      <x:c r="B391" s="14" t="str">
        <x:v>An ninh hàng không</x:v>
      </x:c>
      <x:c r="C391" s="14" t="str">
        <x:v>An ninh hệ thống CNS/ATM/CNTT</x:v>
      </x:c>
      <x:c r="D391" s="14" t="str">
        <x:v>Khi nhận thông tin đe dọa an ninh/an toàn tàu bay, người khai thác tàu bay báo BCH khẩn nguy; VATM cần kênh nhận/chuyển tiếp và ưu tiên điều hành bay.</x:v>
      </x:c>
      <x:c r="E391" s="14" t="str">
        <x:v>Ban An ninh hàng không</x:v>
      </x:c>
      <x:c r="F391" s="14" t="str">
        <x:v>P1</x:v>
      </x:c>
      <x:c r="G391" s="14" t="str">
        <x:v>Ngay khi nhận tin</x:v>
      </x:c>
      <x:c r="H391" s="14" t="str">
        <x:v>Chưa bắt đầu</x:v>
      </x:c>
      <x:c r="I391" s="20" t="n">
        <x:f>IF(H391="Hoàn thành",100%,IF(H391="Không áp dụng",100%,IF(H391="Đang thực hiện",50%,IF(H391="Đang chờ phối hợp",25%,0%))))</x:f>
        <x:v>0</x:v>
      </x:c>
      <x:c r="J391" s="58" t="str"/>
      <x:c r="K391" s="14" t="str"/>
      <x:c r="L391" s="14" t="str"/>
      <x:c r="M391" s="14" t="str"/>
      <x:c r="N391" s="14" t="str"/>
      <x:c r="O391" s="14" t="str"/>
      <x:c r="P391" s="58" t="str"/>
      <x:c r="Q391" s="14" t="str"/>
    </x:row>
    <x:row r="392">
      <x:c r="A392" s="14" t="str">
        <x:v>VATM-0391</x:v>
      </x:c>
      <x:c r="B392" s="14" t="str">
        <x:v>An ninh hàng không</x:v>
      </x:c>
      <x:c r="C392" s="14" t="str">
        <x:v>Khu vực hạn chế/kiểm soát ra vào</x:v>
      </x:c>
      <x:c r="D392" s="14" t="str">
        <x:v>Hành vi chiếm đoạt, gây bạo loạn tại cơ sở cung cấp dịch vụ điều hành bay thuộc nhóm có thể cấm vận chuyển vĩnh viễn; VATM cần ghi nhận, báo cáo chứng cứ.</x:v>
      </x:c>
      <x:c r="E392" s="14" t="str">
        <x:v>Ban An ninh hàng không; Văn phòng - Pháp chế; Các Công ty Quản lý bay khu vực Bắc/Trung/Nam</x:v>
      </x:c>
      <x:c r="F392" s="14" t="str">
        <x:v>P1</x:v>
      </x:c>
      <x:c r="G392" s="14" t="str">
        <x:v>Khi phát sinh</x:v>
      </x:c>
      <x:c r="H392" s="14" t="str">
        <x:v>Chưa bắt đầu</x:v>
      </x:c>
      <x:c r="I392" s="20" t="n">
        <x:f>IF(H392="Hoàn thành",100%,IF(H392="Không áp dụng",100%,IF(H392="Đang thực hiện",50%,IF(H392="Đang chờ phối hợp",25%,0%))))</x:f>
        <x:v>0</x:v>
      </x:c>
      <x:c r="J392" s="58" t="str"/>
      <x:c r="K392" s="14" t="str"/>
      <x:c r="L392" s="14" t="str"/>
      <x:c r="M392" s="14" t="str"/>
      <x:c r="N392" s="14" t="str"/>
      <x:c r="O392" s="14" t="str"/>
      <x:c r="P392" s="58" t="str"/>
      <x:c r="Q392" s="14" t="str"/>
    </x:row>
    <x:row r="393">
      <x:c r="A393" s="14" t="str">
        <x:v>VATM-0392</x:v>
      </x:c>
      <x:c r="B393" s="14" t="str">
        <x:v>An ninh hàng không</x:v>
      </x:c>
      <x:c r="C393" s="14" t="str">
        <x:v>Khu vực hạn chế/kiểm soát ra vào</x:v>
      </x:c>
      <x:c r="D393" s="14" t="str">
        <x:v>NĐ quy định quản lý rủi ro và cấp độ an ninh tăng cường; VATM phải triển khai theo quyết định, đánh giá nguy cơ tại cơ sở ANS.</x:v>
      </x:c>
      <x:c r="E393" s="14" t="str">
        <x:v>Ban An ninh hàng không; Ban An toàn - Chất lượng</x:v>
      </x:c>
      <x:c r="F393" s="14" t="str">
        <x:v>P1</x:v>
      </x:c>
      <x:c r="G393" s="14" t="str">
        <x:v>Định kỳ; khi có quyết định cấp độ</x:v>
      </x:c>
      <x:c r="H393" s="14" t="str">
        <x:v>Chưa bắt đầu</x:v>
      </x:c>
      <x:c r="I393" s="20" t="n">
        <x:f>IF(H393="Hoàn thành",100%,IF(H393="Không áp dụng",100%,IF(H393="Đang thực hiện",50%,IF(H393="Đang chờ phối hợp",25%,0%))))</x:f>
        <x:v>0</x:v>
      </x:c>
      <x:c r="J393" s="58" t="str"/>
      <x:c r="K393" s="14" t="str"/>
      <x:c r="L393" s="14" t="str"/>
      <x:c r="M393" s="14" t="str"/>
      <x:c r="N393" s="14" t="str"/>
      <x:c r="O393" s="14" t="str"/>
      <x:c r="P393" s="58" t="str"/>
      <x:c r="Q393" s="14" t="str"/>
    </x:row>
    <x:row r="394">
      <x:c r="A394" s="14" t="str">
        <x:v>VATM-0393</x:v>
      </x:c>
      <x:c r="B394" s="14" t="str">
        <x:v>An ninh hàng không</x:v>
      </x:c>
      <x:c r="C394" s="14" t="str">
        <x:v>Khu vực hạn chế/kiểm soát ra vào</x:v>
      </x:c>
      <x:c r="D394" s="14" t="str">
        <x:v>Tài liệu an ninh hàng không là tài liệu hạn chế; chỉ phổ biến đến đối tượng liên quan.</x:v>
      </x:c>
      <x:c r="E394" s="14" t="str">
        <x:v>Ban An ninh hàng không; Văn phòng - Pháp chế</x:v>
      </x:c>
      <x:c r="F394" s="14" t="str">
        <x:v>P1</x:v>
      </x:c>
      <x:c r="G394" s="14" t="str">
        <x:v>Thường xuyên</x:v>
      </x:c>
      <x:c r="H394" s="14" t="str">
        <x:v>Chưa bắt đầu</x:v>
      </x:c>
      <x:c r="I394" s="20" t="n">
        <x:f>IF(H394="Hoàn thành",100%,IF(H394="Không áp dụng",100%,IF(H394="Đang thực hiện",50%,IF(H394="Đang chờ phối hợp",25%,0%))))</x:f>
        <x:v>0</x:v>
      </x:c>
      <x:c r="J394" s="58" t="str"/>
      <x:c r="K394" s="14" t="str"/>
      <x:c r="L394" s="14" t="str"/>
      <x:c r="M394" s="14" t="str"/>
      <x:c r="N394" s="14" t="str"/>
      <x:c r="O394" s="14" t="str"/>
      <x:c r="P394" s="58" t="str"/>
      <x:c r="Q394" s="14" t="str"/>
    </x:row>
    <x:row r="395">
      <x:c r="A395" s="14" t="str">
        <x:v>VATM-0394</x:v>
      </x:c>
      <x:c r="B395" s="14" t="str">
        <x:v>An ninh hàng không</x:v>
      </x:c>
      <x:c r="C395" s="14" t="str">
        <x:v>Khu vực hạn chế/kiểm soát ra vào</x:v>
      </x:c>
      <x:c r="D395" s="14" t="str">
        <x:v>Doanh nghiệp quản lý, sử dụng nhân viên hàng không ban hành quy định kiểm soát an ninh nội bộ, xác minh/kiểm tra lý lịch trước tuyển dụng.</x:v>
      </x:c>
      <x:c r="E395" s="14" t="str">
        <x:v>Ban An ninh hàng không; Ban Tổ chức cán bộ</x:v>
      </x:c>
      <x:c r="F395" s="14" t="str">
        <x:v>P1</x:v>
      </x:c>
      <x:c r="G395" s="14" t="str">
        <x:v>Trước tuyển dụng; định kỳ theo chương trình</x:v>
      </x:c>
      <x:c r="H395" s="14" t="str">
        <x:v>Chưa bắt đầu</x:v>
      </x:c>
      <x:c r="I395" s="20" t="n">
        <x:f>IF(H395="Hoàn thành",100%,IF(H395="Không áp dụng",100%,IF(H395="Đang thực hiện",50%,IF(H395="Đang chờ phối hợp",25%,0%))))</x:f>
        <x:v>0</x:v>
      </x:c>
      <x:c r="J395" s="58" t="str"/>
      <x:c r="K395" s="14" t="str"/>
      <x:c r="L395" s="14" t="str"/>
      <x:c r="M395" s="14" t="str"/>
      <x:c r="N395" s="14" t="str"/>
      <x:c r="O395" s="14" t="str"/>
      <x:c r="P395" s="58" t="str"/>
      <x:c r="Q395" s="14" t="str"/>
    </x:row>
    <x:row r="396">
      <x:c r="A396" s="14" t="str">
        <x:v>VATM-0395</x:v>
      </x:c>
      <x:c r="B396" s="14" t="str">
        <x:v>An ninh hàng không</x:v>
      </x:c>
      <x:c r="C396" s="14" t="str">
        <x:v>An ninh hệ thống CNS/ATM/CNTT</x:v>
      </x:c>
      <x:c r="D396" s="14" t="str">
        <x:v>Hệ thống thông tin phục vụ bảo đảm hoạt động bay, chỉ huy điều hành, điện văn chuyên ngành, cơ sở dữ liệu hàng không phải được bảo vệ chống truy cập/can thiệp trái phép.</x:v>
      </x:c>
      <x:c r="E396" s="14" t="str">
        <x:v>Ban An ninh hàng không; Ban Kế hoạch doanh nghiệp - Chuyển đổi số; Ban Kỹ thuật - CNS/IT/Môi trường; Trung tâm Thông báo tin tức hàng không; Trung tâm Quản lý luồng không lưu</x:v>
      </x:c>
      <x:c r="F396" s="14" t="str">
        <x:v>P1</x:v>
      </x:c>
      <x:c r="G396" s="14" t="str">
        <x:v>Liên tục; kiểm tra định kỳ</x:v>
      </x:c>
      <x:c r="H396" s="14" t="str">
        <x:v>Chưa bắt đầu</x:v>
      </x:c>
      <x:c r="I396" s="20" t="n">
        <x:f>IF(H396="Hoàn thành",100%,IF(H396="Không áp dụng",100%,IF(H396="Đang thực hiện",50%,IF(H396="Đang chờ phối hợp",25%,0%))))</x:f>
        <x:v>0</x:v>
      </x:c>
      <x:c r="J396" s="58" t="str"/>
      <x:c r="K396" s="14" t="str"/>
      <x:c r="L396" s="14" t="str"/>
      <x:c r="M396" s="14" t="str"/>
      <x:c r="N396" s="14" t="str"/>
      <x:c r="O396" s="14" t="str"/>
      <x:c r="P396" s="58" t="str"/>
      <x:c r="Q396" s="14" t="str"/>
    </x:row>
    <x:row r="397">
      <x:c r="A397" s="14" t="str">
        <x:v>VATM-0396</x:v>
      </x:c>
      <x:c r="B397" s="14" t="str">
        <x:v>An ninh hàng không</x:v>
      </x:c>
      <x:c r="C397" s="14" t="str">
        <x:v>Chương trình/kế hoạch ANHK VATM</x:v>
      </x:c>
      <x:c r="D397" s="14" t="str">
        <x:v>Cơ quan, đơn vị trong ngành hàng không phổ biến, giáo dục pháp luật an ninh hàng không cho cán bộ, nhân viên.</x:v>
      </x:c>
      <x:c r="E397" s="14" t="str">
        <x:v>Ban An ninh hàng không; Văn phòng - Pháp chế</x:v>
      </x:c>
      <x:c r="F397" s="14" t="str">
        <x:v>P1</x:v>
      </x:c>
      <x:c r="G397" s="14" t="str">
        <x:v>Hằng năm và khi có văn bản mới</x:v>
      </x:c>
      <x:c r="H397" s="14" t="str">
        <x:v>Chưa bắt đầu</x:v>
      </x:c>
      <x:c r="I397" s="20" t="n">
        <x:f>IF(H397="Hoàn thành",100%,IF(H397="Không áp dụng",100%,IF(H397="Đang thực hiện",50%,IF(H397="Đang chờ phối hợp",25%,0%))))</x:f>
        <x:v>0</x:v>
      </x:c>
      <x:c r="J397" s="58" t="str"/>
      <x:c r="K397" s="14" t="str"/>
      <x:c r="L397" s="14" t="str"/>
      <x:c r="M397" s="14" t="str"/>
      <x:c r="N397" s="14" t="str"/>
      <x:c r="O397" s="14" t="str"/>
      <x:c r="P397" s="58" t="str"/>
      <x:c r="Q397" s="14" t="str"/>
    </x:row>
    <x:row r="398">
      <x:c r="A398" s="14" t="str">
        <x:v>VATM-0397</x:v>
      </x:c>
      <x:c r="B398" s="14" t="str">
        <x:v>An ninh hàng không</x:v>
      </x:c>
      <x:c r="C398" s="14" t="str">
        <x:v>Ứng phó sự cố/diễn tập ANHK</x:v>
      </x:c>
      <x:c r="D398" s="14" t="str">
        <x:v>Phải ưu tiên điều hành bay và trợ giúp cần thiết đối với tàu bay đang bay bị can thiệp bất hợp pháp.</x:v>
      </x:c>
      <x:c r="E398" s="14" t="str">
        <x:v>Ban An ninh hàng không</x:v>
      </x:c>
      <x:c r="F398" s="14" t="str">
        <x:v>P1</x:v>
      </x:c>
      <x:c r="G398" s="14" t="str">
        <x:v>Ngay khi xảy ra</x:v>
      </x:c>
      <x:c r="H398" s="14" t="str">
        <x:v>Chưa bắt đầu</x:v>
      </x:c>
      <x:c r="I398" s="20" t="n">
        <x:f>IF(H398="Hoàn thành",100%,IF(H398="Không áp dụng",100%,IF(H398="Đang thực hiện",50%,IF(H398="Đang chờ phối hợp",25%,0%))))</x:f>
        <x:v>0</x:v>
      </x:c>
      <x:c r="J398" s="58" t="str"/>
      <x:c r="K398" s="14" t="str"/>
      <x:c r="L398" s="14" t="str"/>
      <x:c r="M398" s="14" t="str"/>
      <x:c r="N398" s="14" t="str"/>
      <x:c r="O398" s="14" t="str"/>
      <x:c r="P398" s="58" t="str"/>
      <x:c r="Q398" s="14" t="str"/>
    </x:row>
    <x:row r="399">
      <x:c r="A399" s="14" t="str">
        <x:v>VATM-0398</x:v>
      </x:c>
      <x:c r="B399" s="14" t="str">
        <x:v>An ninh hàng không</x:v>
      </x:c>
      <x:c r="C399" s="14" t="str">
        <x:v>Ứng phó sự cố/diễn tập ANHK</x:v>
      </x:c>
      <x:c r="D399" s="14" t="str">
        <x:v>Thực hiện phương châm 4 tại chỗ trong đối phó hành vi can thiệp bất hợp pháp.</x:v>
      </x:c>
      <x:c r="E399" s="14" t="str">
        <x:v>Ban An ninh hàng không; Các Công ty Quản lý bay khu vực Bắc/Trung/Nam</x:v>
      </x:c>
      <x:c r="F399" s="14" t="str">
        <x:v>P1</x:v>
      </x:c>
      <x:c r="G399" s="14" t="str">
        <x:v>Khi xây dựng phương án; khi xảy ra</x:v>
      </x:c>
      <x:c r="H399" s="14" t="str">
        <x:v>Chưa bắt đầu</x:v>
      </x:c>
      <x:c r="I399" s="20" t="n">
        <x:f>IF(H399="Hoàn thành",100%,IF(H399="Không áp dụng",100%,IF(H399="Đang thực hiện",50%,IF(H399="Đang chờ phối hợp",25%,0%))))</x:f>
        <x:v>0</x:v>
      </x:c>
      <x:c r="J399" s="58" t="str"/>
      <x:c r="K399" s="14" t="str"/>
      <x:c r="L399" s="14" t="str"/>
      <x:c r="M399" s="14" t="str"/>
      <x:c r="N399" s="14" t="str"/>
      <x:c r="O399" s="14" t="str"/>
      <x:c r="P399" s="58" t="str"/>
      <x:c r="Q399" s="14" t="str"/>
    </x:row>
    <x:row r="400">
      <x:c r="A400" s="14" t="str">
        <x:v>VATM-0399</x:v>
      </x:c>
      <x:c r="B400" s="14" t="str">
        <x:v>An ninh hàng không</x:v>
      </x:c>
      <x:c r="C400" s="14" t="str">
        <x:v>Khu vực hạn chế/kiểm soát ra vào</x:v>
      </x:c>
      <x:c r="D400" s="14" t="str">
        <x:v>Doanh nghiệp chủ quản cơ sở cung cấp dịch vụ bảo đảm hoạt động bay xây dựng phương án khẩn nguy đối phó hành vi can thiệp bất hợp pháp theo Phụ lục II.</x:v>
      </x:c>
      <x:c r="E400" s="14" t="str">
        <x:v>Ban An ninh hàng không</x:v>
      </x:c>
      <x:c r="F400" s="14" t="str">
        <x:v>P1</x:v>
      </x:c>
      <x:c r="G400" s="14" t="str">
        <x:v>Ban hành/cập nhật định kỳ; khi thay đổi rủi ro/cơ sở</x:v>
      </x:c>
      <x:c r="H400" s="14" t="str">
        <x:v>Chưa bắt đầu</x:v>
      </x:c>
      <x:c r="I400" s="20" t="n">
        <x:f>IF(H400="Hoàn thành",100%,IF(H400="Không áp dụng",100%,IF(H400="Đang thực hiện",50%,IF(H400="Đang chờ phối hợp",25%,0%))))</x:f>
        <x:v>0</x:v>
      </x:c>
      <x:c r="J400" s="58" t="str"/>
      <x:c r="K400" s="14" t="str"/>
      <x:c r="L400" s="14" t="str"/>
      <x:c r="M400" s="14" t="str"/>
      <x:c r="N400" s="14" t="str"/>
      <x:c r="O400" s="14" t="str"/>
      <x:c r="P400" s="58" t="str"/>
      <x:c r="Q400" s="14" t="str"/>
    </x:row>
    <x:row r="401">
      <x:c r="A401" s="14" t="str">
        <x:v>VATM-0400</x:v>
      </x:c>
      <x:c r="B401" s="14" t="str">
        <x:v>An ninh hàng không</x:v>
      </x:c>
      <x:c r="C401" s="14" t="str">
        <x:v>Ứng phó sự cố/diễn tập ANHK</x:v>
      </x:c>
      <x:c r="D401" s="14" t="str">
        <x:v>Phương án phải có tình huống tấn công vũ trang vào công trình BĐHĐB; chiếm đoạt/gây bạo loạn tại cơ sở cung cấp dịch vụ BĐHĐB; UAV xâm nhập.</x:v>
      </x:c>
      <x:c r="E401" s="14" t="str">
        <x:v>Ban An ninh hàng không; Các Công ty Quản lý bay khu vực Bắc/Trung/Nam</x:v>
      </x:c>
      <x:c r="F401" s="14" t="str">
        <x:v>P1</x:v>
      </x:c>
      <x:c r="G401" s="14" t="str">
        <x:v>Khi lập phương án; diễn tập tối thiểu 2 năm/lần</x:v>
      </x:c>
      <x:c r="H401" s="14" t="str">
        <x:v>Chưa bắt đầu</x:v>
      </x:c>
      <x:c r="I401" s="20" t="n">
        <x:f>IF(H401="Hoàn thành",100%,IF(H401="Không áp dụng",100%,IF(H401="Đang thực hiện",50%,IF(H401="Đang chờ phối hợp",25%,0%))))</x:f>
        <x:v>0</x:v>
      </x:c>
      <x:c r="J401" s="58" t="str"/>
      <x:c r="K401" s="14" t="str"/>
      <x:c r="L401" s="14" t="str"/>
      <x:c r="M401" s="14" t="str"/>
      <x:c r="N401" s="14" t="str"/>
      <x:c r="O401" s="14" t="str"/>
      <x:c r="P401" s="58" t="str"/>
      <x:c r="Q401" s="14" t="str"/>
    </x:row>
    <x:row r="402">
      <x:c r="A402" s="14" t="str">
        <x:v>VATM-0401</x:v>
      </x:c>
      <x:c r="B402" s="14" t="str">
        <x:v>An ninh hàng không</x:v>
      </x:c>
      <x:c r="C402" s="14" t="str">
        <x:v>An ninh hệ thống CNS/ATM/CNTT</x:v>
      </x:c>
      <x:c r="D402" s="14" t="str">
        <x:v>Phối hợp bảo đảm thông tin liên lạc, phục vụ chỉ huy đối phó tại cảng hàng không; duy trì khả năng điều hành bay khi thiết lập sở chỉ huy/khu vực biệt lập.</x:v>
      </x:c>
      <x:c r="E402" s="14" t="str">
        <x:v>Ban An ninh hàng không; Ban Không lưu; Ban Kỹ thuật - CNS/IT/Môi trường</x:v>
      </x:c>
      <x:c r="F402" s="14" t="str">
        <x:v>P1</x:v>
      </x:c>
      <x:c r="G402" s="14" t="str">
        <x:v>Khi quy hoạch/phương án; khi xảy ra</x:v>
      </x:c>
      <x:c r="H402" s="14" t="str">
        <x:v>Chưa bắt đầu</x:v>
      </x:c>
      <x:c r="I402" s="20" t="n">
        <x:f>IF(H402="Hoàn thành",100%,IF(H402="Không áp dụng",100%,IF(H402="Đang thực hiện",50%,IF(H402="Đang chờ phối hợp",25%,0%))))</x:f>
        <x:v>0</x:v>
      </x:c>
      <x:c r="J402" s="58" t="str"/>
      <x:c r="K402" s="14" t="str"/>
      <x:c r="L402" s="14" t="str"/>
      <x:c r="M402" s="14" t="str"/>
      <x:c r="N402" s="14" t="str"/>
      <x:c r="O402" s="14" t="str"/>
      <x:c r="P402" s="58" t="str"/>
      <x:c r="Q402" s="14" t="str"/>
    </x:row>
    <x:row r="403">
      <x:c r="A403" s="14" t="str">
        <x:v>VATM-0402</x:v>
      </x:c>
      <x:c r="B403" s="14" t="str">
        <x:v>An ninh hàng không</x:v>
      </x:c>
      <x:c r="C403" s="14" t="str">
        <x:v>Khu vực hạn chế/kiểm soát ra vào</x:v>
      </x:c>
      <x:c r="D403" s="14" t="str">
        <x:v>Doanh nghiệp chủ quản cơ sở cung cấp dịch vụ BĐHĐB/không lưu tổ chức diễn tập cấp cơ sở có lực lượng liên quan; tối thiểu 02 năm/lần.</x:v>
      </x:c>
      <x:c r="E403" s="14" t="str">
        <x:v>Ban An ninh hàng không</x:v>
      </x:c>
      <x:c r="F403" s="14" t="str">
        <x:v>P1</x:v>
      </x:c>
      <x:c r="G403" s="14" t="str">
        <x:v>Tối thiểu 02 năm/lần; sau thay đổi lớn</x:v>
      </x:c>
      <x:c r="H403" s="14" t="str">
        <x:v>Chưa bắt đầu</x:v>
      </x:c>
      <x:c r="I403" s="20" t="n">
        <x:f>IF(H403="Hoàn thành",100%,IF(H403="Không áp dụng",100%,IF(H403="Đang thực hiện",50%,IF(H403="Đang chờ phối hợp",25%,0%))))</x:f>
        <x:v>0</x:v>
      </x:c>
      <x:c r="J403" s="58" t="str"/>
      <x:c r="K403" s="14" t="str"/>
      <x:c r="L403" s="14" t="str"/>
      <x:c r="M403" s="14" t="str"/>
      <x:c r="N403" s="14" t="str"/>
      <x:c r="O403" s="14" t="str"/>
      <x:c r="P403" s="58" t="str"/>
      <x:c r="Q403" s="14" t="str"/>
    </x:row>
    <x:row r="404">
      <x:c r="A404" s="14" t="str">
        <x:v>VATM-0403</x:v>
      </x:c>
      <x:c r="B404" s="14" t="str">
        <x:v>An ninh hàng không</x:v>
      </x:c>
      <x:c r="C404" s="14" t="str">
        <x:v>Khu vực hạn chế/kiểm soát ra vào</x:v>
      </x:c>
      <x:c r="D404" s="14" t="str">
        <x:v>Doanh nghiệp cung cấp dịch vụ không lưu tổ chức lực lượng kiểm soát an ninh hàng không tại cơ sở cung cấp dịch vụ không lưu nằm ngoài khu vực hạn chế cảng hàng không.</x:v>
      </x:c>
      <x:c r="E404" s="14" t="str">
        <x:v>Ban An ninh hàng không</x:v>
      </x:c>
      <x:c r="F404" s="14" t="str">
        <x:v>P1</x:v>
      </x:c>
      <x:c r="G404" s="14" t="str">
        <x:v>Theo phê duyệt chương trình; duy trì liên tục</x:v>
      </x:c>
      <x:c r="H404" s="14" t="str">
        <x:v>Chưa bắt đầu</x:v>
      </x:c>
      <x:c r="I404" s="20" t="n">
        <x:f>IF(H404="Hoàn thành",100%,IF(H404="Không áp dụng",100%,IF(H404="Đang thực hiện",50%,IF(H404="Đang chờ phối hợp",25%,0%))))</x:f>
        <x:v>0</x:v>
      </x:c>
      <x:c r="J404" s="58" t="str"/>
      <x:c r="K404" s="14" t="str"/>
      <x:c r="L404" s="14" t="str"/>
      <x:c r="M404" s="14" t="str"/>
      <x:c r="N404" s="14" t="str"/>
      <x:c r="O404" s="14" t="str"/>
      <x:c r="P404" s="58" t="str"/>
      <x:c r="Q404" s="14" t="str"/>
    </x:row>
    <x:row r="405">
      <x:c r="A405" s="14" t="str">
        <x:v>VATM-0404</x:v>
      </x:c>
      <x:c r="B405" s="14" t="str">
        <x:v>An ninh hàng không</x:v>
      </x:c>
      <x:c r="C405" s="14" t="str">
        <x:v>Chương trình/kế hoạch ANHK VATM</x:v>
      </x:c>
      <x:c r="D405" s="14" t="str">
        <x:v>Lực lượng KSANHK của doanh nghiệp phải có hệ thống tổ chức bảo đảm an ninh độc lập; người đứng đầu không kiêm nhiệm và được phê chuẩn cùng chương trình an ninh.</x:v>
      </x:c>
      <x:c r="E405" s="14" t="str">
        <x:v>Ban An ninh hàng không</x:v>
      </x:c>
      <x:c r="F405" s="14" t="str">
        <x:v>P1</x:v>
      </x:c>
      <x:c r="G405" s="14" t="str">
        <x:v>Khi kiện toàn tổ chức; khi trình chương trình</x:v>
      </x:c>
      <x:c r="H405" s="14" t="str">
        <x:v>Chưa bắt đầu</x:v>
      </x:c>
      <x:c r="I405" s="20" t="n">
        <x:f>IF(H405="Hoàn thành",100%,IF(H405="Không áp dụng",100%,IF(H405="Đang thực hiện",50%,IF(H405="Đang chờ phối hợp",25%,0%))))</x:f>
        <x:v>0</x:v>
      </x:c>
      <x:c r="J405" s="58" t="str"/>
      <x:c r="K405" s="14" t="str"/>
      <x:c r="L405" s="14" t="str"/>
      <x:c r="M405" s="14" t="str"/>
      <x:c r="N405" s="14" t="str"/>
      <x:c r="O405" s="14" t="str"/>
      <x:c r="P405" s="58" t="str"/>
      <x:c r="Q405" s="14" t="str"/>
    </x:row>
    <x:row r="406">
      <x:c r="A406" s="14" t="str">
        <x:v>VATM-0405</x:v>
      </x:c>
      <x:c r="B406" s="14" t="str">
        <x:v>An ninh hàng không</x:v>
      </x:c>
      <x:c r="C406" s="14" t="str">
        <x:v>Khu vực hạn chế/kiểm soát ra vào</x:v>
      </x:c>
      <x:c r="D406" s="14" t="str">
        <x:v>Nhân viên KSANHK phải được đào tạo, huấn luyện, cấp giấy phép, năng định theo quy định Bộ Công an.</x:v>
      </x:c>
      <x:c r="E406" s="14" t="str">
        <x:v>Ban An ninh hàng không</x:v>
      </x:c>
      <x:c r="F406" s="14" t="str">
        <x:v>P1</x:v>
      </x:c>
      <x:c r="G406" s="14" t="str">
        <x:v>Trước bố trí nhiệm vụ; định kỳ</x:v>
      </x:c>
      <x:c r="H406" s="14" t="str">
        <x:v>Chưa bắt đầu</x:v>
      </x:c>
      <x:c r="I406" s="20" t="n">
        <x:f>IF(H406="Hoàn thành",100%,IF(H406="Không áp dụng",100%,IF(H406="Đang thực hiện",50%,IF(H406="Đang chờ phối hợp",25%,0%))))</x:f>
        <x:v>0</x:v>
      </x:c>
      <x:c r="J406" s="58" t="str"/>
      <x:c r="K406" s="14" t="str"/>
      <x:c r="L406" s="14" t="str"/>
      <x:c r="M406" s="14" t="str"/>
      <x:c r="N406" s="14" t="str"/>
      <x:c r="O406" s="14" t="str"/>
      <x:c r="P406" s="58" t="str"/>
      <x:c r="Q406" s="14" t="str"/>
    </x:row>
    <x:row r="407">
      <x:c r="A407" s="14" t="str">
        <x:v>VATM-0406</x:v>
      </x:c>
      <x:c r="B407" s="14" t="str">
        <x:v>An ninh hàng không</x:v>
      </x:c>
      <x:c r="C407" s="14" t="str">
        <x:v>Chương trình/kế hoạch ANHK VATM</x:v>
      </x:c>
      <x:c r="D407" s="14" t="str">
        <x:v>Lực lượng KSANHK của doanh nghiệp giúp xây dựng, trình phê duyệt và tổ chức thực hiện chương trình an ninh trong phạm vi quản lý.</x:v>
      </x:c>
      <x:c r="E407" s="14" t="str">
        <x:v>Ban An ninh hàng không</x:v>
      </x:c>
      <x:c r="F407" s="14" t="str">
        <x:v>P1</x:v>
      </x:c>
      <x:c r="G407" s="14" t="str">
        <x:v>Hằng năm/khi sửa đổi</x:v>
      </x:c>
      <x:c r="H407" s="14" t="str">
        <x:v>Chưa bắt đầu</x:v>
      </x:c>
      <x:c r="I407" s="20" t="n">
        <x:f>IF(H407="Hoàn thành",100%,IF(H407="Không áp dụng",100%,IF(H407="Đang thực hiện",50%,IF(H407="Đang chờ phối hợp",25%,0%))))</x:f>
        <x:v>0</x:v>
      </x:c>
      <x:c r="J407" s="58" t="str"/>
      <x:c r="K407" s="14" t="str"/>
      <x:c r="L407" s="14" t="str"/>
      <x:c r="M407" s="14" t="str"/>
      <x:c r="N407" s="14" t="str"/>
      <x:c r="O407" s="14" t="str"/>
      <x:c r="P407" s="58" t="str"/>
      <x:c r="Q407" s="14" t="str"/>
    </x:row>
    <x:row r="408">
      <x:c r="A408" s="14" t="str">
        <x:v>VATM-0407</x:v>
      </x:c>
      <x:c r="B408" s="14" t="str">
        <x:v>An ninh hàng không</x:v>
      </x:c>
      <x:c r="C408" s="14" t="str">
        <x:v>Quản trị, phối hợp và giám sát ANHK</x:v>
      </x:c>
      <x:c r="D408" s="14" t="str">
        <x:v>Lực lượng KSANHK doanh nghiệp tham gia đối phó ban đầu và bảo vệ hiện trường vụ việc uy hiếp an ninh tại khu vực doanh nghiệp quản lý.</x:v>
      </x:c>
      <x:c r="E408" s="14" t="str">
        <x:v>Ban An ninh hàng không</x:v>
      </x:c>
      <x:c r="F408" s="14" t="str">
        <x:v>P1</x:v>
      </x:c>
      <x:c r="G408" s="14" t="str">
        <x:v>Ngay khi phát sinh</x:v>
      </x:c>
      <x:c r="H408" s="14" t="str">
        <x:v>Chưa bắt đầu</x:v>
      </x:c>
      <x:c r="I408" s="20" t="n">
        <x:f>IF(H408="Hoàn thành",100%,IF(H408="Không áp dụng",100%,IF(H408="Đang thực hiện",50%,IF(H408="Đang chờ phối hợp",25%,0%))))</x:f>
        <x:v>0</x:v>
      </x:c>
      <x:c r="J408" s="58" t="str"/>
      <x:c r="K408" s="14" t="str"/>
      <x:c r="L408" s="14" t="str"/>
      <x:c r="M408" s="14" t="str"/>
      <x:c r="N408" s="14" t="str"/>
      <x:c r="O408" s="14" t="str"/>
      <x:c r="P408" s="58" t="str"/>
      <x:c r="Q408" s="14" t="str"/>
    </x:row>
    <x:row r="409">
      <x:c r="A409" s="14" t="str">
        <x:v>VATM-0408</x:v>
      </x:c>
      <x:c r="B409" s="14" t="str">
        <x:v>An ninh hàng không</x:v>
      </x:c>
      <x:c r="C409" s="14" t="str">
        <x:v>Quản trị, phối hợp và giám sát ANHK</x:v>
      </x:c>
      <x:c r="D409" s="14" t="str">
        <x:v>Phối hợp với cơ quan chức năng bảo đảm an ninh, trật tự và lập biên bản hành vi uy hiếp an ninh chuyển giao cơ quan có thẩm quyền.</x:v>
      </x:c>
      <x:c r="E409" s="14" t="str">
        <x:v>Ban An ninh hàng không; Văn phòng - Pháp chế</x:v>
      </x:c>
      <x:c r="F409" s="14" t="str">
        <x:v>P1</x:v>
      </x:c>
      <x:c r="G409" s="14" t="str">
        <x:v>Khi phát sinh</x:v>
      </x:c>
      <x:c r="H409" s="14" t="str">
        <x:v>Chưa bắt đầu</x:v>
      </x:c>
      <x:c r="I409" s="20" t="n">
        <x:f>IF(H409="Hoàn thành",100%,IF(H409="Không áp dụng",100%,IF(H409="Đang thực hiện",50%,IF(H409="Đang chờ phối hợp",25%,0%))))</x:f>
        <x:v>0</x:v>
      </x:c>
      <x:c r="J409" s="58" t="str"/>
      <x:c r="K409" s="14" t="str"/>
      <x:c r="L409" s="14" t="str"/>
      <x:c r="M409" s="14" t="str"/>
      <x:c r="N409" s="14" t="str"/>
      <x:c r="O409" s="14" t="str"/>
      <x:c r="P409" s="58" t="str"/>
      <x:c r="Q409" s="14" t="str"/>
    </x:row>
    <x:row r="410">
      <x:c r="A410" s="14" t="str">
        <x:v>VATM-0409</x:v>
      </x:c>
      <x:c r="B410" s="14" t="str">
        <x:v>An ninh hàng không</x:v>
      </x:c>
      <x:c r="C410" s="14" t="str">
        <x:v>Khu vực hạn chế/kiểm soát ra vào</x:v>
      </x:c>
      <x:c r="D410" s="14" t="str">
        <x:v>Lực lượng KSANHK doanh nghiệp có trang phục, phù hiệu trong chương trình an ninh; được trang bị thiết bị, phương tiện, công cụ hỗ trợ theo pháp luật.</x:v>
      </x:c>
      <x:c r="E410" s="14" t="str">
        <x:v>Ban An ninh hàng không</x:v>
      </x:c>
      <x:c r="F410" s="14" t="str">
        <x:v>P1</x:v>
      </x:c>
      <x:c r="G410" s="14" t="str">
        <x:v>Theo kế hoạch mua sắm; kiểm kê định kỳ</x:v>
      </x:c>
      <x:c r="H410" s="14" t="str">
        <x:v>Chưa bắt đầu</x:v>
      </x:c>
      <x:c r="I410" s="20" t="n">
        <x:f>IF(H410="Hoàn thành",100%,IF(H410="Không áp dụng",100%,IF(H410="Đang thực hiện",50%,IF(H410="Đang chờ phối hợp",25%,0%))))</x:f>
        <x:v>0</x:v>
      </x:c>
      <x:c r="J410" s="58" t="str"/>
      <x:c r="K410" s="14" t="str"/>
      <x:c r="L410" s="14" t="str"/>
      <x:c r="M410" s="14" t="str"/>
      <x:c r="N410" s="14" t="str"/>
      <x:c r="O410" s="14" t="str"/>
      <x:c r="P410" s="58" t="str"/>
      <x:c r="Q410" s="14" t="str"/>
    </x:row>
    <x:row r="411">
      <x:c r="A411" s="14" t="str">
        <x:v>VATM-0410</x:v>
      </x:c>
      <x:c r="B411" s="14" t="str">
        <x:v>An ninh hàng không</x:v>
      </x:c>
      <x:c r="C411" s="14" t="str">
        <x:v>Khu vực hạn chế/kiểm soát ra vào</x:v>
      </x:c>
      <x:c r="D411" s="14" t="str">
        <x:v>Đơn vị tham gia phục vụ chuyến bay chuyên cơ/chuyên khoang lập danh sách người, phương tiện đề nghị cấp thẻ/giấy phép dài hạn/ngắn hạn.</x:v>
      </x:c>
      <x:c r="E411" s="14" t="str">
        <x:v>Ban An ninh hàng không; Ban Không lưu; Ban Kỹ thuật - CNS/IT/Môi trường</x:v>
      </x:c>
      <x:c r="F411" s="14" t="str">
        <x:v>P1</x:v>
      </x:c>
      <x:c r="G411" s="14" t="str">
        <x:v>Trước đợt phục vụ; cập nhật khi nhân sự/phương tiện thay đổi</x:v>
      </x:c>
      <x:c r="H411" s="14" t="str">
        <x:v>Chưa bắt đầu</x:v>
      </x:c>
      <x:c r="I411" s="20" t="n">
        <x:f>IF(H411="Hoàn thành",100%,IF(H411="Không áp dụng",100%,IF(H411="Đang thực hiện",50%,IF(H411="Đang chờ phối hợp",25%,0%))))</x:f>
        <x:v>0</x:v>
      </x:c>
      <x:c r="J411" s="58" t="str"/>
      <x:c r="K411" s="14" t="str"/>
      <x:c r="L411" s="14" t="str"/>
      <x:c r="M411" s="14" t="str"/>
      <x:c r="N411" s="14" t="str"/>
      <x:c r="O411" s="14" t="str"/>
      <x:c r="P411" s="58" t="str"/>
      <x:c r="Q411" s="14" t="str"/>
    </x:row>
    <x:row r="412">
      <x:c r="A412" s="14" t="str">
        <x:v>VATM-0411</x:v>
      </x:c>
      <x:c r="B412" s="14" t="str">
        <x:v>An ninh hàng không</x:v>
      </x:c>
      <x:c r="C412" s="14" t="str">
        <x:v>An ninh hệ thống CNS/ATM/CNTT</x:v>
      </x:c>
      <x:c r="D412" s="14" t="str">
        <x:v>Các quy định chuyên cơ chủ yếu áp dụng hãng/KSANHK cảng; VATM phải phối hợp ưu tiên điều hành bay, bảo đảm nhân sự, kênh liên lạc, bảo vệ thông tin lịch bay.</x:v>
      </x:c>
      <x:c r="E412" s="14" t="str">
        <x:v>Ban An ninh hàng không; Trung tâm Thông báo tin tức hàng không</x:v>
      </x:c>
      <x:c r="F412" s="14" t="str">
        <x:v>P1</x:v>
      </x:c>
      <x:c r="G412" s="14" t="str">
        <x:v>Theo từng chuyến/đợt chuyên cơ</x:v>
      </x:c>
      <x:c r="H412" s="14" t="str">
        <x:v>Chưa bắt đầu</x:v>
      </x:c>
      <x:c r="I412" s="20" t="n">
        <x:f>IF(H412="Hoàn thành",100%,IF(H412="Không áp dụng",100%,IF(H412="Đang thực hiện",50%,IF(H412="Đang chờ phối hợp",25%,0%))))</x:f>
        <x:v>0</x:v>
      </x:c>
      <x:c r="J412" s="58" t="str"/>
      <x:c r="K412" s="14" t="str"/>
      <x:c r="L412" s="14" t="str"/>
      <x:c r="M412" s="14" t="str"/>
      <x:c r="N412" s="14" t="str"/>
      <x:c r="O412" s="14" t="str"/>
      <x:c r="P412" s="58" t="str"/>
      <x:c r="Q412" s="14" t="str"/>
    </x:row>
    <x:row r="413">
      <x:c r="A413" s="14" t="str">
        <x:v>VATM-0412</x:v>
      </x:c>
      <x:c r="B413" s="14" t="str">
        <x:v>An ninh hàng không</x:v>
      </x:c>
      <x:c r="C413" s="14" t="str">
        <x:v>Đào tạo/nhận thức an ninh</x:v>
      </x:c>
      <x:c r="D413" s="14" t="str">
        <x:v>Nhà chức trách an ninh có quyền đình chỉ nhân viên hàng không vi phạm và chỉ đạo đơn vị ngành hàng không thực hiện biện pháp khẩn cấp phục vụ quốc phòng, an ninh, khẩn nguy.</x:v>
      </x:c>
      <x:c r="E413" s="14" t="str">
        <x:v>Ban An ninh hàng không</x:v>
      </x:c>
      <x:c r="F413" s="14" t="str">
        <x:v>P1</x:v>
      </x:c>
      <x:c r="G413" s="14" t="str">
        <x:v>Khi có quyết định/chỉ đạo</x:v>
      </x:c>
      <x:c r="H413" s="14" t="str">
        <x:v>Chưa bắt đầu</x:v>
      </x:c>
      <x:c r="I413" s="20" t="n">
        <x:f>IF(H413="Hoàn thành",100%,IF(H413="Không áp dụng",100%,IF(H413="Đang thực hiện",50%,IF(H413="Đang chờ phối hợp",25%,0%))))</x:f>
        <x:v>0</x:v>
      </x:c>
      <x:c r="J413" s="58" t="str"/>
      <x:c r="K413" s="14" t="str"/>
      <x:c r="L413" s="14" t="str"/>
      <x:c r="M413" s="14" t="str"/>
      <x:c r="N413" s="14" t="str"/>
      <x:c r="O413" s="14" t="str"/>
      <x:c r="P413" s="58" t="str"/>
      <x:c r="Q413" s="14" t="str"/>
    </x:row>
    <x:row r="414">
      <x:c r="A414" s="14" t="str">
        <x:v>VATM-0413</x:v>
      </x:c>
      <x:c r="B414" s="14" t="str">
        <x:v>An ninh hàng không</x:v>
      </x:c>
      <x:c r="C414" s="14" t="str">
        <x:v>Khu vực hạn chế/kiểm soát ra vào</x:v>
      </x:c>
      <x:c r="D414" s="14" t="str">
        <x:v>Giám sát viên an ninh có quyền tiếp cận khu vực hạn chế, yêu cầu tài liệu, đình chỉ trang thiết bị/phương tiện uy hiếp an ninh; VATM phải phối hợp.</x:v>
      </x:c>
      <x:c r="E414" s="14" t="str">
        <x:v>Ban An ninh hàng không; Văn phòng - Pháp chế</x:v>
      </x:c>
      <x:c r="F414" s="14" t="str">
        <x:v>P1</x:v>
      </x:c>
      <x:c r="G414" s="14" t="str">
        <x:v>Khi kiểm tra/giám sát</x:v>
      </x:c>
      <x:c r="H414" s="14" t="str">
        <x:v>Chưa bắt đầu</x:v>
      </x:c>
      <x:c r="I414" s="20" t="n">
        <x:f>IF(H414="Hoàn thành",100%,IF(H414="Không áp dụng",100%,IF(H414="Đang thực hiện",50%,IF(H414="Đang chờ phối hợp",25%,0%))))</x:f>
        <x:v>0</x:v>
      </x:c>
      <x:c r="J414" s="58" t="str"/>
      <x:c r="K414" s="14" t="str"/>
      <x:c r="L414" s="14" t="str"/>
      <x:c r="M414" s="14" t="str"/>
      <x:c r="N414" s="14" t="str"/>
      <x:c r="O414" s="14" t="str"/>
      <x:c r="P414" s="58" t="str"/>
      <x:c r="Q414" s="14" t="str"/>
    </x:row>
    <x:row r="415">
      <x:c r="A415" s="14" t="str">
        <x:v>VATM-0414</x:v>
      </x:c>
      <x:c r="B415" s="14" t="str">
        <x:v>An ninh hàng không</x:v>
      </x:c>
      <x:c r="C415" s="14" t="str">
        <x:v>Khu vực hạn chế/kiểm soát ra vào</x:v>
      </x:c>
      <x:c r="D415" s="14" t="str">
        <x:v>Chương trình tạo thuận lợi yêu cầu cơ chế phối hợp liên ngành, kết nối/chia sẻ dữ liệu giữa cơ quan, doanh nghiệp.</x:v>
      </x:c>
      <x:c r="E415" s="14" t="str">
        <x:v>Ban An ninh hàng không; Ban Kế hoạch doanh nghiệp - Chuyển đổi số; Ban Kỹ thuật - CNS/IT/Môi trường; Trung tâm Thông báo tin tức hàng không; Trung tâm Quản lý luồng không lưu</x:v>
      </x:c>
      <x:c r="F415" s="14" t="str">
        <x:v>P1</x:v>
      </x:c>
      <x:c r="G415" s="14" t="str">
        <x:v>Theo chương trình quốc gia; dự án số hóa</x:v>
      </x:c>
      <x:c r="H415" s="14" t="str">
        <x:v>Chưa bắt đầu</x:v>
      </x:c>
      <x:c r="I415" s="20" t="n">
        <x:f>IF(H415="Hoàn thành",100%,IF(H415="Không áp dụng",100%,IF(H415="Đang thực hiện",50%,IF(H415="Đang chờ phối hợp",25%,0%))))</x:f>
        <x:v>0</x:v>
      </x:c>
      <x:c r="J415" s="58" t="str"/>
      <x:c r="K415" s="14" t="str"/>
      <x:c r="L415" s="14" t="str"/>
      <x:c r="M415" s="14" t="str"/>
      <x:c r="N415" s="14" t="str"/>
      <x:c r="O415" s="14" t="str"/>
      <x:c r="P415" s="58" t="str"/>
      <x:c r="Q415" s="14" t="str"/>
    </x:row>
    <x:row r="416">
      <x:c r="A416" s="14" t="str">
        <x:v>VATM-0415</x:v>
      </x:c>
      <x:c r="B416" s="14" t="str">
        <x:v>An ninh hàng không</x:v>
      </x:c>
      <x:c r="C416" s="14" t="str">
        <x:v>An ninh hệ thống CNS/ATM/CNTT</x:v>
      </x:c>
      <x:c r="D416" s="14" t="str">
        <x:v>Yêu cầu hạ tầng an ninh chủ yếu tại cảng; với cơ sở ANS, cần đối chiếu hệ thống hàng rào/camera/cổng/chiếu sáng/cảnh báo với rủi ro an ninh.</x:v>
      </x:c>
      <x:c r="E416" s="14" t="str">
        <x:v>Ban An ninh hàng không</x:v>
      </x:c>
      <x:c r="F416" s="14" t="str">
        <x:v>P1</x:v>
      </x:c>
      <x:c r="G416" s="14" t="str">
        <x:v>Khi xây mới/cải tạo; rà soát hằng năm</x:v>
      </x:c>
      <x:c r="H416" s="14" t="str">
        <x:v>Chưa bắt đầu</x:v>
      </x:c>
      <x:c r="I416" s="20" t="n">
        <x:f>IF(H416="Hoàn thành",100%,IF(H416="Không áp dụng",100%,IF(H416="Đang thực hiện",50%,IF(H416="Đang chờ phối hợp",25%,0%))))</x:f>
        <x:v>0</x:v>
      </x:c>
      <x:c r="J416" s="58" t="str"/>
      <x:c r="K416" s="14" t="str"/>
      <x:c r="L416" s="14" t="str"/>
      <x:c r="M416" s="14" t="str"/>
      <x:c r="N416" s="14" t="str"/>
      <x:c r="O416" s="14" t="str"/>
      <x:c r="P416" s="58" t="str"/>
      <x:c r="Q416" s="14" t="str"/>
    </x:row>
    <x:row r="417">
      <x:c r="A417" s="14" t="str">
        <x:v>VATM-0416</x:v>
      </x:c>
      <x:c r="B417" s="14" t="str">
        <x:v>An ninh hàng không</x:v>
      </x:c>
      <x:c r="C417" s="14" t="str">
        <x:v>Quản trị, phối hợp và giám sát ANHK</x:v>
      </x:c>
      <x:c r="D417" s="14" t="str">
        <x:v>Trang bị/phương tiện/thiết bị bảo đảm an ninh phải đầy đủ, phù hợp tiêu chuẩn, định mức và kết quả đánh giá rủi ro.</x:v>
      </x:c>
      <x:c r="E417" s="14" t="str">
        <x:v>Ban An ninh hàng không</x:v>
      </x:c>
      <x:c r="F417" s="14" t="str">
        <x:v>P1</x:v>
      </x:c>
      <x:c r="G417" s="14" t="str">
        <x:v>Kế hoạch năm; khi nâng cấp</x:v>
      </x:c>
      <x:c r="H417" s="14" t="str">
        <x:v>Chưa bắt đầu</x:v>
      </x:c>
      <x:c r="I417" s="20" t="n">
        <x:f>IF(H417="Hoàn thành",100%,IF(H417="Không áp dụng",100%,IF(H417="Đang thực hiện",50%,IF(H417="Đang chờ phối hợp",25%,0%))))</x:f>
        <x:v>0</x:v>
      </x:c>
      <x:c r="J417" s="58" t="str"/>
      <x:c r="K417" s="14" t="str"/>
      <x:c r="L417" s="14" t="str"/>
      <x:c r="M417" s="14" t="str"/>
      <x:c r="N417" s="14" t="str"/>
      <x:c r="O417" s="14" t="str"/>
      <x:c r="P417" s="58" t="str"/>
      <x:c r="Q417" s="14" t="str"/>
    </x:row>
    <x:row r="418">
      <x:c r="A418" s="14" t="str">
        <x:v>VATM-0417</x:v>
      </x:c>
      <x:c r="B418" s="14" t="str">
        <x:v>An ninh hàng không</x:v>
      </x:c>
      <x:c r="C418" s="14" t="str">
        <x:v>An ninh hệ thống CNS/ATM/CNTT</x:v>
      </x:c>
      <x:c r="D418" s="14" t="str">
        <x:v>Các nghĩa vụ về dữ liệu hành khách/hàng hóa chủ yếu áp dụng hãng, cảng, KSANHK; VATM cần bảo vệ dữ liệu ANS và không xử lý ngoài thẩm quyền.</x:v>
      </x:c>
      <x:c r="E418" s="14" t="str">
        <x:v>Ban An ninh hàng không; Ban Kế hoạch doanh nghiệp - Chuyển đổi số; Ban Kỹ thuật - CNS/IT/Môi trường; Trung tâm Thông báo tin tức hàng không</x:v>
      </x:c>
      <x:c r="F418" s="14" t="str">
        <x:v>P2</x:v>
      </x:c>
      <x:c r="G418" s="14" t="str">
        <x:v>Khi có kết nối dữ liệu</x:v>
      </x:c>
      <x:c r="H418" s="14" t="str">
        <x:v>Chưa bắt đầu</x:v>
      </x:c>
      <x:c r="I418" s="20" t="n">
        <x:f>IF(H418="Hoàn thành",100%,IF(H418="Không áp dụng",100%,IF(H418="Đang thực hiện",50%,IF(H418="Đang chờ phối hợp",25%,0%))))</x:f>
        <x:v>0</x:v>
      </x:c>
      <x:c r="J418" s="58" t="str"/>
      <x:c r="K418" s="14" t="str"/>
      <x:c r="L418" s="14" t="str"/>
      <x:c r="M418" s="14" t="str"/>
      <x:c r="N418" s="14" t="str"/>
      <x:c r="O418" s="14" t="str"/>
      <x:c r="P418" s="58" t="str"/>
      <x:c r="Q418" s="14" t="str"/>
    </x:row>
    <x:row r="419">
      <x:c r="A419" s="14" t="str">
        <x:v>VATM-0418</x:v>
      </x:c>
      <x:c r="B419" s="14" t="str">
        <x:v>An ninh hàng không</x:v>
      </x:c>
      <x:c r="C419" s="14" t="str">
        <x:v>Khu vực hạn chế/kiểm soát ra vào</x:v>
      </x:c>
      <x:c r="D419" s="14" t="str">
        <x:v>Nghĩa vụ thu/nộp phí chủ yếu thuộc Cục QLXNC, Công an tỉnh, hãng hàng không; VATM rà soát chi phí/nguồn kinh phí nếu cung cấp lực lượng, trang bị an ninh nội bộ.</x:v>
      </x:c>
      <x:c r="E419" s="14" t="str">
        <x:v>Ban An ninh hàng không; Ban Tài chính</x:v>
      </x:c>
      <x:c r="F419" s="14" t="str">
        <x:v>P2</x:v>
      </x:c>
      <x:c r="G419" s="14" t="str">
        <x:v>Hằng năm</x:v>
      </x:c>
      <x:c r="H419" s="14" t="str">
        <x:v>Chưa bắt đầu</x:v>
      </x:c>
      <x:c r="I419" s="20" t="n">
        <x:f>IF(H419="Hoàn thành",100%,IF(H419="Không áp dụng",100%,IF(H419="Đang thực hiện",50%,IF(H419="Đang chờ phối hợp",25%,0%))))</x:f>
        <x:v>0</x:v>
      </x:c>
      <x:c r="J419" s="58" t="str"/>
      <x:c r="K419" s="14" t="str"/>
      <x:c r="L419" s="14" t="str"/>
      <x:c r="M419" s="14" t="str"/>
      <x:c r="N419" s="14" t="str"/>
      <x:c r="O419" s="14" t="str"/>
      <x:c r="P419" s="58" t="str"/>
      <x:c r="Q419" s="14" t="str"/>
    </x:row>
    <x:row r="420">
      <x:c r="A420" s="14" t="str">
        <x:v>VATM-0419</x:v>
      </x:c>
      <x:c r="B420" s="14" t="str">
        <x:v>An ninh hàng không</x:v>
      </x:c>
      <x:c r="C420" s="14" t="str">
        <x:v>An ninh hệ thống CNS/ATM/CNTT</x:v>
      </x:c>
      <x:c r="D420" s="14" t="str">
        <x:v>Bộ Xây dựng chỉ đạo cơ quan, đơn vị ngành hàng không phối hợp Cục QLXNC về biện pháp an ninh, đánh giá rủi ro, bảo vệ an ninh nội bộ, hệ thống thông tin chuyên ngành.</x:v>
      </x:c>
      <x:c r="E420" s="14" t="str">
        <x:v>Ban An ninh hàng không; Ban Kế hoạch doanh nghiệp - Chuyển đổi số; Ban Kỹ thuật - CNS/IT/Môi trường</x:v>
      </x:c>
      <x:c r="F420" s="14" t="str">
        <x:v>P1</x:v>
      </x:c>
      <x:c r="G420" s="14" t="str">
        <x:v>Theo chỉ đạo/định kỳ</x:v>
      </x:c>
      <x:c r="H420" s="14" t="str">
        <x:v>Chưa bắt đầu</x:v>
      </x:c>
      <x:c r="I420" s="20" t="n">
        <x:f>IF(H420="Hoàn thành",100%,IF(H420="Không áp dụng",100%,IF(H420="Đang thực hiện",50%,IF(H420="Đang chờ phối hợp",25%,0%))))</x:f>
        <x:v>0</x:v>
      </x:c>
      <x:c r="J420" s="58" t="str"/>
      <x:c r="K420" s="14" t="str"/>
      <x:c r="L420" s="14" t="str"/>
      <x:c r="M420" s="14" t="str"/>
      <x:c r="N420" s="14" t="str"/>
      <x:c r="O420" s="14" t="str"/>
      <x:c r="P420" s="58" t="str"/>
      <x:c r="Q420" s="14" t="str"/>
    </x:row>
    <x:row r="421">
      <x:c r="A421" s="14" t="str">
        <x:v>VATM-0420</x:v>
      </x:c>
      <x:c r="B421" s="14" t="str">
        <x:v>An ninh hàng không</x:v>
      </x:c>
      <x:c r="C421" s="14" t="str">
        <x:v>Ứng phó sự cố/diễn tập ANHK</x:v>
      </x:c>
      <x:c r="D421" s="14" t="str">
        <x:v>Bộ Quốc phòng quản lý, bảo vệ vùng trời, phối hợp đánh giá nguy cơ; quy định hiệp đồng bảo vệ chuyên cơ/chuyên khoang trong vùng trời/FIR Việt Nam.</x:v>
      </x:c>
      <x:c r="E421" s="14" t="str">
        <x:v>Ban An ninh hàng không</x:v>
      </x:c>
      <x:c r="F421" s="14" t="str">
        <x:v>P1</x:v>
      </x:c>
      <x:c r="G421" s="14" t="str">
        <x:v>Định kỳ/khi chuyên cơ/khẩn nguy</x:v>
      </x:c>
      <x:c r="H421" s="14" t="str">
        <x:v>Chưa bắt đầu</x:v>
      </x:c>
      <x:c r="I421" s="20" t="n">
        <x:f>IF(H421="Hoàn thành",100%,IF(H421="Không áp dụng",100%,IF(H421="Đang thực hiện",50%,IF(H421="Đang chờ phối hợp",25%,0%))))</x:f>
        <x:v>0</x:v>
      </x:c>
      <x:c r="J421" s="58" t="str"/>
      <x:c r="K421" s="14" t="str"/>
      <x:c r="L421" s="14" t="str"/>
      <x:c r="M421" s="14" t="str"/>
      <x:c r="N421" s="14" t="str"/>
      <x:c r="O421" s="14" t="str"/>
      <x:c r="P421" s="58" t="str"/>
      <x:c r="Q421" s="14" t="str"/>
    </x:row>
    <x:row r="422">
      <x:c r="A422" s="14" t="str">
        <x:v>VATM-0421</x:v>
      </x:c>
      <x:c r="B422" s="14" t="str">
        <x:v>An ninh hàng không</x:v>
      </x:c>
      <x:c r="C422" s="14" t="str">
        <x:v>Ứng phó sự cố/diễn tập ANHK</x:v>
      </x:c>
      <x:c r="D422" s="14" t="str">
        <x:v>Phương án cấp tỉnh có nội dung công trình BĐHĐB tại địa phương; VATM phải cung cấp thông tin cơ sở, lực lượng, phương án phối hợp.</x:v>
      </x:c>
      <x:c r="E422" s="14" t="str">
        <x:v>Ban An ninh hàng không; Các Công ty Quản lý bay khu vực Bắc/Trung/Nam</x:v>
      </x:c>
      <x:c r="F422" s="14" t="str">
        <x:v>P1</x:v>
      </x:c>
      <x:c r="G422" s="14" t="str">
        <x:v>Khi địa phương xây/cập nhật phương án</x:v>
      </x:c>
      <x:c r="H422" s="14" t="str">
        <x:v>Chưa bắt đầu</x:v>
      </x:c>
      <x:c r="I422" s="20" t="n">
        <x:f>IF(H422="Hoàn thành",100%,IF(H422="Không áp dụng",100%,IF(H422="Đang thực hiện",50%,IF(H422="Đang chờ phối hợp",25%,0%))))</x:f>
        <x:v>0</x:v>
      </x:c>
      <x:c r="J422" s="58" t="str"/>
      <x:c r="K422" s="14" t="str"/>
      <x:c r="L422" s="14" t="str"/>
      <x:c r="M422" s="14" t="str"/>
      <x:c r="N422" s="14" t="str"/>
      <x:c r="O422" s="14" t="str"/>
      <x:c r="P422" s="58" t="str"/>
      <x:c r="Q422" s="14" t="str"/>
    </x:row>
    <x:row r="423">
      <x:c r="A423" s="14" t="str">
        <x:v>VATM-0422</x:v>
      </x:c>
      <x:c r="B423" s="14" t="str">
        <x:v>An ninh hàng không</x:v>
      </x:c>
      <x:c r="C423" s="14" t="str">
        <x:v>Khu vực hạn chế/kiểm soát ra vào</x:v>
      </x:c>
      <x:c r="D423" s="14" t="str">
        <x:v>Phụ lục II yêu cầu nêu chức năng nhiệm vụ các cơ quan, quy định phối hợp, cơ sở bảo đảm, huấn luyện/diễn tập.</x:v>
      </x:c>
      <x:c r="E423" s="14" t="str">
        <x:v>Ban An ninh hàng không</x:v>
      </x:c>
      <x:c r="F423" s="14" t="str">
        <x:v>P1</x:v>
      </x:c>
      <x:c r="G423" s="14" t="str">
        <x:v>Khi lập/cập nhật phương án</x:v>
      </x:c>
      <x:c r="H423" s="14" t="str">
        <x:v>Chưa bắt đầu</x:v>
      </x:c>
      <x:c r="I423" s="20" t="n">
        <x:f>IF(H423="Hoàn thành",100%,IF(H423="Không áp dụng",100%,IF(H423="Đang thực hiện",50%,IF(H423="Đang chờ phối hợp",25%,0%))))</x:f>
        <x:v>0</x:v>
      </x:c>
      <x:c r="J423" s="58" t="str"/>
      <x:c r="K423" s="14" t="str"/>
      <x:c r="L423" s="14" t="str"/>
      <x:c r="M423" s="14" t="str"/>
      <x:c r="N423" s="14" t="str"/>
      <x:c r="O423" s="14" t="str"/>
      <x:c r="P423" s="58" t="str"/>
      <x:c r="Q423" s="14" t="str"/>
    </x:row>
    <x:row r="424">
      <x:c r="A424" s="14" t="str">
        <x:v>VATM-0423</x:v>
      </x:c>
      <x:c r="B424" s="14" t="str">
        <x:v>An ninh hàng không</x:v>
      </x:c>
      <x:c r="C424" s="14" t="str">
        <x:v>Khu vực hạn chế/kiểm soát ra vào</x:v>
      </x:c>
      <x:c r="D424" s="14" t="str">
        <x:v>Thiết lập bảo vệ an ninh riêng đối với ACC Hà Nội/Hồ Chí Minh, gồm khu vực hạn chế, bảo vệ hệ thống thông tin, phương án khẩn nguy và duy trì dịch vụ khi bị đe dọa.</x:v>
      </x:c>
      <x:c r="E424" s="14" t="str">
        <x:v>Ban An ninh hàng không</x:v>
      </x:c>
      <x:c r="F424" s="14" t="str">
        <x:v>P1</x:v>
      </x:c>
      <x:c r="G424" s="14" t="str">
        <x:v>Rà soát hằng năm; khi thay đổi khai thác</x:v>
      </x:c>
      <x:c r="H424" s="14" t="str">
        <x:v>Chưa bắt đầu</x:v>
      </x:c>
      <x:c r="I424" s="20" t="n">
        <x:f>IF(H424="Hoàn thành",100%,IF(H424="Không áp dụng",100%,IF(H424="Đang thực hiện",50%,IF(H424="Đang chờ phối hợp",25%,0%))))</x:f>
        <x:v>0</x:v>
      </x:c>
      <x:c r="J424" s="58" t="str"/>
      <x:c r="K424" s="14" t="str"/>
      <x:c r="L424" s="14" t="str"/>
      <x:c r="M424" s="14" t="str"/>
      <x:c r="N424" s="14" t="str"/>
      <x:c r="O424" s="14" t="str"/>
      <x:c r="P424" s="58" t="str"/>
      <x:c r="Q424" s="14" t="str"/>
    </x:row>
    <x:row r="425">
      <x:c r="A425" s="14" t="str">
        <x:v>VATM-0424</x:v>
      </x:c>
      <x:c r="B425" s="14" t="str">
        <x:v>An ninh hàng không</x:v>
      </x:c>
      <x:c r="C425" s="14" t="str">
        <x:v>Khu vực hạn chế/kiểm soát ra vào</x:v>
      </x:c>
      <x:c r="D425" s="14" t="str">
        <x:v>Thiết lập bảo vệ an ninh riêng đối với APP/TWR tại các cảng, gồm khu vực hạn chế, bảo vệ hệ thống thông tin, phương án khẩn nguy và duy trì dịch vụ khi bị đe dọa.</x:v>
      </x:c>
      <x:c r="E425" s="14" t="str">
        <x:v>Ban An ninh hàng không</x:v>
      </x:c>
      <x:c r="F425" s="14" t="str">
        <x:v>P1</x:v>
      </x:c>
      <x:c r="G425" s="14" t="str">
        <x:v>Rà soát hằng năm; khi thay đổi khai thác</x:v>
      </x:c>
      <x:c r="H425" s="14" t="str">
        <x:v>Chưa bắt đầu</x:v>
      </x:c>
      <x:c r="I425" s="20" t="n">
        <x:f>IF(H425="Hoàn thành",100%,IF(H425="Không áp dụng",100%,IF(H425="Đang thực hiện",50%,IF(H425="Đang chờ phối hợp",25%,0%))))</x:f>
        <x:v>0</x:v>
      </x:c>
      <x:c r="J425" s="58" t="str"/>
      <x:c r="K425" s="14" t="str"/>
      <x:c r="L425" s="14" t="str"/>
      <x:c r="M425" s="14" t="str"/>
      <x:c r="N425" s="14" t="str"/>
      <x:c r="O425" s="14" t="str"/>
      <x:c r="P425" s="58" t="str"/>
      <x:c r="Q425" s="14" t="str"/>
    </x:row>
    <x:row r="426">
      <x:c r="A426" s="14" t="str">
        <x:v>VATM-0425</x:v>
      </x:c>
      <x:c r="B426" s="14" t="str">
        <x:v>An ninh hàng không</x:v>
      </x:c>
      <x:c r="C426" s="14" t="str">
        <x:v>Khu vực hạn chế/kiểm soát ra vào</x:v>
      </x:c>
      <x:c r="D426" s="14" t="str">
        <x:v>Thiết lập bảo vệ an ninh riêng đối với Trạm radar giám sát, gồm khu vực hạn chế, bảo vệ hệ thống thông tin, phương án khẩn nguy và duy trì dịch vụ khi bị đe dọa.</x:v>
      </x:c>
      <x:c r="E426" s="14" t="str">
        <x:v>Ban An ninh hàng không</x:v>
      </x:c>
      <x:c r="F426" s="14" t="str">
        <x:v>P1</x:v>
      </x:c>
      <x:c r="G426" s="14" t="str">
        <x:v>Rà soát hằng năm; khi thay đổi khai thác</x:v>
      </x:c>
      <x:c r="H426" s="14" t="str">
        <x:v>Chưa bắt đầu</x:v>
      </x:c>
      <x:c r="I426" s="20" t="n">
        <x:f>IF(H426="Hoàn thành",100%,IF(H426="Không áp dụng",100%,IF(H426="Đang thực hiện",50%,IF(H426="Đang chờ phối hợp",25%,0%))))</x:f>
        <x:v>0</x:v>
      </x:c>
      <x:c r="J426" s="58" t="str"/>
      <x:c r="K426" s="14" t="str"/>
      <x:c r="L426" s="14" t="str"/>
      <x:c r="M426" s="14" t="str"/>
      <x:c r="N426" s="14" t="str"/>
      <x:c r="O426" s="14" t="str"/>
      <x:c r="P426" s="58" t="str"/>
      <x:c r="Q426" s="14" t="str"/>
    </x:row>
    <x:row r="427">
      <x:c r="A427" s="14" t="str">
        <x:v>VATM-0426</x:v>
      </x:c>
      <x:c r="B427" s="14" t="str">
        <x:v>An ninh hàng không</x:v>
      </x:c>
      <x:c r="C427" s="14" t="str">
        <x:v>Khu vực hạn chế/kiểm soát ra vào</x:v>
      </x:c>
      <x:c r="D427" s="14" t="str">
        <x:v>Thiết lập bảo vệ an ninh riêng đối với Trạm thông tin phục vụ điều hành bay, gồm khu vực hạn chế, bảo vệ hệ thống thông tin, phương án khẩn nguy và duy trì dịch vụ khi bị đe dọa.</x:v>
      </x:c>
      <x:c r="E427" s="14" t="str">
        <x:v>Ban An ninh hàng không</x:v>
      </x:c>
      <x:c r="F427" s="14" t="str">
        <x:v>P1</x:v>
      </x:c>
      <x:c r="G427" s="14" t="str">
        <x:v>Rà soát hằng năm; khi thay đổi khai thác</x:v>
      </x:c>
      <x:c r="H427" s="14" t="str">
        <x:v>Chưa bắt đầu</x:v>
      </x:c>
      <x:c r="I427" s="20" t="n">
        <x:f>IF(H427="Hoàn thành",100%,IF(H427="Không áp dụng",100%,IF(H427="Đang thực hiện",50%,IF(H427="Đang chờ phối hợp",25%,0%))))</x:f>
        <x:v>0</x:v>
      </x:c>
      <x:c r="J427" s="58" t="str"/>
      <x:c r="K427" s="14" t="str"/>
      <x:c r="L427" s="14" t="str"/>
      <x:c r="M427" s="14" t="str"/>
      <x:c r="N427" s="14" t="str"/>
      <x:c r="O427" s="14" t="str"/>
      <x:c r="P427" s="58" t="str"/>
      <x:c r="Q427" s="14" t="str"/>
    </x:row>
    <x:row r="428">
      <x:c r="A428" s="14" t="str">
        <x:v>VATM-0427</x:v>
      </x:c>
      <x:c r="B428" s="14" t="str">
        <x:v>An ninh hàng không</x:v>
      </x:c>
      <x:c r="C428" s="14" t="str">
        <x:v>Khu vực hạn chế/kiểm soát ra vào</x:v>
      </x:c>
      <x:c r="D428" s="14" t="str">
        <x:v>Thiết lập bảo vệ an ninh riêng đối với Trung tâm ATFM, gồm khu vực hạn chế, bảo vệ hệ thống thông tin, phương án khẩn nguy và duy trì dịch vụ khi bị đe dọa.</x:v>
      </x:c>
      <x:c r="E428" s="14" t="str">
        <x:v>Ban An ninh hàng không</x:v>
      </x:c>
      <x:c r="F428" s="14" t="str">
        <x:v>P1</x:v>
      </x:c>
      <x:c r="G428" s="14" t="str">
        <x:v>Rà soát hằng năm; khi thay đổi khai thác</x:v>
      </x:c>
      <x:c r="H428" s="14" t="str">
        <x:v>Chưa bắt đầu</x:v>
      </x:c>
      <x:c r="I428" s="20" t="n">
        <x:f>IF(H428="Hoàn thành",100%,IF(H428="Không áp dụng",100%,IF(H428="Đang thực hiện",50%,IF(H428="Đang chờ phối hợp",25%,0%))))</x:f>
        <x:v>0</x:v>
      </x:c>
      <x:c r="J428" s="58" t="str"/>
      <x:c r="K428" s="14" t="str"/>
      <x:c r="L428" s="14" t="str"/>
      <x:c r="M428" s="14" t="str"/>
      <x:c r="N428" s="14" t="str"/>
      <x:c r="O428" s="14" t="str"/>
      <x:c r="P428" s="58" t="str"/>
      <x:c r="Q428" s="14" t="str"/>
    </x:row>
    <x:row r="429">
      <x:c r="A429" s="14" t="str">
        <x:v>VATM-0428</x:v>
      </x:c>
      <x:c r="B429" s="14" t="str">
        <x:v>An ninh hàng không</x:v>
      </x:c>
      <x:c r="C429" s="14" t="str">
        <x:v>Khu vực hạn chế/kiểm soát ra vào</x:v>
      </x:c>
      <x:c r="D429" s="14" t="str">
        <x:v>Thiết lập bảo vệ an ninh riêng đối với Cơ sở AIS/AIM, gồm khu vực hạn chế, bảo vệ hệ thống thông tin, phương án khẩn nguy và duy trì dịch vụ khi bị đe dọa.</x:v>
      </x:c>
      <x:c r="E429" s="14" t="str">
        <x:v>Ban An ninh hàng không</x:v>
      </x:c>
      <x:c r="F429" s="14" t="str">
        <x:v>P1</x:v>
      </x:c>
      <x:c r="G429" s="14" t="str">
        <x:v>Rà soát hằng năm; khi thay đổi khai thác</x:v>
      </x:c>
      <x:c r="H429" s="14" t="str">
        <x:v>Chưa bắt đầu</x:v>
      </x:c>
      <x:c r="I429" s="20" t="n">
        <x:f>IF(H429="Hoàn thành",100%,IF(H429="Không áp dụng",100%,IF(H429="Đang thực hiện",50%,IF(H429="Đang chờ phối hợp",25%,0%))))</x:f>
        <x:v>0</x:v>
      </x:c>
      <x:c r="J429" s="58" t="str"/>
      <x:c r="K429" s="14" t="str"/>
      <x:c r="L429" s="14" t="str"/>
      <x:c r="M429" s="14" t="str"/>
      <x:c r="N429" s="14" t="str"/>
      <x:c r="O429" s="14" t="str"/>
      <x:c r="P429" s="58" t="str"/>
      <x:c r="Q429" s="14" t="str"/>
    </x:row>
    <x:row r="430">
      <x:c r="A430" s="14" t="str">
        <x:v>VATM-0429</x:v>
      </x:c>
      <x:c r="B430" s="14" t="str">
        <x:v>An ninh hàng không</x:v>
      </x:c>
      <x:c r="C430" s="14" t="str">
        <x:v>Khu vực hạn chế/kiểm soát ra vào</x:v>
      </x:c>
      <x:c r="D430" s="14" t="str">
        <x:v>Thiết lập bảo vệ an ninh riêng đối với Cơ sở MET phục vụ bay, gồm khu vực hạn chế, bảo vệ hệ thống thông tin, phương án khẩn nguy và duy trì dịch vụ khi bị đe dọa.</x:v>
      </x:c>
      <x:c r="E430" s="14" t="str">
        <x:v>Ban An ninh hàng không</x:v>
      </x:c>
      <x:c r="F430" s="14" t="str">
        <x:v>P1</x:v>
      </x:c>
      <x:c r="G430" s="14" t="str">
        <x:v>Rà soát hằng năm; khi thay đổi khai thác</x:v>
      </x:c>
      <x:c r="H430" s="14" t="str">
        <x:v>Chưa bắt đầu</x:v>
      </x:c>
      <x:c r="I430" s="20" t="n">
        <x:f>IF(H430="Hoàn thành",100%,IF(H430="Không áp dụng",100%,IF(H430="Đang thực hiện",50%,IF(H430="Đang chờ phối hợp",25%,0%))))</x:f>
        <x:v>0</x:v>
      </x:c>
      <x:c r="J430" s="58" t="str"/>
      <x:c r="K430" s="14" t="str"/>
      <x:c r="L430" s="14" t="str"/>
      <x:c r="M430" s="14" t="str"/>
      <x:c r="N430" s="14" t="str"/>
      <x:c r="O430" s="14" t="str"/>
      <x:c r="P430" s="58" t="str"/>
      <x:c r="Q430" s="14" t="str"/>
    </x:row>
    <x:row r="431">
      <x:c r="A431" s="14" t="str">
        <x:v>VATM-0430</x:v>
      </x:c>
      <x:c r="B431" s="14" t="str">
        <x:v>An ninh hàng không</x:v>
      </x:c>
      <x:c r="C431" s="14" t="str">
        <x:v>Chương trình/kế hoạch ANHK VATM</x:v>
      </x:c>
      <x:c r="D431" s="14" t="str">
        <x:v>VATM cần lập chương trình hành động chuyển đổi sang NĐ 215 từ 01/7/2026, bao gồm sửa chương trình an ninh, tổ chức lực lượng, đào tạo, kiểm soát khu vực, cyber, diễn tập.</x:v>
      </x:c>
      <x:c r="E431" s="14" t="str">
        <x:v>Ban An ninh hàng không; Văn phòng - Pháp chế</x:v>
      </x:c>
      <x:c r="F431" s="14" t="str">
        <x:v>P1</x:v>
      </x:c>
      <x:c r="G431" s="14" t="str">
        <x:v>30-90 ngày sau rà soát</x:v>
      </x:c>
      <x:c r="H431" s="14" t="str">
        <x:v>Chưa bắt đầu</x:v>
      </x:c>
      <x:c r="I431" s="20" t="n">
        <x:f>IF(H431="Hoàn thành",100%,IF(H431="Không áp dụng",100%,IF(H431="Đang thực hiện",50%,IF(H431="Đang chờ phối hợp",25%,0%))))</x:f>
        <x:v>0</x:v>
      </x:c>
      <x:c r="J431" s="58" t="str"/>
      <x:c r="K431" s="14" t="str"/>
      <x:c r="L431" s="14" t="str"/>
      <x:c r="M431" s="14" t="str"/>
      <x:c r="N431" s="14" t="str"/>
      <x:c r="O431" s="14" t="str"/>
      <x:c r="P431" s="58" t="str"/>
      <x:c r="Q431" s="14" t="str"/>
    </x:row>
    <x:row r="432">
      <x:c r="A432" s="14" t="str">
        <x:v>VATM-0431</x:v>
      </x:c>
      <x:c r="B432" s="14" t="str">
        <x:v>An ninh hàng không</x:v>
      </x:c>
      <x:c r="C432" s="14" t="str">
        <x:v>Chương trình/kế hoạch ANHK VATM</x:v>
      </x:c>
      <x:c r="D432" s="14" t="str">
        <x:v>Mọi thay đổi tổ chức, cơ sở, hệ thống, quy trình phải được đánh giá ảnh hưởng đến Chương trình an ninh và cập nhật/phê duyệt khi cần.</x:v>
      </x:c>
      <x:c r="E432" s="14" t="str">
        <x:v>Ban An ninh hàng không; Văn phòng - Pháp chế</x:v>
      </x:c>
      <x:c r="F432" s="14" t="str">
        <x:v>P1</x:v>
      </x:c>
      <x:c r="G432" s="14" t="str">
        <x:v>Khi có thay đổi</x:v>
      </x:c>
      <x:c r="H432" s="14" t="str">
        <x:v>Chưa bắt đầu</x:v>
      </x:c>
      <x:c r="I432" s="20" t="n">
        <x:f>IF(H432="Hoàn thành",100%,IF(H432="Không áp dụng",100%,IF(H432="Đang thực hiện",50%,IF(H432="Đang chờ phối hợp",25%,0%))))</x:f>
        <x:v>0</x:v>
      </x:c>
      <x:c r="J432" s="58" t="str"/>
      <x:c r="K432" s="14" t="str"/>
      <x:c r="L432" s="14" t="str"/>
      <x:c r="M432" s="14" t="str"/>
      <x:c r="N432" s="14" t="str"/>
      <x:c r="O432" s="14" t="str"/>
      <x:c r="P432" s="58" t="str"/>
      <x:c r="Q432" s="14" t="str"/>
    </x:row>
    <x:row r="433">
      <x:c r="A433" s="14" t="str">
        <x:v>VATM-0432</x:v>
      </x:c>
      <x:c r="B433" s="14" t="str">
        <x:v>An ninh hàng không</x:v>
      </x:c>
      <x:c r="C433" s="14" t="str">
        <x:v>An ninh hệ thống CNS/ATM/CNTT</x:v>
      </x:c>
      <x:c r="D433" s="14" t="str">
        <x:v>Tài khoản admin hệ thống CNS/ATM/AIS/MET/ATFM phải kiểm soát chặt để chống can thiệp trái phép.</x:v>
      </x:c>
      <x:c r="E433" s="14" t="str">
        <x:v>Ban An ninh hàng không; Ban Kế hoạch doanh nghiệp - Chuyển đổi số; Ban Kỹ thuật - CNS/IT/Môi trường</x:v>
      </x:c>
      <x:c r="F433" s="14" t="str">
        <x:v>P1</x:v>
      </x:c>
      <x:c r="G433" s="14" t="str">
        <x:v>Liên tục; rà soát hàng quý</x:v>
      </x:c>
      <x:c r="H433" s="14" t="str">
        <x:v>Chưa bắt đầu</x:v>
      </x:c>
      <x:c r="I433" s="20" t="n">
        <x:f>IF(H433="Hoàn thành",100%,IF(H433="Không áp dụng",100%,IF(H433="Đang thực hiện",50%,IF(H433="Đang chờ phối hợp",25%,0%))))</x:f>
        <x:v>0</x:v>
      </x:c>
      <x:c r="J433" s="58" t="str"/>
      <x:c r="K433" s="14" t="str"/>
      <x:c r="L433" s="14" t="str"/>
      <x:c r="M433" s="14" t="str"/>
      <x:c r="N433" s="14" t="str"/>
      <x:c r="O433" s="14" t="str"/>
      <x:c r="P433" s="58" t="str"/>
      <x:c r="Q433" s="14" t="str"/>
    </x:row>
    <x:row r="434">
      <x:c r="A434" s="14" t="str">
        <x:v>VATM-0433</x:v>
      </x:c>
      <x:c r="B434" s="14" t="str">
        <x:v>An ninh hàng không</x:v>
      </x:c>
      <x:c r="C434" s="14" t="str">
        <x:v>Ứng phó sự cố/diễn tập ANHK</x:v>
      </x:c>
      <x:c r="D434" s="14" t="str">
        <x:v>Tấn công/can thiệp hệ thống thông tin chuyên ngành hàng không là tình huống trong phương án đối phó.</x:v>
      </x:c>
      <x:c r="E434" s="14" t="str">
        <x:v>Ban An ninh hàng không; Ban Kế hoạch doanh nghiệp - Chuyển đổi số; Ban Kỹ thuật - CNS/IT/Môi trường</x:v>
      </x:c>
      <x:c r="F434" s="14" t="str">
        <x:v>P1</x:v>
      </x:c>
      <x:c r="G434" s="14" t="str">
        <x:v>Diễn tập hằng năm/2 năm; khi sự cố</x:v>
      </x:c>
      <x:c r="H434" s="14" t="str">
        <x:v>Chưa bắt đầu</x:v>
      </x:c>
      <x:c r="I434" s="20" t="n">
        <x:f>IF(H434="Hoàn thành",100%,IF(H434="Không áp dụng",100%,IF(H434="Đang thực hiện",50%,IF(H434="Đang chờ phối hợp",25%,0%))))</x:f>
        <x:v>0</x:v>
      </x:c>
      <x:c r="J434" s="58" t="str"/>
      <x:c r="K434" s="14" t="str"/>
      <x:c r="L434" s="14" t="str"/>
      <x:c r="M434" s="14" t="str"/>
      <x:c r="N434" s="14" t="str"/>
      <x:c r="O434" s="14" t="str"/>
      <x:c r="P434" s="58" t="str"/>
      <x:c r="Q434" s="14" t="str"/>
    </x:row>
    <x:row r="435">
      <x:c r="A435" s="14" t="str">
        <x:v>VATM-0434</x:v>
      </x:c>
      <x:c r="B435" s="14" t="str">
        <x:v>An ninh hàng không</x:v>
      </x:c>
      <x:c r="C435" s="14" t="str">
        <x:v>Khu vực hạn chế/kiểm soát ra vào</x:v>
      </x:c>
      <x:c r="D435" s="14" t="str">
        <x:v>Các khu vực hạn chế ANS cần giám sát liên tục bằng phương tiện phù hợp, lưu giữ và khai thác dữ liệu phục vụ truy xét.</x:v>
      </x:c>
      <x:c r="E435" s="14" t="str">
        <x:v>Ban An ninh hàng không; Ban Kế hoạch doanh nghiệp - Chuyển đổi số; Ban Kỹ thuật - CNS/IT/Môi trường</x:v>
      </x:c>
      <x:c r="F435" s="14" t="str">
        <x:v>P1</x:v>
      </x:c>
      <x:c r="G435" s="14" t="str">
        <x:v>Liên tục; kiểm tra hằng tháng</x:v>
      </x:c>
      <x:c r="H435" s="14" t="str">
        <x:v>Chưa bắt đầu</x:v>
      </x:c>
      <x:c r="I435" s="20" t="n">
        <x:f>IF(H435="Hoàn thành",100%,IF(H435="Không áp dụng",100%,IF(H435="Đang thực hiện",50%,IF(H435="Đang chờ phối hợp",25%,0%))))</x:f>
        <x:v>0</x:v>
      </x:c>
      <x:c r="J435" s="58" t="str"/>
      <x:c r="K435" s="14" t="str"/>
      <x:c r="L435" s="14" t="str"/>
      <x:c r="M435" s="14" t="str"/>
      <x:c r="N435" s="14" t="str"/>
      <x:c r="O435" s="14" t="str"/>
      <x:c r="P435" s="58" t="str"/>
      <x:c r="Q435" s="14" t="str"/>
    </x:row>
    <x:row r="436">
      <x:c r="A436" s="14" t="str">
        <x:v>VATM-0435</x:v>
      </x:c>
      <x:c r="B436" s="14" t="str">
        <x:v>An ninh hàng không</x:v>
      </x:c>
      <x:c r="C436" s="14" t="str">
        <x:v>Khu vực hạn chế/kiểm soát ra vào</x:v>
      </x:c>
      <x:c r="D436" s="14" t="str">
        <x:v>Nhà thầu vào khu vực hạn chế ANS phải có kiểm soát, hộ tống, phương án bảo đảm an ninh; nếu thi công ảnh hưởng an toàn bay phải hiệp đồng.</x:v>
      </x:c>
      <x:c r="E436" s="14" t="str">
        <x:v>Ban An ninh hàng không; Các Công ty Quản lý bay khu vực Bắc/Trung/Nam</x:v>
      </x:c>
      <x:c r="F436" s="14" t="str">
        <x:v>P1</x:v>
      </x:c>
      <x:c r="G436" s="14" t="str">
        <x:v>Theo từng hợp đồng/dự án</x:v>
      </x:c>
      <x:c r="H436" s="14" t="str">
        <x:v>Chưa bắt đầu</x:v>
      </x:c>
      <x:c r="I436" s="20" t="n">
        <x:f>IF(H436="Hoàn thành",100%,IF(H436="Không áp dụng",100%,IF(H436="Đang thực hiện",50%,IF(H436="Đang chờ phối hợp",25%,0%))))</x:f>
        <x:v>0</x:v>
      </x:c>
      <x:c r="J436" s="58" t="str"/>
      <x:c r="K436" s="14" t="str"/>
      <x:c r="L436" s="14" t="str"/>
      <x:c r="M436" s="14" t="str"/>
      <x:c r="N436" s="14" t="str"/>
      <x:c r="O436" s="14" t="str"/>
      <x:c r="P436" s="58" t="str"/>
      <x:c r="Q436" s="14" t="str"/>
    </x:row>
    <x:row r="437">
      <x:c r="A437" s="14" t="str">
        <x:v>VATM-0436</x:v>
      </x:c>
      <x:c r="B437" s="14" t="str">
        <x:v>An ninh hàng không</x:v>
      </x:c>
      <x:c r="C437" s="14" t="str">
        <x:v>Khu vực hạn chế/kiểm soát ra vào</x:v>
      </x:c>
      <x:c r="D437" s="14" t="str">
        <x:v>Nhân viên không phải KSANHK nhưng làm trong khu vực hạn chế/hệ thống trọng yếu phải được phổ biến pháp luật, biết phản ứng ban đầu, báo cáo dấu hiệu bất thường.</x:v>
      </x:c>
      <x:c r="E437" s="14" t="str">
        <x:v>Ban An ninh hàng không</x:v>
      </x:c>
      <x:c r="F437" s="14" t="str">
        <x:v>P1</x:v>
      </x:c>
      <x:c r="G437" s="14" t="str">
        <x:v>Hằng năm; khi tuyển mới</x:v>
      </x:c>
      <x:c r="H437" s="14" t="str">
        <x:v>Chưa bắt đầu</x:v>
      </x:c>
      <x:c r="I437" s="20" t="n">
        <x:f>IF(H437="Hoàn thành",100%,IF(H437="Không áp dụng",100%,IF(H437="Đang thực hiện",50%,IF(H437="Đang chờ phối hợp",25%,0%))))</x:f>
        <x:v>0</x:v>
      </x:c>
      <x:c r="J437" s="58" t="str"/>
      <x:c r="K437" s="14" t="str"/>
      <x:c r="L437" s="14" t="str"/>
      <x:c r="M437" s="14" t="str"/>
      <x:c r="N437" s="14" t="str"/>
      <x:c r="O437" s="14" t="str"/>
      <x:c r="P437" s="58" t="str"/>
      <x:c r="Q437" s="14" t="str"/>
    </x:row>
    <x:row r="438">
      <x:c r="A438" s="14" t="str">
        <x:v>VATM-0437</x:v>
      </x:c>
      <x:c r="B438" s="14" t="str">
        <x:v>An ninh hàng không</x:v>
      </x:c>
      <x:c r="C438" s="14" t="str">
        <x:v>Ứng phó sự cố/diễn tập ANHK</x:v>
      </x:c>
      <x:c r="D438" s="14" t="str">
        <x:v>Các sự cố/hành vi vi phạm phải báo cáo, thống kê, phân tích; với can thiệp bất hợp pháp cần bảo vệ hiện trường và chứng cứ.</x:v>
      </x:c>
      <x:c r="E438" s="14" t="str">
        <x:v>Ban An ninh hàng không; Ban Không lưu; Ban Kỹ thuật - CNS/IT/Môi trường</x:v>
      </x:c>
      <x:c r="F438" s="14" t="str">
        <x:v>P1</x:v>
      </x:c>
      <x:c r="G438" s="14" t="str">
        <x:v>Khi phát sinh; lưu trữ theo quy định</x:v>
      </x:c>
      <x:c r="H438" s="14" t="str">
        <x:v>Chưa bắt đầu</x:v>
      </x:c>
      <x:c r="I438" s="20" t="n">
        <x:f>IF(H438="Hoàn thành",100%,IF(H438="Không áp dụng",100%,IF(H438="Đang thực hiện",50%,IF(H438="Đang chờ phối hợp",25%,0%))))</x:f>
        <x:v>0</x:v>
      </x:c>
      <x:c r="J438" s="58" t="str"/>
      <x:c r="K438" s="14" t="str"/>
      <x:c r="L438" s="14" t="str"/>
      <x:c r="M438" s="14" t="str"/>
      <x:c r="N438" s="14" t="str"/>
      <x:c r="O438" s="14" t="str"/>
      <x:c r="P438" s="58" t="str"/>
      <x:c r="Q438" s="14" t="str"/>
    </x:row>
    <x:row r="439">
      <x:c r="A439" s="14" t="str">
        <x:v>VATM-0438</x:v>
      </x:c>
      <x:c r="B439" s="14" t="str">
        <x:v>An ninh hàng không</x:v>
      </x:c>
      <x:c r="C439" s="14" t="str">
        <x:v>Khu vực hạn chế/kiểm soát ra vào</x:v>
      </x:c>
      <x:c r="D439" s="14" t="str">
        <x:v>Thông tin an ninh và dữ liệu chuyên ngành phải kiểm soát; chia sẻ trên cơ sở need-to-know.</x:v>
      </x:c>
      <x:c r="E439" s="14" t="str">
        <x:v>Ban An ninh hàng không; Ban Kế hoạch doanh nghiệp - Chuyển đổi số; Ban Không lưu; Ban Kỹ thuật - CNS/IT/Môi trường; Trung tâm Thông báo tin tức hàng không</x:v>
      </x:c>
      <x:c r="F439" s="14" t="str">
        <x:v>P1</x:v>
      </x:c>
      <x:c r="G439" s="14" t="str">
        <x:v>Liên tục</x:v>
      </x:c>
      <x:c r="H439" s="14" t="str">
        <x:v>Chưa bắt đầu</x:v>
      </x:c>
      <x:c r="I439" s="20" t="n">
        <x:f>IF(H439="Hoàn thành",100%,IF(H439="Không áp dụng",100%,IF(H439="Đang thực hiện",50%,IF(H439="Đang chờ phối hợp",25%,0%))))</x:f>
        <x:v>0</x:v>
      </x:c>
      <x:c r="J439" s="58" t="str"/>
      <x:c r="K439" s="14" t="str"/>
      <x:c r="L439" s="14" t="str"/>
      <x:c r="M439" s="14" t="str"/>
      <x:c r="N439" s="14" t="str"/>
      <x:c r="O439" s="14" t="str"/>
      <x:c r="P439" s="58" t="str"/>
      <x:c r="Q439" s="14" t="str"/>
    </x:row>
    <x:row r="440">
      <x:c r="A440" s="14" t="str">
        <x:v>VATM-0439</x:v>
      </x:c>
      <x:c r="B440" s="14" t="str">
        <x:v>An ninh hàng không</x:v>
      </x:c>
      <x:c r="C440" s="14" t="str">
        <x:v>Khu vực hạn chế/kiểm soát ra vào</x:v>
      </x:c>
      <x:c r="D440" s="14" t="str">
        <x:v>Diễn tập cấp cơ sở phải có đánh giá kết quả, bài học, khắc phục tồn tại.</x:v>
      </x:c>
      <x:c r="E440" s="14" t="str">
        <x:v>Ban An ninh hàng không</x:v>
      </x:c>
      <x:c r="F440" s="14" t="str">
        <x:v>P1</x:v>
      </x:c>
      <x:c r="G440" s="14" t="str">
        <x:v>Sau diễn tập trong 10-30 ngày nội bộ</x:v>
      </x:c>
      <x:c r="H440" s="14" t="str">
        <x:v>Chưa bắt đầu</x:v>
      </x:c>
      <x:c r="I440" s="20" t="n">
        <x:f>IF(H440="Hoàn thành",100%,IF(H440="Không áp dụng",100%,IF(H440="Đang thực hiện",50%,IF(H440="Đang chờ phối hợp",25%,0%))))</x:f>
        <x:v>0</x:v>
      </x:c>
      <x:c r="J440" s="58" t="str"/>
      <x:c r="K440" s="14" t="str"/>
      <x:c r="L440" s="14" t="str"/>
      <x:c r="M440" s="14" t="str"/>
      <x:c r="N440" s="14" t="str"/>
      <x:c r="O440" s="14" t="str"/>
      <x:c r="P440" s="58" t="str"/>
      <x:c r="Q440" s="14" t="str"/>
    </x:row>
    <x:row r="441">
      <x:c r="A441" s="14" t="str">
        <x:v>VATM-0440</x:v>
      </x:c>
      <x:c r="B441" s="14" t="str">
        <x:v>An ninh hàng không</x:v>
      </x:c>
      <x:c r="C441" s="14" t="str">
        <x:v>An ninh hệ thống CNS/ATM/CNTT</x:v>
      </x:c>
      <x:c r="D441" s="14" t="str">
        <x:v>Lực lượng KSANHK VATM phải duy trì tổ chức, năng lực, trang bị và thực hiện nhiệm vụ; cần kiểm tra nội bộ định kỳ.</x:v>
      </x:c>
      <x:c r="E441" s="14" t="str">
        <x:v>Ban An ninh hàng không</x:v>
      </x:c>
      <x:c r="F441" s="14" t="str">
        <x:v>P1</x:v>
      </x:c>
      <x:c r="G441" s="14" t="str">
        <x:v>Hằng quý/hằng năm</x:v>
      </x:c>
      <x:c r="H441" s="14" t="str">
        <x:v>Chưa bắt đầu</x:v>
      </x:c>
      <x:c r="I441" s="20" t="n">
        <x:f>IF(H441="Hoàn thành",100%,IF(H441="Không áp dụng",100%,IF(H441="Đang thực hiện",50%,IF(H441="Đang chờ phối hợp",25%,0%))))</x:f>
        <x:v>0</x:v>
      </x:c>
      <x:c r="J441" s="58" t="str"/>
      <x:c r="K441" s="14" t="str"/>
      <x:c r="L441" s="14" t="str"/>
      <x:c r="M441" s="14" t="str"/>
      <x:c r="N441" s="14" t="str"/>
      <x:c r="O441" s="14" t="str"/>
      <x:c r="P441" s="58" t="str"/>
      <x:c r="Q441" s="14" t="str"/>
    </x:row>
    <x:row r="442">
      <x:c r="A442" s="14" t="str">
        <x:v>VATM-0441</x:v>
      </x:c>
      <x:c r="B442" s="14" t="str">
        <x:v>An ninh hàng không</x:v>
      </x:c>
      <x:c r="C442" s="14" t="str">
        <x:v>An ninh hệ thống CNS/ATM/CNTT</x:v>
      </x:c>
      <x:c r="D442" s="14" t="str">
        <x:v>VATM phải sẵn sàng báo cáo, cung cấp tài liệu, thực hiện yêu cầu khắc phục của nhà chức trách an ninh.</x:v>
      </x:c>
      <x:c r="E442" s="14" t="str">
        <x:v>Ban An ninh hàng không; Văn phòng - Pháp chế</x:v>
      </x:c>
      <x:c r="F442" s="14" t="str">
        <x:v>P1</x:v>
      </x:c>
      <x:c r="G442" s="14" t="str">
        <x:v>Theo yêu cầu; định kỳ nội bộ</x:v>
      </x:c>
      <x:c r="H442" s="14" t="str">
        <x:v>Chưa bắt đầu</x:v>
      </x:c>
      <x:c r="I442" s="20" t="n">
        <x:f>IF(H442="Hoàn thành",100%,IF(H442="Không áp dụng",100%,IF(H442="Đang thực hiện",50%,IF(H442="Đang chờ phối hợp",25%,0%))))</x:f>
        <x:v>0</x:v>
      </x:c>
      <x:c r="J442" s="58" t="str"/>
      <x:c r="K442" s="14" t="str"/>
      <x:c r="L442" s="14" t="str"/>
      <x:c r="M442" s="14" t="str"/>
      <x:c r="N442" s="14" t="str"/>
      <x:c r="O442" s="14" t="str"/>
      <x:c r="P442" s="58" t="str"/>
      <x:c r="Q442" s="14" t="str"/>
    </x:row>
    <x:row r="443">
      <x:c r="A443" s="14" t="str">
        <x:v>VATM-0442</x:v>
      </x:c>
      <x:c r="B443" s="14" t="str">
        <x:v>An ninh hàng không</x:v>
      </x:c>
      <x:c r="C443" s="14" t="str">
        <x:v>Quản trị, phối hợp và giám sát ANHK</x:v>
      </x:c>
      <x:c r="D443" s="14" t="str">
        <x:v>Khi xây mới/cải tạo cơ sở ANS, yêu cầu an ninh vật lý, thiết bị, phân vùng, kiểm soát truy cập phải đưa vào nhiệm vụ thiết kế/FS.</x:v>
      </x:c>
      <x:c r="E443" s="14" t="str">
        <x:v>Ban An ninh hàng không; Ban Kỹ thuật - CNS/IT/Môi trường</x:v>
      </x:c>
      <x:c r="F443" s="14" t="str">
        <x:v>P1</x:v>
      </x:c>
      <x:c r="G443" s="14" t="str">
        <x:v>Từ giai đoạn chuẩn bị dự án</x:v>
      </x:c>
      <x:c r="H443" s="14" t="str">
        <x:v>Chưa bắt đầu</x:v>
      </x:c>
      <x:c r="I443" s="20" t="n">
        <x:f>IF(H443="Hoàn thành",100%,IF(H443="Không áp dụng",100%,IF(H443="Đang thực hiện",50%,IF(H443="Đang chờ phối hợp",25%,0%))))</x:f>
        <x:v>0</x:v>
      </x:c>
      <x:c r="J443" s="58" t="str"/>
      <x:c r="K443" s="14" t="str"/>
      <x:c r="L443" s="14" t="str"/>
      <x:c r="M443" s="14" t="str"/>
      <x:c r="N443" s="14" t="str"/>
      <x:c r="O443" s="14" t="str"/>
      <x:c r="P443" s="58" t="str"/>
      <x:c r="Q443" s="14" t="str"/>
    </x:row>
    <x:row r="444">
      <x:c r="A444" s="14" t="str">
        <x:v>VATM-0443</x:v>
      </x:c>
      <x:c r="B444" s="14" t="str">
        <x:v>An ninh hàng không</x:v>
      </x:c>
      <x:c r="C444" s="14" t="str">
        <x:v>An ninh hệ thống CNS/ATM/CNTT</x:v>
      </x:c>
      <x:c r="D444" s="14" t="str">
        <x:v>NĐ yêu cầu sự cố/vi phạm được xử lý, báo cáo, phân tích, rút kinh nghiệm; VATM cần cơ chế non-punitive phù hợp cho báo cáo dấu hiệu an ninh.</x:v>
      </x:c>
      <x:c r="E444" s="14" t="str">
        <x:v>Ban An ninh hàng không; Ban An toàn - Chất lượng</x:v>
      </x:c>
      <x:c r="F444" s="14" t="str">
        <x:v>P1</x:v>
      </x:c>
      <x:c r="G444" s="14" t="str">
        <x:v>Liên tục</x:v>
      </x:c>
      <x:c r="H444" s="14" t="str">
        <x:v>Chưa bắt đầu</x:v>
      </x:c>
      <x:c r="I444" s="20" t="n">
        <x:f>IF(H444="Hoàn thành",100%,IF(H444="Không áp dụng",100%,IF(H444="Đang thực hiện",50%,IF(H444="Đang chờ phối hợp",25%,0%))))</x:f>
        <x:v>0</x:v>
      </x:c>
      <x:c r="J444" s="58" t="str"/>
      <x:c r="K444" s="14" t="str"/>
      <x:c r="L444" s="14" t="str"/>
      <x:c r="M444" s="14" t="str"/>
      <x:c r="N444" s="14" t="str"/>
      <x:c r="O444" s="14" t="str"/>
      <x:c r="P444" s="58" t="str"/>
      <x:c r="Q444" s="14" t="str"/>
    </x:row>
    <x:row r="445">
      <x:c r="A445" s="14" t="str">
        <x:v>VATM-0444</x:v>
      </x:c>
      <x:c r="B445" s="14" t="str">
        <x:v>An ninh hàng không</x:v>
      </x:c>
      <x:c r="C445" s="14" t="str">
        <x:v>An ninh hệ thống CNS/ATM/CNTT</x:v>
      </x:c>
      <x:c r="D445" s="14" t="str">
        <x:v>VATM với vai trò ANSP cần cung cấp ý kiến kỹ thuật về luồng bay, dữ liệu và vận hành liên tục trong các cơ chế tạo thuận lợi/an ninh liên ngành.</x:v>
      </x:c>
      <x:c r="E445" s="14" t="str">
        <x:v>Ban An ninh hàng không; Văn phòng - Pháp chế; Trung tâm Thông báo tin tức hàng không</x:v>
      </x:c>
      <x:c r="F445" s="14" t="str">
        <x:v>P2</x:v>
      </x:c>
      <x:c r="G445" s="14" t="str">
        <x:v>Khi được yêu cầu</x:v>
      </x:c>
      <x:c r="H445" s="14" t="str">
        <x:v>Chưa bắt đầu</x:v>
      </x:c>
      <x:c r="I445" s="20" t="n">
        <x:f>IF(H445="Hoàn thành",100%,IF(H445="Không áp dụng",100%,IF(H445="Đang thực hiện",50%,IF(H445="Đang chờ phối hợp",25%,0%))))</x:f>
        <x:v>0</x:v>
      </x:c>
      <x:c r="J445" s="58" t="str"/>
      <x:c r="K445" s="14" t="str"/>
      <x:c r="L445" s="14" t="str"/>
      <x:c r="M445" s="14" t="str"/>
      <x:c r="N445" s="14" t="str"/>
      <x:c r="O445" s="14" t="str"/>
      <x:c r="P445" s="58" t="str"/>
      <x:c r="Q445" s="14" t="str"/>
    </x:row>
    <x:row r="446">
      <x:c r="A446" s="14" t="str">
        <x:v>VATM-0445</x:v>
      </x:c>
      <x:c r="B446" s="14" t="str">
        <x:v>An ninh hàng không</x:v>
      </x:c>
      <x:c r="C446" s="14" t="str">
        <x:v>Ứng phó sự cố/diễn tập ANHK</x:v>
      </x:c>
      <x:c r="D446" s="14" t="str">
        <x:v>Các công trình ANS ngoài cảng vẫn liên quan phương án khẩn nguy/đánh giá rủi ro địa phương; VATM phải làm việc với Công an/Quân sự địa phương.</x:v>
      </x:c>
      <x:c r="E446" s="14" t="str">
        <x:v>Ban An ninh hàng không; Ban Kỹ thuật - CNS/IT/Môi trường; Các Công ty Quản lý bay khu vực Bắc/Trung/Nam</x:v>
      </x:c>
      <x:c r="F446" s="14" t="str">
        <x:v>P1</x:v>
      </x:c>
      <x:c r="G446" s="14" t="str">
        <x:v>Hằng năm; khi thay đổi cơ sở</x:v>
      </x:c>
      <x:c r="H446" s="14" t="str">
        <x:v>Chưa bắt đầu</x:v>
      </x:c>
      <x:c r="I446" s="20" t="n">
        <x:f>IF(H446="Hoàn thành",100%,IF(H446="Không áp dụng",100%,IF(H446="Đang thực hiện",50%,IF(H446="Đang chờ phối hợp",25%,0%))))</x:f>
        <x:v>0</x:v>
      </x:c>
      <x:c r="J446" s="58" t="str"/>
      <x:c r="K446" s="14" t="str"/>
      <x:c r="L446" s="14" t="str"/>
      <x:c r="M446" s="14" t="str"/>
      <x:c r="N446" s="14" t="str"/>
      <x:c r="O446" s="14" t="str"/>
      <x:c r="P446" s="58" t="str"/>
      <x:c r="Q446" s="14" t="str"/>
    </x:row>
    <x:row r="447">
      <x:c r="A447" s="14" t="str">
        <x:v>VATM-0446</x:v>
      </x:c>
      <x:c r="B447" s="14" t="str">
        <x:v>An ninh hàng không</x:v>
      </x:c>
      <x:c r="C447" s="14" t="str">
        <x:v>Khu vực hạn chế/kiểm soát ra vào</x:v>
      </x:c>
      <x:c r="D447" s="14" t="str">
        <x:v>Nếu VATM thuê bảo vệ dân sự tại cơ sở ANS, phải làm rõ quan hệ với lực lượng KSANHK theo NĐ, đào tạo, phạm vi nhiệm vụ và chuyển giao vụ việc.</x:v>
      </x:c>
      <x:c r="E447" s="14" t="str">
        <x:v>Ban An ninh hàng không</x:v>
      </x:c>
      <x:c r="F447" s="14" t="str">
        <x:v>P1</x:v>
      </x:c>
      <x:c r="G447" s="14" t="str">
        <x:v>Khi ký/gia hạn hợp đồng</x:v>
      </x:c>
      <x:c r="H447" s="14" t="str">
        <x:v>Chưa bắt đầu</x:v>
      </x:c>
      <x:c r="I447" s="20" t="n">
        <x:f>IF(H447="Hoàn thành",100%,IF(H447="Không áp dụng",100%,IF(H447="Đang thực hiện",50%,IF(H447="Đang chờ phối hợp",25%,0%))))</x:f>
        <x:v>0</x:v>
      </x:c>
      <x:c r="J447" s="58" t="str"/>
      <x:c r="K447" s="14" t="str"/>
      <x:c r="L447" s="14" t="str"/>
      <x:c r="M447" s="14" t="str"/>
      <x:c r="N447" s="14" t="str"/>
      <x:c r="O447" s="14" t="str"/>
      <x:c r="P447" s="58" t="str"/>
      <x:c r="Q447" s="14" t="str"/>
    </x:row>
    <x:row r="448">
      <x:c r="A448" s="14" t="str">
        <x:v>VATM-0447</x:v>
      </x:c>
      <x:c r="B448" s="14" t="str">
        <x:v>An ninh hàng không</x:v>
      </x:c>
      <x:c r="C448" s="14" t="str">
        <x:v>Khu vực hạn chế/kiểm soát ra vào</x:v>
      </x:c>
      <x:c r="D448" s="14" t="str">
        <x:v>Người chiếm đoạt, gây bạo loạn tại cơ sở điều hành bay có thể bị xử lý nghiêm; lực lượng KSANHK VATM lập biên bản và chuyển giao.</x:v>
      </x:c>
      <x:c r="E448" s="14" t="str">
        <x:v>Ban An ninh hàng không; Văn phòng - Pháp chế</x:v>
      </x:c>
      <x:c r="F448" s="14" t="str">
        <x:v>P1</x:v>
      </x:c>
      <x:c r="G448" s="14" t="str">
        <x:v>Khi phát sinh</x:v>
      </x:c>
      <x:c r="H448" s="14" t="str">
        <x:v>Chưa bắt đầu</x:v>
      </x:c>
      <x:c r="I448" s="20" t="n">
        <x:f>IF(H448="Hoàn thành",100%,IF(H448="Không áp dụng",100%,IF(H448="Đang thực hiện",50%,IF(H448="Đang chờ phối hợp",25%,0%))))</x:f>
        <x:v>0</x:v>
      </x:c>
      <x:c r="J448" s="58" t="str"/>
      <x:c r="K448" s="14" t="str"/>
      <x:c r="L448" s="14" t="str"/>
      <x:c r="M448" s="14" t="str"/>
      <x:c r="N448" s="14" t="str"/>
      <x:c r="O448" s="14" t="str"/>
      <x:c r="P448" s="58" t="str"/>
      <x:c r="Q448" s="14" t="str"/>
    </x:row>
    <x:row r="449">
      <x:c r="A449" s="14" t="str">
        <x:v>VATM-0448</x:v>
      </x:c>
      <x:c r="B449" s="14" t="str">
        <x:v>An ninh hàng không</x:v>
      </x:c>
      <x:c r="C449" s="14" t="str">
        <x:v>Ứng phó sự cố/diễn tập ANHK</x:v>
      </x:c>
      <x:c r="D449" s="14" t="str">
        <x:v>Tình huống UAV xâm nhập đe dọa an toàn hoạt động bay phải có trong phương án và diễn tập.</x:v>
      </x:c>
      <x:c r="E449" s="14" t="str">
        <x:v>Ban An ninh hàng không; Ban Kỹ thuật - CNS/IT/Môi trường</x:v>
      </x:c>
      <x:c r="F449" s="14" t="str">
        <x:v>P1</x:v>
      </x:c>
      <x:c r="G449" s="14" t="str">
        <x:v>Khi phát hiện; diễn tập định kỳ</x:v>
      </x:c>
      <x:c r="H449" s="14" t="str">
        <x:v>Chưa bắt đầu</x:v>
      </x:c>
      <x:c r="I449" s="20" t="n">
        <x:f>IF(H449="Hoàn thành",100%,IF(H449="Không áp dụng",100%,IF(H449="Đang thực hiện",50%,IF(H449="Đang chờ phối hợp",25%,0%))))</x:f>
        <x:v>0</x:v>
      </x:c>
      <x:c r="J449" s="58" t="str"/>
      <x:c r="K449" s="14" t="str"/>
      <x:c r="L449" s="14" t="str"/>
      <x:c r="M449" s="14" t="str"/>
      <x:c r="N449" s="14" t="str"/>
      <x:c r="O449" s="14" t="str"/>
      <x:c r="P449" s="58" t="str"/>
      <x:c r="Q449" s="14" t="str"/>
    </x:row>
    <x:row r="450">
      <x:c r="A450" s="14" t="str">
        <x:v>VATM-0449</x:v>
      </x:c>
      <x:c r="B450" s="14" t="str">
        <x:v>An ninh hàng không</x:v>
      </x:c>
      <x:c r="C450" s="14" t="str">
        <x:v>Ứng phó sự cố/diễn tập ANHK</x:v>
      </x:c>
      <x:c r="D450" s="14" t="str">
        <x:v>NĐ yêu cầu duy trì tối đa hoạt động bình thường nơi xảy ra hành vi can thiệp; VATM phải có phương án dự phòng điều hành bay/CNS.</x:v>
      </x:c>
      <x:c r="E450" s="14" t="str">
        <x:v>Ban An ninh hàng không; Ban Kỹ thuật - CNS/IT/Môi trường</x:v>
      </x:c>
      <x:c r="F450" s="14" t="str">
        <x:v>P1</x:v>
      </x:c>
      <x:c r="G450" s="14" t="str">
        <x:v>Khi lập phương án; thử nghiệm định kỳ</x:v>
      </x:c>
      <x:c r="H450" s="14" t="str">
        <x:v>Chưa bắt đầu</x:v>
      </x:c>
      <x:c r="I450" s="20" t="n">
        <x:f>IF(H450="Hoàn thành",100%,IF(H450="Không áp dụng",100%,IF(H450="Đang thực hiện",50%,IF(H450="Đang chờ phối hợp",25%,0%))))</x:f>
        <x:v>0</x:v>
      </x:c>
      <x:c r="J450" s="58" t="str"/>
      <x:c r="K450" s="14" t="str"/>
      <x:c r="L450" s="14" t="str"/>
      <x:c r="M450" s="14" t="str"/>
      <x:c r="N450" s="14" t="str"/>
      <x:c r="O450" s="14" t="str"/>
      <x:c r="P450" s="58" t="str"/>
      <x:c r="Q450" s="14" t="str"/>
    </x:row>
    <x:row r="451">
      <x:c r="A451" s="14" t="str">
        <x:v>VATM-0450</x:v>
      </x:c>
      <x:c r="B451" s="14" t="str">
        <x:v>An ninh hàng không</x:v>
      </x:c>
      <x:c r="C451" s="14" t="str">
        <x:v>Ứng phó sự cố/diễn tập ANHK</x:v>
      </x:c>
      <x:c r="D451" s="14" t="str">
        <x:v>Tài liệu an ninh hạn chế và hệ thống thông tin chuyên ngành phải được kiểm soát; nên đưa vào diễn tập cấp cơ sở.</x:v>
      </x:c>
      <x:c r="E451" s="14" t="str">
        <x:v>Ban An ninh hàng không; Ban Kế hoạch doanh nghiệp - Chuyển đổi số; Ban Kỹ thuật - CNS/IT/Môi trường</x:v>
      </x:c>
      <x:c r="F451" s="14" t="str">
        <x:v>P1</x:v>
      </x:c>
      <x:c r="G451" s="14" t="str">
        <x:v>2 năm/lần hoặc hằng năm nội bộ</x:v>
      </x:c>
      <x:c r="H451" s="14" t="str">
        <x:v>Chưa bắt đầu</x:v>
      </x:c>
      <x:c r="I451" s="20" t="n">
        <x:f>IF(H451="Hoàn thành",100%,IF(H451="Không áp dụng",100%,IF(H451="Đang thực hiện",50%,IF(H451="Đang chờ phối hợp",25%,0%))))</x:f>
        <x:v>0</x:v>
      </x:c>
      <x:c r="J451" s="58" t="str"/>
      <x:c r="K451" s="14" t="str"/>
      <x:c r="L451" s="14" t="str"/>
      <x:c r="M451" s="14" t="str"/>
      <x:c r="N451" s="14" t="str"/>
      <x:c r="O451" s="14" t="str"/>
      <x:c r="P451" s="58" t="str"/>
      <x:c r="Q451" s="14" t="str"/>
    </x:row>
    <x:row r="452">
      <x:c r="A452" s="14" t="str">
        <x:v>VATM-0451</x:v>
      </x:c>
      <x:c r="B452" s="14" t="str">
        <x:v>An ninh hàng không</x:v>
      </x:c>
      <x:c r="C452" s="14" t="str">
        <x:v>An ninh hệ thống CNS/ATM/CNTT</x:v>
      </x:c>
      <x:c r="D452" s="14" t="str">
        <x:v>ATCO, ATSEP, AIS/MET, quản trị viên hệ thống, nhân viên bảo vệ cơ sở ANS là vị trí nhạy cảm cần kiểm soát an ninh nội bộ phù hợp.</x:v>
      </x:c>
      <x:c r="E452" s="14" t="str">
        <x:v>Ban An ninh hàng không</x:v>
      </x:c>
      <x:c r="F452" s="14" t="str">
        <x:v>P1</x:v>
      </x:c>
      <x:c r="G452" s="14" t="str">
        <x:v>Trước tuyển dụng/bổ nhiệm; định kỳ</x:v>
      </x:c>
      <x:c r="H452" s="14" t="str">
        <x:v>Chưa bắt đầu</x:v>
      </x:c>
      <x:c r="I452" s="20" t="n">
        <x:f>IF(H452="Hoàn thành",100%,IF(H452="Không áp dụng",100%,IF(H452="Đang thực hiện",50%,IF(H452="Đang chờ phối hợp",25%,0%))))</x:f>
        <x:v>0</x:v>
      </x:c>
      <x:c r="J452" s="58" t="str"/>
      <x:c r="K452" s="14" t="str"/>
      <x:c r="L452" s="14" t="str"/>
      <x:c r="M452" s="14" t="str"/>
      <x:c r="N452" s="14" t="str"/>
      <x:c r="O452" s="14" t="str"/>
      <x:c r="P452" s="58" t="str"/>
      <x:c r="Q452" s="14" t="str"/>
    </x:row>
    <x:row r="453">
      <x:c r="A453" s="14" t="str">
        <x:v>VATM-0452</x:v>
      </x:c>
      <x:c r="B453" s="14" t="str">
        <x:v>An ninh hàng không</x:v>
      </x:c>
      <x:c r="C453" s="14" t="str">
        <x:v>Khu vực hạn chế/kiểm soát ra vào</x:v>
      </x:c>
      <x:c r="D453" s="14" t="str">
        <x:v>Các khu vực kiểm soát đường dài/tiếp cận/tại sân/ATFM và hệ thống thông tin phải hạn chế truy cập; tách biệt khu hành chính.</x:v>
      </x:c>
      <x:c r="E453" s="14" t="str">
        <x:v>Ban An ninh hàng không; Các Công ty Quản lý bay khu vực Bắc/Trung/Nam</x:v>
      </x:c>
      <x:c r="F453" s="14" t="str">
        <x:v>P1</x:v>
      </x:c>
      <x:c r="G453" s="14" t="str">
        <x:v>Khi bố trí mặt bằng; rà soát năm</x:v>
      </x:c>
      <x:c r="H453" s="14" t="str">
        <x:v>Chưa bắt đầu</x:v>
      </x:c>
      <x:c r="I453" s="20" t="n">
        <x:f>IF(H453="Hoàn thành",100%,IF(H453="Không áp dụng",100%,IF(H453="Đang thực hiện",50%,IF(H453="Đang chờ phối hợp",25%,0%))))</x:f>
        <x:v>0</x:v>
      </x:c>
      <x:c r="J453" s="58" t="str"/>
      <x:c r="K453" s="14" t="str"/>
      <x:c r="L453" s="14" t="str"/>
      <x:c r="M453" s="14" t="str"/>
      <x:c r="N453" s="14" t="str"/>
      <x:c r="O453" s="14" t="str"/>
      <x:c r="P453" s="58" t="str"/>
      <x:c r="Q453" s="14" t="str"/>
    </x:row>
    <x:row r="454">
      <x:c r="A454" s="14" t="str">
        <x:v>VATM-0453</x:v>
      </x:c>
      <x:c r="B454" s="14" t="str">
        <x:v>An ninh hàng không</x:v>
      </x:c>
      <x:c r="C454" s="14" t="str">
        <x:v>Khu vực hạn chế/kiểm soát ra vào</x:v>
      </x:c>
      <x:c r="D454" s="14" t="str">
        <x:v>Sự cố, vi phạm an ninh phải thống kê, phân tích, rút kinh nghiệm; lực lượng KSANHK có nhiệm vụ lập biên bản.</x:v>
      </x:c>
      <x:c r="E454" s="14" t="str">
        <x:v>Ban An ninh hàng không; Ban An toàn - Chất lượng</x:v>
      </x:c>
      <x:c r="F454" s="14" t="str">
        <x:v>P1</x:v>
      </x:c>
      <x:c r="G454" s="14" t="str">
        <x:v>Sau sự cố</x:v>
      </x:c>
      <x:c r="H454" s="14" t="str">
        <x:v>Chưa bắt đầu</x:v>
      </x:c>
      <x:c r="I454" s="20" t="n">
        <x:f>IF(H454="Hoàn thành",100%,IF(H454="Không áp dụng",100%,IF(H454="Đang thực hiện",50%,IF(H454="Đang chờ phối hợp",25%,0%))))</x:f>
        <x:v>0</x:v>
      </x:c>
      <x:c r="J454" s="58" t="str"/>
      <x:c r="K454" s="14" t="str"/>
      <x:c r="L454" s="14" t="str"/>
      <x:c r="M454" s="14" t="str"/>
      <x:c r="N454" s="14" t="str"/>
      <x:c r="O454" s="14" t="str"/>
      <x:c r="P454" s="58" t="str"/>
      <x:c r="Q454" s="14" t="str"/>
    </x:row>
    <x:row r="455">
      <x:c r="A455" s="14" t="str">
        <x:v>VATM-0454</x:v>
      </x:c>
      <x:c r="B455" s="14" t="str">
        <x:v>An ninh hàng không</x:v>
      </x:c>
      <x:c r="C455" s="14" t="str">
        <x:v>Quản trị, phối hợp và giám sát ANHK</x:v>
      </x:c>
      <x:c r="D455" s="14" t="str">
        <x:v>Giám sát viên có quyền tiếp cận, yêu cầu tài liệu, đình chỉ thiết bị/phương tiện uy hiếp an ninh.</x:v>
      </x:c>
      <x:c r="E455" s="14" t="str">
        <x:v>Ban An ninh hàng không; Các Công ty Quản lý bay khu vực Bắc/Trung/Nam</x:v>
      </x:c>
      <x:c r="F455" s="14" t="str">
        <x:v>P1</x:v>
      </x:c>
      <x:c r="G455" s="14" t="str">
        <x:v>Bất kỳ lúc nào</x:v>
      </x:c>
      <x:c r="H455" s="14" t="str">
        <x:v>Chưa bắt đầu</x:v>
      </x:c>
      <x:c r="I455" s="20" t="n">
        <x:f>IF(H455="Hoàn thành",100%,IF(H455="Không áp dụng",100%,IF(H455="Đang thực hiện",50%,IF(H455="Đang chờ phối hợp",25%,0%))))</x:f>
        <x:v>0</x:v>
      </x:c>
      <x:c r="J455" s="58" t="str"/>
      <x:c r="K455" s="14" t="str"/>
      <x:c r="L455" s="14" t="str"/>
      <x:c r="M455" s="14" t="str"/>
      <x:c r="N455" s="14" t="str"/>
      <x:c r="O455" s="14" t="str"/>
      <x:c r="P455" s="58" t="str"/>
      <x:c r="Q455" s="14" t="str"/>
    </x:row>
    <x:row r="456">
      <x:c r="A456" s="14" t="str">
        <x:v>VATM-0455</x:v>
      </x:c>
      <x:c r="B456" s="14" t="str">
        <x:v>An ninh hàng không</x:v>
      </x:c>
      <x:c r="C456" s="14" t="str">
        <x:v>Khu vực hạn chế/kiểm soát ra vào</x:v>
      </x:c>
      <x:c r="D456" s="14" t="str">
        <x:v>Trang thiết bị an ninh phải đầy đủ, phù hợp, vận hành; VATM cần bảo trì để không mất hiệu lực kiểm soát.</x:v>
      </x:c>
      <x:c r="E456" s="14" t="str">
        <x:v>Ban An ninh hàng không; Ban Kỹ thuật - CNS/IT/Môi trường</x:v>
      </x:c>
      <x:c r="F456" s="14" t="str">
        <x:v>P1</x:v>
      </x:c>
      <x:c r="G456" s="14" t="str">
        <x:v>Theo lịch bảo trì; kiểm tra ca/ngày</x:v>
      </x:c>
      <x:c r="H456" s="14" t="str">
        <x:v>Chưa bắt đầu</x:v>
      </x:c>
      <x:c r="I456" s="20" t="n">
        <x:f>IF(H456="Hoàn thành",100%,IF(H456="Không áp dụng",100%,IF(H456="Đang thực hiện",50%,IF(H456="Đang chờ phối hợp",25%,0%))))</x:f>
        <x:v>0</x:v>
      </x:c>
      <x:c r="J456" s="58" t="str"/>
      <x:c r="K456" s="14" t="str"/>
      <x:c r="L456" s="14" t="str"/>
      <x:c r="M456" s="14" t="str"/>
      <x:c r="N456" s="14" t="str"/>
      <x:c r="O456" s="14" t="str"/>
      <x:c r="P456" s="58" t="str"/>
      <x:c r="Q456" s="14" t="str"/>
    </x:row>
    <x:row r="457">
      <x:c r="A457" s="14" t="str">
        <x:v>VATM-0456</x:v>
      </x:c>
      <x:c r="B457" s="14" t="str">
        <x:v>An ninh hàng không</x:v>
      </x:c>
      <x:c r="C457" s="14" t="str">
        <x:v>An ninh hệ thống CNS/ATM/CNTT</x:v>
      </x:c>
      <x:c r="D457" s="14" t="str">
        <x:v>NĐ 215 phát sinh nhiều nghĩa vụ trực tiếp; cần cơ chế báo cáo lãnh đạo VATM về tiến độ và rủi ro tuân thủ.</x:v>
      </x:c>
      <x:c r="E457" s="14" t="str">
        <x:v>Ban An ninh hàng không; Văn phòng - Pháp chế</x:v>
      </x:c>
      <x:c r="F457" s="14" t="str">
        <x:v>P1</x:v>
      </x:c>
      <x:c r="G457" s="14" t="str">
        <x:v>Hằng tháng giai đoạn đầu; hằng quý sau ổn định</x:v>
      </x:c>
      <x:c r="H457" s="14" t="str">
        <x:v>Chưa bắt đầu</x:v>
      </x:c>
      <x:c r="I457" s="20" t="n">
        <x:f>IF(H457="Hoàn thành",100%,IF(H457="Không áp dụng",100%,IF(H457="Đang thực hiện",50%,IF(H457="Đang chờ phối hợp",25%,0%))))</x:f>
        <x:v>0</x:v>
      </x:c>
      <x:c r="J457" s="58" t="str"/>
      <x:c r="K457" s="14" t="str"/>
      <x:c r="L457" s="14" t="str"/>
      <x:c r="M457" s="14" t="str"/>
      <x:c r="N457" s="14" t="str"/>
      <x:c r="O457" s="14" t="str"/>
      <x:c r="P457" s="58" t="str"/>
      <x:c r="Q457" s="14" t="str"/>
    </x:row>
    <x:row r="458">
      <x:c r="A458" s="14" t="str">
        <x:v>VATM-0457</x:v>
      </x:c>
      <x:c r="B458" s="14" t="str">
        <x:v>An ninh hàng không</x:v>
      </x:c>
      <x:c r="C458" s="14" t="str">
        <x:v>Khu vực hạn chế/kiểm soát ra vào</x:v>
      </x:c>
      <x:c r="D458" s="14" t="str">
        <x:v>Cơ sở TWR/APP nằm trong cảng chịu phối hợp khu vực hạn chế, lực lượng KSANHK cảng, phương án khẩn nguy cảng.</x:v>
      </x:c>
      <x:c r="E458" s="14" t="str">
        <x:v>Ban An ninh hàng không; Các Công ty Quản lý bay khu vực Bắc/Trung/Nam</x:v>
      </x:c>
      <x:c r="F458" s="14" t="str">
        <x:v>P1</x:v>
      </x:c>
      <x:c r="G458" s="14" t="str">
        <x:v>Thường xuyên; khi có diễn tập</x:v>
      </x:c>
      <x:c r="H458" s="14" t="str">
        <x:v>Chưa bắt đầu</x:v>
      </x:c>
      <x:c r="I458" s="20" t="n">
        <x:f>IF(H458="Hoàn thành",100%,IF(H458="Không áp dụng",100%,IF(H458="Đang thực hiện",50%,IF(H458="Đang chờ phối hợp",25%,0%))))</x:f>
        <x:v>0</x:v>
      </x:c>
      <x:c r="J458" s="58" t="str"/>
      <x:c r="K458" s="14" t="str"/>
      <x:c r="L458" s="14" t="str"/>
      <x:c r="M458" s="14" t="str"/>
      <x:c r="N458" s="14" t="str"/>
      <x:c r="O458" s="14" t="str"/>
      <x:c r="P458" s="58" t="str"/>
      <x:c r="Q458" s="14" t="str"/>
    </x:row>
    <x:row r="459">
      <x:c r="A459" s="14" t="str">
        <x:v>VATM-0458</x:v>
      </x:c>
      <x:c r="B459" s="14" t="str">
        <x:v>An ninh hàng không</x:v>
      </x:c>
      <x:c r="C459" s="14" t="str">
        <x:v>Khu vực hạn chế/kiểm soát ra vào</x:v>
      </x:c>
      <x:c r="D459" s="14" t="str">
        <x:v>Đối với radar/trạm thông tin ngoài cảng, VATM là chủ thể chính về bảo vệ vật lý, kiểm soát vào ra, cyber và phối hợp địa phương.</x:v>
      </x:c>
      <x:c r="E459" s="14" t="str">
        <x:v>Ban An ninh hàng không; Ban Kỹ thuật - CNS/IT/Môi trường; Các Công ty Quản lý bay khu vực Bắc/Trung/Nam</x:v>
      </x:c>
      <x:c r="F459" s="14" t="str">
        <x:v>P1</x:v>
      </x:c>
      <x:c r="G459" s="14" t="str">
        <x:v>Thường xuyên; kiểm tra quý</x:v>
      </x:c>
      <x:c r="H459" s="14" t="str">
        <x:v>Chưa bắt đầu</x:v>
      </x:c>
      <x:c r="I459" s="20" t="n">
        <x:f>IF(H459="Hoàn thành",100%,IF(H459="Không áp dụng",100%,IF(H459="Đang thực hiện",50%,IF(H459="Đang chờ phối hợp",25%,0%))))</x:f>
        <x:v>0</x:v>
      </x:c>
      <x:c r="J459" s="58" t="str"/>
      <x:c r="K459" s="14" t="str"/>
      <x:c r="L459" s="14" t="str"/>
      <x:c r="M459" s="14" t="str"/>
      <x:c r="N459" s="14" t="str"/>
      <x:c r="O459" s="14" t="str"/>
      <x:c r="P459" s="58" t="str"/>
      <x:c r="Q459" s="14" t="str"/>
    </x:row>
    <x:row r="460">
      <x:c r="A460" s="14" t="str">
        <x:v>VATM-0459</x:v>
      </x:c>
      <x:c r="B460" s="14" t="str">
        <x:v>An ninh hàng không</x:v>
      </x:c>
      <x:c r="C460" s="14" t="str">
        <x:v>An ninh hệ thống CNS/ATM/CNTT</x:v>
      </x:c>
      <x:c r="D460" s="14" t="str">
        <x:v>Kết nối/chia sẻ dữ liệu phục vụ tạo thuận lợi không được làm tăng rủi ro truy cập trái phép hệ thống chuyên ngành.</x:v>
      </x:c>
      <x:c r="E460" s="14" t="str">
        <x:v>Ban An ninh hàng không; Ban Kế hoạch doanh nghiệp - Chuyển đổi số; Ban Kỹ thuật - CNS/IT/Môi trường; Trung tâm Thông báo tin tức hàng không</x:v>
      </x:c>
      <x:c r="F460" s="14" t="str">
        <x:v>P1</x:v>
      </x:c>
      <x:c r="G460" s="14" t="str">
        <x:v>Trước khi kết nối; đánh giá hằng năm</x:v>
      </x:c>
      <x:c r="H460" s="14" t="str">
        <x:v>Chưa bắt đầu</x:v>
      </x:c>
      <x:c r="I460" s="20" t="n">
        <x:f>IF(H460="Hoàn thành",100%,IF(H460="Không áp dụng",100%,IF(H460="Đang thực hiện",50%,IF(H460="Đang chờ phối hợp",25%,0%))))</x:f>
        <x:v>0</x:v>
      </x:c>
      <x:c r="J460" s="58" t="str"/>
      <x:c r="K460" s="14" t="str"/>
      <x:c r="L460" s="14" t="str"/>
      <x:c r="M460" s="14" t="str"/>
      <x:c r="N460" s="14" t="str"/>
      <x:c r="O460" s="14" t="str"/>
      <x:c r="P460" s="58" t="str"/>
      <x:c r="Q460" s="14" t="str"/>
    </x:row>
    <x:row r="461">
      <x:c r="A461" s="14" t="str">
        <x:v>VATM-0460</x:v>
      </x:c>
      <x:c r="B461" s="14" t="str">
        <x:v>An ninh hàng không</x:v>
      </x:c>
      <x:c r="C461" s="14" t="str">
        <x:v>Chương trình/kế hoạch ANHK VATM</x:v>
      </x:c>
      <x:c r="D461" s="14" t="str">
        <x:v>Để thực hiện chương trình an ninh và tổ chức lực lượng, mỗi cơ sở ANS cần đầu mối chịu trách nhiệm rõ ràng.</x:v>
      </x:c>
      <x:c r="E461" s="14" t="str">
        <x:v>Ban An ninh hàng không</x:v>
      </x:c>
      <x:c r="F461" s="14" t="str">
        <x:v>P1</x:v>
      </x:c>
      <x:c r="G461" s="14" t="str">
        <x:v>Trong giai đoạn chuyển đổi</x:v>
      </x:c>
      <x:c r="H461" s="14" t="str">
        <x:v>Chưa bắt đầu</x:v>
      </x:c>
      <x:c r="I461" s="20" t="n">
        <x:f>IF(H461="Hoàn thành",100%,IF(H461="Không áp dụng",100%,IF(H461="Đang thực hiện",50%,IF(H461="Đang chờ phối hợp",25%,0%))))</x:f>
        <x:v>0</x:v>
      </x:c>
      <x:c r="J461" s="58" t="str"/>
      <x:c r="K461" s="14" t="str"/>
      <x:c r="L461" s="14" t="str"/>
      <x:c r="M461" s="14" t="str"/>
      <x:c r="N461" s="14" t="str"/>
      <x:c r="O461" s="14" t="str"/>
      <x:c r="P461" s="58" t="str"/>
      <x:c r="Q461" s="14" t="str"/>
    </x:row>
    <x:row r="462">
      <x:c r="A462" s="14" t="str">
        <x:v>VATM-0461</x:v>
      </x:c>
      <x:c r="B462" s="14" t="str">
        <x:v>An ninh hàng không</x:v>
      </x:c>
      <x:c r="C462" s="14" t="str">
        <x:v>An ninh hệ thống CNS/ATM/CNTT</x:v>
      </x:c>
      <x:c r="D462" s="14" t="str">
        <x:v>Phương án phải có thông tin liên lạc, phối hợp, hậu cần; VATM cần bảo đảm đường truyền/kênh liên lạc giữa ATC-CNS-AN-AT-BCH.</x:v>
      </x:c>
      <x:c r="E462" s="14" t="str">
        <x:v>Ban An ninh hàng không; Ban Kỹ thuật - CNS/IT/Môi trường</x:v>
      </x:c>
      <x:c r="F462" s="14" t="str">
        <x:v>P1</x:v>
      </x:c>
      <x:c r="G462" s="14" t="str">
        <x:v>Test định kỳ; khi diễn tập</x:v>
      </x:c>
      <x:c r="H462" s="14" t="str">
        <x:v>Chưa bắt đầu</x:v>
      </x:c>
      <x:c r="I462" s="20" t="n">
        <x:f>IF(H462="Hoàn thành",100%,IF(H462="Không áp dụng",100%,IF(H462="Đang thực hiện",50%,IF(H462="Đang chờ phối hợp",25%,0%))))</x:f>
        <x:v>0</x:v>
      </x:c>
      <x:c r="J462" s="58" t="str"/>
      <x:c r="K462" s="14" t="str"/>
      <x:c r="L462" s="14" t="str"/>
      <x:c r="M462" s="14" t="str"/>
      <x:c r="N462" s="14" t="str"/>
      <x:c r="O462" s="14" t="str"/>
      <x:c r="P462" s="58" t="str"/>
      <x:c r="Q462" s="14" t="str"/>
    </x:row>
    <x:row r="463">
      <x:c r="A463" s="14" t="str">
        <x:v>VATM-0462</x:v>
      </x:c>
      <x:c r="B463" s="14" t="str">
        <x:v>An ninh hàng không</x:v>
      </x:c>
      <x:c r="C463" s="14" t="str">
        <x:v>Khu vực hạn chế/kiểm soát ra vào</x:v>
      </x:c>
      <x:c r="D463" s="14" t="str">
        <x:v>Khu vực hạn chế, hệ thống thông tin và thiết bị an ninh phải được duy trì phù hợp với rủi ro.</x:v>
      </x:c>
      <x:c r="E463" s="14" t="str">
        <x:v>Ban An ninh hàng không; Ban Kế hoạch doanh nghiệp - Chuyển đổi số; Ban Kỹ thuật - CNS/IT/Môi trường</x:v>
      </x:c>
      <x:c r="F463" s="14" t="str">
        <x:v>P1</x:v>
      </x:c>
      <x:c r="G463" s="14" t="str">
        <x:v>Hằng tháng/quý/năm theo cấp cơ sở</x:v>
      </x:c>
      <x:c r="H463" s="14" t="str">
        <x:v>Chưa bắt đầu</x:v>
      </x:c>
      <x:c r="I463" s="20" t="n">
        <x:f>IF(H463="Hoàn thành",100%,IF(H463="Không áp dụng",100%,IF(H463="Đang thực hiện",50%,IF(H463="Đang chờ phối hợp",25%,0%))))</x:f>
        <x:v>0</x:v>
      </x:c>
      <x:c r="J463" s="58" t="str"/>
      <x:c r="K463" s="14" t="str"/>
      <x:c r="L463" s="14" t="str"/>
      <x:c r="M463" s="14" t="str"/>
      <x:c r="N463" s="14" t="str"/>
      <x:c r="O463" s="14" t="str"/>
      <x:c r="P463" s="58" t="str"/>
      <x:c r="Q463" s="14" t="str"/>
    </x:row>
    <x:row r="464">
      <x:c r="A464" s="14" t="str">
        <x:v>VATM-0463</x:v>
      </x:c>
      <x:c r="B464" s="14" t="str">
        <x:v>An ninh hàng không</x:v>
      </x:c>
      <x:c r="C464" s="14" t="str">
        <x:v>Ứng phó sự cố/diễn tập ANHK</x:v>
      </x:c>
      <x:c r="D464" s="14" t="str">
        <x:v>Diễn tập cấp cơ sở có lực lượng liên quan; nhân viên KSANHK phải đào tạo cấp phép/năng định.</x:v>
      </x:c>
      <x:c r="E464" s="14" t="str">
        <x:v>Ban An ninh hàng không</x:v>
      </x:c>
      <x:c r="F464" s="14" t="str">
        <x:v>P1</x:v>
      </x:c>
      <x:c r="G464" s="14" t="str">
        <x:v>Kế hoạch năm; diễn tập 2 năm/lần</x:v>
      </x:c>
      <x:c r="H464" s="14" t="str">
        <x:v>Chưa bắt đầu</x:v>
      </x:c>
      <x:c r="I464" s="20" t="n">
        <x:f>IF(H464="Hoàn thành",100%,IF(H464="Không áp dụng",100%,IF(H464="Đang thực hiện",50%,IF(H464="Đang chờ phối hợp",25%,0%))))</x:f>
        <x:v>0</x:v>
      </x:c>
      <x:c r="J464" s="58" t="str"/>
      <x:c r="K464" s="14" t="str"/>
      <x:c r="L464" s="14" t="str"/>
      <x:c r="M464" s="14" t="str"/>
      <x:c r="N464" s="14" t="str"/>
      <x:c r="O464" s="14" t="str"/>
      <x:c r="P464" s="58" t="str"/>
      <x:c r="Q464" s="14" t="str"/>
    </x:row>
    <x:row r="465">
      <x:c r="A465" s="14" t="str">
        <x:v>VATM-0464</x:v>
      </x:c>
      <x:c r="B465" s="14" t="str">
        <x:v>An ninh hàng không</x:v>
      </x:c>
      <x:c r="C465" s="14" t="str">
        <x:v>Khu vực hạn chế/kiểm soát ra vào</x:v>
      </x:c>
      <x:c r="D465" s="14" t="str">
        <x:v>NĐ quy định lực lượng KSANHK thuộc doanh nghiệp cung cấp dịch vụ không lưu; VATM cần phân định với bảo vệ, an ninh cơ quan, lực lượng thuê ngoài.</x:v>
      </x:c>
      <x:c r="E465" s="14" t="str">
        <x:v>Ban An ninh hàng không; Văn phòng - Pháp chế</x:v>
      </x:c>
      <x:c r="F465" s="14" t="str">
        <x:v>P1</x:v>
      </x:c>
      <x:c r="G465" s="14" t="str">
        <x:v>Khi tổ chức lực lượng</x:v>
      </x:c>
      <x:c r="H465" s="14" t="str">
        <x:v>Chưa bắt đầu</x:v>
      </x:c>
      <x:c r="I465" s="20" t="n">
        <x:f>IF(H465="Hoàn thành",100%,IF(H465="Không áp dụng",100%,IF(H465="Đang thực hiện",50%,IF(H465="Đang chờ phối hợp",25%,0%))))</x:f>
        <x:v>0</x:v>
      </x:c>
      <x:c r="J465" s="58" t="str"/>
      <x:c r="K465" s="14" t="str"/>
      <x:c r="L465" s="14" t="str"/>
      <x:c r="M465" s="14" t="str"/>
      <x:c r="N465" s="14" t="str"/>
      <x:c r="O465" s="14" t="str"/>
      <x:c r="P465" s="58" t="str"/>
      <x:c r="Q465" s="14" t="str"/>
    </x:row>
    <x:row r="466">
      <x:c r="A466" s="14" t="str">
        <x:v>VATM-0465</x:v>
      </x:c>
      <x:c r="B466" s="14" t="str">
        <x:v>An ninh hàng không</x:v>
      </x:c>
      <x:c r="C466" s="14" t="str">
        <x:v>Khu vực hạn chế/kiểm soát ra vào</x:v>
      </x:c>
      <x:c r="D466" s="14" t="str">
        <x:v>Cần sửa đồng bộ văn bản nội bộ: chương trình an ninh, bảo vệ mục tiêu, ra vào, CNTT, nhà thầu, chuyên cơ, khẩn nguy, diễn tập.</x:v>
      </x:c>
      <x:c r="E466" s="14" t="str">
        <x:v>Ban An ninh hàng không; Văn phòng - Pháp chế</x:v>
      </x:c>
      <x:c r="F466" s="14" t="str">
        <x:v>P1</x:v>
      </x:c>
      <x:c r="G466" s="14" t="str">
        <x:v>Trong 60-90 ngày</x:v>
      </x:c>
      <x:c r="H466" s="14" t="str">
        <x:v>Chưa bắt đầu</x:v>
      </x:c>
      <x:c r="I466" s="20" t="n">
        <x:f>IF(H466="Hoàn thành",100%,IF(H466="Không áp dụng",100%,IF(H466="Đang thực hiện",50%,IF(H466="Đang chờ phối hợp",25%,0%))))</x:f>
        <x:v>0</x:v>
      </x:c>
      <x:c r="J466" s="58" t="str"/>
      <x:c r="K466" s="14" t="str"/>
      <x:c r="L466" s="14" t="str"/>
      <x:c r="M466" s="14" t="str"/>
      <x:c r="N466" s="14" t="str"/>
      <x:c r="O466" s="14" t="str"/>
      <x:c r="P466" s="58" t="str"/>
      <x:c r="Q466" s="14" t="str"/>
    </x:row>
    <x:row r="467">
      <x:c r="A467" s="14" t="str">
        <x:v>VATM-0466</x:v>
      </x:c>
      <x:c r="B467" s="14" t="str">
        <x:v>An ninh hàng không</x:v>
      </x:c>
      <x:c r="C467" s="14" t="str">
        <x:v>An ninh hệ thống CNS/ATM/CNTT</x:v>
      </x:c>
      <x:c r="D467" s="14" t="str">
        <x:v>NĐ 215 áp dụng từ 01/7/2026 đối với tổ chức liên quan hoạt động HKDD tại Việt Nam; VATM phải áp dụng ngay cho hoạt động ANS.</x:v>
      </x:c>
      <x:c r="E467" s="14" t="str">
        <x:v>Ban An ninh hàng không; Văn phòng - Pháp chế</x:v>
      </x:c>
      <x:c r="F467" s="14" t="str">
        <x:v>P1</x:v>
      </x:c>
      <x:c r="G467" s="14" t="str">
        <x:v>Từ 01/7/2026</x:v>
      </x:c>
      <x:c r="H467" s="14" t="str">
        <x:v>Chưa bắt đầu</x:v>
      </x:c>
      <x:c r="I467" s="20" t="n">
        <x:f>IF(H467="Hoàn thành",100%,IF(H467="Không áp dụng",100%,IF(H467="Đang thực hiện",50%,IF(H467="Đang chờ phối hợp",25%,0%))))</x:f>
        <x:v>0</x:v>
      </x:c>
      <x:c r="J467" s="58" t="str"/>
      <x:c r="K467" s="14" t="str"/>
      <x:c r="L467" s="14" t="str"/>
      <x:c r="M467" s="14" t="str"/>
      <x:c r="N467" s="14" t="str"/>
      <x:c r="O467" s="14" t="str"/>
      <x:c r="P467" s="58" t="str"/>
      <x:c r="Q467" s="14" t="str"/>
    </x:row>
    <x:row r="468">
      <x:c r="A468" s="14" t="str">
        <x:v>VATM-0467</x:v>
      </x:c>
      <x:c r="B468" s="14" t="str">
        <x:v>Tuân thủ, dữ liệu &amp; chuyển đổi số</x:v>
      </x:c>
      <x:c r="C468" s="14" t="str">
        <x:v>Hồ sơ điện tử, CSDL và ký số</x:v>
      </x:c>
      <x:c r="D468" s="14" t="str">
        <x:v>Ban hành Kế hoạch chuyển đổi áp dụng Nghị định về hoạt động bay từ 01/07/2026 trong toàn VATM.</x:v>
      </x:c>
      <x:c r="E468" s="14" t="str">
        <x:v>Ban Kế hoạch doanh nghiệp - Chuyển đổi số; Ban Kỹ thuật - CNS/IT/Môi trường; Văn phòng - Pháp chế; Ban Không lưu</x:v>
      </x:c>
      <x:c r="F468" s="14" t="str">
        <x:v>P1</x:v>
      </x:c>
      <x:c r="G468" s="14" t="str">
        <x:v>Bắt đầu: 20/06/2026; Hoàn thành: 30/06/2026</x:v>
      </x:c>
      <x:c r="H468" s="14" t="str">
        <x:v>Chưa bắt đầu</x:v>
      </x:c>
      <x:c r="I468" s="20" t="n">
        <x:f>IF(H468="Hoàn thành",100%,IF(H468="Không áp dụng",100%,IF(H468="Đang thực hiện",50%,IF(H468="Đang chờ phối hợp",25%,0%))))</x:f>
        <x:v>0</x:v>
      </x:c>
      <x:c r="J468" s="58" t="str"/>
      <x:c r="K468" s="14" t="str"/>
      <x:c r="L468" s="14" t="str"/>
      <x:c r="M468" s="14" t="str"/>
      <x:c r="N468" s="14" t="str"/>
      <x:c r="O468" s="14" t="str"/>
      <x:c r="P468" s="58" t="str"/>
      <x:c r="Q468" s="14" t="str"/>
    </x:row>
    <x:row r="469">
      <x:c r="A469" s="14" t="str">
        <x:v>VATM-0468</x:v>
      </x:c>
      <x:c r="B469" s="14" t="str">
        <x:v>Tuân thủ, dữ liệu &amp; chuyển đổi số</x:v>
      </x:c>
      <x:c r="C469" s="14" t="str">
        <x:v>Hồ sơ điện tử, CSDL và ký số</x:v>
      </x:c>
      <x:c r="D469" s="14" t="str">
        <x:v>Rà soát toàn bộ quy chế, quy trình, sổ tay khai thác, LOA và biểu mẫu nội bộ bị tác động bởi NĐ 125/2015, NĐ 139/2024, NĐ 32/2016 hết hiệu lực.</x:v>
      </x:c>
      <x:c r="E469" s="14" t="str">
        <x:v>Ban Kế hoạch doanh nghiệp - Chuyển đổi số; Ban Kỹ thuật - CNS/IT/Môi trường; Văn phòng - Pháp chế</x:v>
      </x:c>
      <x:c r="F469" s="14" t="str">
        <x:v>P1</x:v>
      </x:c>
      <x:c r="G469" s="14" t="str">
        <x:v>Bắt đầu: 20/06/2026; Hoàn thành: 31/08/2026</x:v>
      </x:c>
      <x:c r="H469" s="14" t="str">
        <x:v>Chưa bắt đầu</x:v>
      </x:c>
      <x:c r="I469" s="20" t="n">
        <x:f>IF(H469="Hoàn thành",100%,IF(H469="Không áp dụng",100%,IF(H469="Đang thực hiện",50%,IF(H469="Đang chờ phối hợp",25%,0%))))</x:f>
        <x:v>0</x:v>
      </x:c>
      <x:c r="J469" s="58" t="str"/>
      <x:c r="K469" s="14" t="str"/>
      <x:c r="L469" s="14" t="str"/>
      <x:c r="M469" s="14" t="str"/>
      <x:c r="N469" s="14" t="str"/>
      <x:c r="O469" s="14" t="str"/>
      <x:c r="P469" s="58" t="str"/>
      <x:c r="Q469" s="14" t="str"/>
    </x:row>
    <x:row r="470">
      <x:c r="A470" s="14" t="str">
        <x:v>VATM-0469</x:v>
      </x:c>
      <x:c r="B470" s="14" t="str">
        <x:v>Tuân thủ, dữ liệu &amp; chuyển đổi số</x:v>
      </x:c>
      <x:c r="C470" s="14" t="str">
        <x:v>Hồ sơ điện tử, CSDL và ký số</x:v>
      </x:c>
      <x:c r="D470" s="14" t="str">
        <x:v>Chuẩn hóa tiếp nhận, xử lý, lưu trữ hồ sơ điện tử đối với các thủ tục VATM tham gia hoặc được giao xử lý.</x:v>
      </x:c>
      <x:c r="E470" s="14" t="str">
        <x:v>Ban Kế hoạch doanh nghiệp - Chuyển đổi số; Ban Kỹ thuật - CNS/IT/Môi trường; Văn phòng - Pháp chế</x:v>
      </x:c>
      <x:c r="F470" s="14" t="str">
        <x:v>P2</x:v>
      </x:c>
      <x:c r="G470" s="14" t="str">
        <x:v>Bắt đầu: 01/07/2026; Hoàn thành: 30/09/2026</x:v>
      </x:c>
      <x:c r="H470" s="14" t="str">
        <x:v>Chưa bắt đầu</x:v>
      </x:c>
      <x:c r="I470" s="20" t="n">
        <x:f>IF(H470="Hoàn thành",100%,IF(H470="Không áp dụng",100%,IF(H470="Đang thực hiện",50%,IF(H470="Đang chờ phối hợp",25%,0%))))</x:f>
        <x:v>0</x:v>
      </x:c>
      <x:c r="J470" s="58" t="str"/>
      <x:c r="K470" s="14" t="str"/>
      <x:c r="L470" s="14" t="str"/>
      <x:c r="M470" s="14" t="str"/>
      <x:c r="N470" s="14" t="str"/>
      <x:c r="O470" s="14" t="str"/>
      <x:c r="P470" s="58" t="str"/>
      <x:c r="Q470" s="14" t="str"/>
    </x:row>
    <x:row r="471">
      <x:c r="A471" s="14" t="str">
        <x:v>VATM-0470</x:v>
      </x:c>
      <x:c r="B471" s="14" t="str">
        <x:v>ANS - ATM/ATS/ATFM</x:v>
      </x:c>
      <x:c r="C471" s="14" t="str">
        <x:v>Cấp phép bay, FPL và xử lý hồ sơ bay</x:v>
      </x:c>
      <x:c r="D471" s="14" t="str">
        <x:v>Thiết lập cơ chế trực ngoài giờ/ngày nghỉ để VATM cấp/sửa/hủy phép bay đúng phạm vi được giao.</x:v>
      </x:c>
      <x:c r="E471" s="14" t="str">
        <x:v>Ban Không lưu; Trung tâm Quản lý luồng không lưu</x:v>
      </x:c>
      <x:c r="F471" s="14" t="str">
        <x:v>P1</x:v>
      </x:c>
      <x:c r="G471" s="14" t="str">
        <x:v>Bắt đầu: 20/06/2026; Hoàn thành: 30/06/2026</x:v>
      </x:c>
      <x:c r="H471" s="14" t="str">
        <x:v>Chưa bắt đầu</x:v>
      </x:c>
      <x:c r="I471" s="20" t="n">
        <x:f>IF(H471="Hoàn thành",100%,IF(H471="Không áp dụng",100%,IF(H471="Đang thực hiện",50%,IF(H471="Đang chờ phối hợp",25%,0%))))</x:f>
        <x:v>0</x:v>
      </x:c>
      <x:c r="J471" s="58" t="str"/>
      <x:c r="K471" s="14" t="str"/>
      <x:c r="L471" s="14" t="str"/>
      <x:c r="M471" s="14" t="str"/>
      <x:c r="N471" s="14" t="str"/>
      <x:c r="O471" s="14" t="str"/>
      <x:c r="P471" s="58" t="str"/>
      <x:c r="Q471" s="14" t="str"/>
    </x:row>
    <x:row r="472">
      <x:c r="A472" s="14" t="str">
        <x:v>VATM-0471</x:v>
      </x:c>
      <x:c r="B472" s="14" t="str">
        <x:v>ANS - ATM/ATS/ATFM</x:v>
      </x:c>
      <x:c r="C472" s="14" t="str">
        <x:v>Cấp phép bay, FPL và xử lý hồ sơ bay</x:v>
      </x:c>
      <x:c r="D472" s="14" t="str">
        <x:v>Cấu hình quy trình phản hồi Kế hoạch bay không lưu thay phép bay đối với hàng không chuyên dùng/hàng không chung bằng tàu bay Việt Nam trong đường hàng không.</x:v>
      </x:c>
      <x:c r="E472" s="14" t="str">
        <x:v>Ban Không lưu; Trung tâm Quản lý luồng không lưu</x:v>
      </x:c>
      <x:c r="F472" s="14" t="str">
        <x:v>P1</x:v>
      </x:c>
      <x:c r="G472" s="14" t="str">
        <x:v>Bắt đầu: 20/06/2026; Hoàn thành: 15/07/2026</x:v>
      </x:c>
      <x:c r="H472" s="14" t="str">
        <x:v>Chưa bắt đầu</x:v>
      </x:c>
      <x:c r="I472" s="20" t="n">
        <x:f>IF(H472="Hoàn thành",100%,IF(H472="Không áp dụng",100%,IF(H472="Đang thực hiện",50%,IF(H472="Đang chờ phối hợp",25%,0%))))</x:f>
        <x:v>0</x:v>
      </x:c>
      <x:c r="J472" s="58" t="str"/>
      <x:c r="K472" s="14" t="str"/>
      <x:c r="L472" s="14" t="str"/>
      <x:c r="M472" s="14" t="str"/>
      <x:c r="N472" s="14" t="str"/>
      <x:c r="O472" s="14" t="str"/>
      <x:c r="P472" s="58" t="str"/>
      <x:c r="Q472" s="14" t="str"/>
    </x:row>
    <x:row r="473">
      <x:c r="A473" s="14" t="str">
        <x:v>VATM-0472</x:v>
      </x:c>
      <x:c r="B473" s="14" t="str">
        <x:v>ANS - ATM/ATS/ATFM</x:v>
      </x:c>
      <x:c r="C473" s="14" t="str">
        <x:v>Cấp phép bay, FPL và xử lý hồ sơ bay</x:v>
      </x:c>
      <x:c r="D473" s="14" t="str">
        <x:v>Thiết lập đầu mối tiếp nhận, kiểm tra và phản hồi kế hoạch thực hiện chuyến bay đối với bay qua/bay trong phần FIR trên biển quốc tế do Việt Nam quản lý.</x:v>
      </x:c>
      <x:c r="E473" s="14" t="str">
        <x:v>Ban Không lưu; Trung tâm Quản lý luồng không lưu</x:v>
      </x:c>
      <x:c r="F473" s="14" t="str">
        <x:v>P1</x:v>
      </x:c>
      <x:c r="G473" s="14" t="str">
        <x:v>Bắt đầu: 20/06/2026; Hoàn thành: 15/07/2026</x:v>
      </x:c>
      <x:c r="H473" s="14" t="str">
        <x:v>Chưa bắt đầu</x:v>
      </x:c>
      <x:c r="I473" s="20" t="n">
        <x:f>IF(H473="Hoàn thành",100%,IF(H473="Không áp dụng",100%,IF(H473="Đang thực hiện",50%,IF(H473="Đang chờ phối hợp",25%,0%))))</x:f>
        <x:v>0</x:v>
      </x:c>
      <x:c r="J473" s="58" t="str"/>
      <x:c r="K473" s="14" t="str"/>
      <x:c r="L473" s="14" t="str"/>
      <x:c r="M473" s="14" t="str"/>
      <x:c r="N473" s="14" t="str"/>
      <x:c r="O473" s="14" t="str"/>
      <x:c r="P473" s="58" t="str"/>
      <x:c r="Q473" s="14" t="str"/>
    </x:row>
    <x:row r="474">
      <x:c r="A474" s="14" t="str">
        <x:v>VATM-0473</x:v>
      </x:c>
      <x:c r="B474" s="14" t="str">
        <x:v>ANS - ATM/ATS/ATFM</x:v>
      </x:c>
      <x:c r="C474" s="14" t="str">
        <x:v>Cấp phép bay, FPL và xử lý hồ sơ bay</x:v>
      </x:c>
      <x:c r="D474" s="14" t="str">
        <x:v>Xây dựng quy chế bảo đảm thanh toán, cảnh báo nợ, yêu cầu thanh toán trước và đề xuất từ chối cung cấp ATS trước khởi hành trong giới hạn pháp luật.</x:v>
      </x:c>
      <x:c r="E474" s="14" t="str">
        <x:v>Ban Không lưu; Văn phòng - Pháp chế; Ban Tài chính</x:v>
      </x:c>
      <x:c r="F474" s="14" t="str">
        <x:v>P1</x:v>
      </x:c>
      <x:c r="G474" s="14" t="str">
        <x:v>Bắt đầu: 01/07/2026; Hoàn thành: 30/09/2026</x:v>
      </x:c>
      <x:c r="H474" s="14" t="str">
        <x:v>Chưa bắt đầu</x:v>
      </x:c>
      <x:c r="I474" s="20" t="n">
        <x:f>IF(H474="Hoàn thành",100%,IF(H474="Không áp dụng",100%,IF(H474="Đang thực hiện",50%,IF(H474="Đang chờ phối hợp",25%,0%))))</x:f>
        <x:v>0</x:v>
      </x:c>
      <x:c r="J474" s="58" t="str"/>
      <x:c r="K474" s="14" t="str"/>
      <x:c r="L474" s="14" t="str"/>
      <x:c r="M474" s="14" t="str"/>
      <x:c r="N474" s="14" t="str"/>
      <x:c r="O474" s="14" t="str"/>
      <x:c r="P474" s="58" t="str"/>
      <x:c r="Q474" s="14" t="str"/>
    </x:row>
    <x:row r="475">
      <x:c r="A475" s="14" t="str">
        <x:v>VATM-0474</x:v>
      </x:c>
      <x:c r="B475" s="14" t="str">
        <x:v>ANS - ATM/ATS/ATFM</x:v>
      </x:c>
      <x:c r="C475" s="14" t="str">
        <x:v>Cấp phép bay, FPL và xử lý hồ sơ bay</x:v>
      </x:c>
      <x:c r="D475" s="14" t="str">
        <x:v>Cập nhật checklist kiểm tra dữ liệu trong Mẫu 7A-7E và 8A-8G, gồm MTOW, đường hàng không, điểm vào/ra FIR, địa chỉ thanh toán.</x:v>
      </x:c>
      <x:c r="E475" s="14" t="str">
        <x:v>Ban Không lưu; Trung tâm Quản lý luồng không lưu</x:v>
      </x:c>
      <x:c r="F475" s="14" t="str">
        <x:v>P2</x:v>
      </x:c>
      <x:c r="G475" s="14" t="str">
        <x:v>Bắt đầu: 01/07/2026; Hoàn thành: 15/08/2026</x:v>
      </x:c>
      <x:c r="H475" s="14" t="str">
        <x:v>Chưa bắt đầu</x:v>
      </x:c>
      <x:c r="I475" s="20" t="n">
        <x:f>IF(H475="Hoàn thành",100%,IF(H475="Không áp dụng",100%,IF(H475="Đang thực hiện",50%,IF(H475="Đang chờ phối hợp",25%,0%))))</x:f>
        <x:v>0</x:v>
      </x:c>
      <x:c r="J475" s="58" t="str"/>
      <x:c r="K475" s="14" t="str"/>
      <x:c r="L475" s="14" t="str"/>
      <x:c r="M475" s="14" t="str"/>
      <x:c r="N475" s="14" t="str"/>
      <x:c r="O475" s="14" t="str"/>
      <x:c r="P475" s="58" t="str"/>
      <x:c r="Q475" s="14" t="str"/>
    </x:row>
    <x:row r="476">
      <x:c r="A476" s="14" t="str">
        <x:v>VATM-0475</x:v>
      </x:c>
      <x:c r="B476" s="14" t="str">
        <x:v>ANS - ATM/ATS/ATFM</x:v>
      </x:c>
      <x:c r="C476" s="14" t="str">
        <x:v>ATFM, năng lực và điều phối luồng</x:v>
      </x:c>
      <x:c r="D476" s="14" t="str">
        <x:v>Rà soát, cập nhật LOA/SOP giữa VATM với cơ quan quân sự/công an về sử dụng vùng trời linh hoạt, kế hoạch sử dụng vùng trời và kế hoạch cập nhật.</x:v>
      </x:c>
      <x:c r="E476" s="14" t="str">
        <x:v>Trung tâm Quản lý luồng không lưu; Ban Không lưu</x:v>
      </x:c>
      <x:c r="F476" s="14" t="str">
        <x:v>P1</x:v>
      </x:c>
      <x:c r="G476" s="14" t="str">
        <x:v>Bắt đầu: 01/07/2026; Hoàn thành: 30/06/2027</x:v>
      </x:c>
      <x:c r="H476" s="14" t="str">
        <x:v>Chưa bắt đầu</x:v>
      </x:c>
      <x:c r="I476" s="20" t="n">
        <x:f>IF(H476="Hoàn thành",100%,IF(H476="Không áp dụng",100%,IF(H476="Đang thực hiện",50%,IF(H476="Đang chờ phối hợp",25%,0%))))</x:f>
        <x:v>0</x:v>
      </x:c>
      <x:c r="J476" s="58" t="str"/>
      <x:c r="K476" s="14" t="str"/>
      <x:c r="L476" s="14" t="str"/>
      <x:c r="M476" s="14" t="str"/>
      <x:c r="N476" s="14" t="str"/>
      <x:c r="O476" s="14" t="str"/>
      <x:c r="P476" s="58" t="str"/>
      <x:c r="Q476" s="14" t="str"/>
    </x:row>
    <x:row r="477">
      <x:c r="A477" s="14" t="str">
        <x:v>VATM-0476</x:v>
      </x:c>
      <x:c r="B477" s="14" t="str">
        <x:v>ANS - ATM/ATS/ATFM</x:v>
      </x:c>
      <x:c r="C477" s="14" t="str">
        <x:v>ATFM, năng lực và điều phối luồng</x:v>
      </x:c>
      <x:c r="D477" s="14" t="str">
        <x:v>Thiết lập cơ chế trao đổi theo thời gian thực giữa Trung tâm Quản lý điều hành bay quốc gia và Trung tâm QLLK khi khu vực cấm/hạn chế/nguy hiểm kết thúc sớm, thu hẹp hoặc không thực hiện.</x:v>
      </x:c>
      <x:c r="E477" s="14" t="str">
        <x:v>Trung tâm Quản lý luồng không lưu; Ban Không lưu</x:v>
      </x:c>
      <x:c r="F477" s="14" t="str">
        <x:v>P1</x:v>
      </x:c>
      <x:c r="G477" s="14" t="str">
        <x:v>Bắt đầu: 01/07/2026; Hoàn thành: 31/10/2026</x:v>
      </x:c>
      <x:c r="H477" s="14" t="str">
        <x:v>Chưa bắt đầu</x:v>
      </x:c>
      <x:c r="I477" s="20" t="n">
        <x:f>IF(H477="Hoàn thành",100%,IF(H477="Không áp dụng",100%,IF(H477="Đang thực hiện",50%,IF(H477="Đang chờ phối hợp",25%,0%))))</x:f>
        <x:v>0</x:v>
      </x:c>
      <x:c r="J477" s="58" t="str"/>
      <x:c r="K477" s="14" t="str"/>
      <x:c r="L477" s="14" t="str"/>
      <x:c r="M477" s="14" t="str"/>
      <x:c r="N477" s="14" t="str"/>
      <x:c r="O477" s="14" t="str"/>
      <x:c r="P477" s="58" t="str"/>
      <x:c r="Q477" s="14" t="str"/>
    </x:row>
    <x:row r="478">
      <x:c r="A478" s="14" t="str">
        <x:v>VATM-0477</x:v>
      </x:c>
      <x:c r="B478" s="14" t="str">
        <x:v>ANS - ATM/ATS/ATFM</x:v>
      </x:c>
      <x:c r="C478" s="14" t="str">
        <x:v>ATFM, năng lực và điều phối luồng</x:v>
      </x:c>
      <x:c r="D478" s="14" t="str">
        <x:v>Cập nhật tài liệu dịch vụ ATM gồm ATS, ATFM và khai thác sử dụng vùng trời theo cấp chiến lược, tiền chiến thuật, chiến thuật, sau khai thác.</x:v>
      </x:c>
      <x:c r="E478" s="14" t="str">
        <x:v>Trung tâm Quản lý luồng không lưu; Ban Không lưu</x:v>
      </x:c>
      <x:c r="F478" s="14" t="str">
        <x:v>P1</x:v>
      </x:c>
      <x:c r="G478" s="14" t="str">
        <x:v>Bắt đầu: 01/07/2026; Hoàn thành: 31/12/2026</x:v>
      </x:c>
      <x:c r="H478" s="14" t="str">
        <x:v>Chưa bắt đầu</x:v>
      </x:c>
      <x:c r="I478" s="20" t="n">
        <x:f>IF(H478="Hoàn thành",100%,IF(H478="Không áp dụng",100%,IF(H478="Đang thực hiện",50%,IF(H478="Đang chờ phối hợp",25%,0%))))</x:f>
        <x:v>0</x:v>
      </x:c>
      <x:c r="J478" s="58" t="str"/>
      <x:c r="K478" s="14" t="str"/>
      <x:c r="L478" s="14" t="str"/>
      <x:c r="M478" s="14" t="str"/>
      <x:c r="N478" s="14" t="str"/>
      <x:c r="O478" s="14" t="str"/>
      <x:c r="P478" s="58" t="str"/>
      <x:c r="Q478" s="14" t="str"/>
    </x:row>
    <x:row r="479">
      <x:c r="A479" s="14" t="str">
        <x:v>VATM-0478</x:v>
      </x:c>
      <x:c r="B479" s="14" t="str">
        <x:v>ANS - ATM/ATS/ATFM</x:v>
      </x:c>
      <x:c r="C479" s="14" t="str">
        <x:v>ATFM, năng lực và điều phối luồng</x:v>
      </x:c>
      <x:c r="D479" s="14" t="str">
        <x:v>Thiết lập cơ chế chia sẻ dữ liệu khai thác với hãng hàng không và cảng hàng không phục vụ ATFM/CDM.</x:v>
      </x:c>
      <x:c r="E479" s="14" t="str">
        <x:v>Trung tâm Quản lý luồng không lưu; Ban Không lưu</x:v>
      </x:c>
      <x:c r="F479" s="14" t="str">
        <x:v>P2</x:v>
      </x:c>
      <x:c r="G479" s="14" t="str">
        <x:v>Bắt đầu: 01/09/2026; Hoàn thành: 31/03/2027</x:v>
      </x:c>
      <x:c r="H479" s="14" t="str">
        <x:v>Chưa bắt đầu</x:v>
      </x:c>
      <x:c r="I479" s="20" t="n">
        <x:f>IF(H479="Hoàn thành",100%,IF(H479="Không áp dụng",100%,IF(H479="Đang thực hiện",50%,IF(H479="Đang chờ phối hợp",25%,0%))))</x:f>
        <x:v>0</x:v>
      </x:c>
      <x:c r="J479" s="58" t="str"/>
      <x:c r="K479" s="14" t="str"/>
      <x:c r="L479" s="14" t="str"/>
      <x:c r="M479" s="14" t="str"/>
      <x:c r="N479" s="14" t="str"/>
      <x:c r="O479" s="14" t="str"/>
      <x:c r="P479" s="58" t="str"/>
      <x:c r="Q479" s="14" t="str"/>
    </x:row>
    <x:row r="480">
      <x:c r="A480" s="14" t="str">
        <x:v>VATM-0479</x:v>
      </x:c>
      <x:c r="B480" s="14" t="str">
        <x:v>ANS - ATM/ATS/ATFM</x:v>
      </x:c>
      <x:c r="C480" s="14" t="str">
        <x:v>Cung cấp ATS/điều hành bay</x:v>
      </x:c>
      <x:c r="D480" s="14" t="str">
        <x:v>Rà soát phân công khu vực trách nhiệm, loại vùng trời, chế độ cung cấp ATS và công bố AIP tương ứng.</x:v>
      </x:c>
      <x:c r="E480" s="14" t="str">
        <x:v>Ban Không lưu; Trung tâm Thông báo tin tức hàng không</x:v>
      </x:c>
      <x:c r="F480" s="14" t="str">
        <x:v>P2</x:v>
      </x:c>
      <x:c r="G480" s="14" t="str">
        <x:v>Bắt đầu: 01/07/2026; Hoàn thành: 31/12/2026</x:v>
      </x:c>
      <x:c r="H480" s="14" t="str">
        <x:v>Chưa bắt đầu</x:v>
      </x:c>
      <x:c r="I480" s="20" t="n">
        <x:f>IF(H480="Hoàn thành",100%,IF(H480="Không áp dụng",100%,IF(H480="Đang thực hiện",50%,IF(H480="Đang chờ phối hợp",25%,0%))))</x:f>
        <x:v>0</x:v>
      </x:c>
      <x:c r="J480" s="58" t="str"/>
      <x:c r="K480" s="14" t="str"/>
      <x:c r="L480" s="14" t="str"/>
      <x:c r="M480" s="14" t="str"/>
      <x:c r="N480" s="14" t="str"/>
      <x:c r="O480" s="14" t="str"/>
      <x:c r="P480" s="58" t="str"/>
      <x:c r="Q480" s="14" t="str"/>
    </x:row>
    <x:row r="481">
      <x:c r="A481" s="14" t="str">
        <x:v>VATM-0480</x:v>
      </x:c>
      <x:c r="B481" s="14" t="str">
        <x:v>ANS - ATM/ATS/ATFM</x:v>
      </x:c>
      <x:c r="C481" s="14" t="str">
        <x:v>Cung cấp ATS/điều hành bay</x:v>
      </x:c>
      <x:c r="D481" s="14" t="str">
        <x:v>Cập nhật huấn luyện quy tắc bay VFR/IFR, liên lạc, báo cáo vị trí, mất liên lạc, can thiệp bất hợp pháp cho KSVKL.</x:v>
      </x:c>
      <x:c r="E481" s="14" t="str">
        <x:v>Ban Không lưu; Trung tâm Huấn luyện đào tạo</x:v>
      </x:c>
      <x:c r="F481" s="14" t="str">
        <x:v>P2</x:v>
      </x:c>
      <x:c r="G481" s="14" t="str">
        <x:v>Bắt đầu: 01/07/2026; Hoàn thành: 31/12/2026</x:v>
      </x:c>
      <x:c r="H481" s="14" t="str">
        <x:v>Chưa bắt đầu</x:v>
      </x:c>
      <x:c r="I481" s="20" t="n">
        <x:f>IF(H481="Hoàn thành",100%,IF(H481="Không áp dụng",100%,IF(H481="Đang thực hiện",50%,IF(H481="Đang chờ phối hợp",25%,0%))))</x:f>
        <x:v>0</x:v>
      </x:c>
      <x:c r="J481" s="58" t="str"/>
      <x:c r="K481" s="14" t="str"/>
      <x:c r="L481" s="14" t="str"/>
      <x:c r="M481" s="14" t="str"/>
      <x:c r="N481" s="14" t="str"/>
      <x:c r="O481" s="14" t="str"/>
      <x:c r="P481" s="58" t="str"/>
      <x:c r="Q481" s="14" t="str"/>
    </x:row>
    <x:row r="482">
      <x:c r="A482" s="14" t="str">
        <x:v>VATM-0481</x:v>
      </x:c>
      <x:c r="B482" s="14" t="str">
        <x:v>ANS - ATM/ATS/ATFM</x:v>
      </x:c>
      <x:c r="C482" s="14" t="str">
        <x:v>Cung cấp ATS/điều hành bay</x:v>
      </x:c>
      <x:c r="D482" s="14" t="str">
        <x:v>Cập nhật SOP điều hành, hiệp đồng và thông báo khi tàu bay xả nhiên liệu hoặc thả vật thể trong/ngoài khu vực công bố.</x:v>
      </x:c>
      <x:c r="E482" s="14" t="str">
        <x:v>Ban Không lưu</x:v>
      </x:c>
      <x:c r="F482" s="14" t="str">
        <x:v>P1</x:v>
      </x:c>
      <x:c r="G482" s="14" t="str">
        <x:v>Bắt đầu: 01/07/2026; Hoàn thành: 31/10/2026</x:v>
      </x:c>
      <x:c r="H482" s="14" t="str">
        <x:v>Chưa bắt đầu</x:v>
      </x:c>
      <x:c r="I482" s="20" t="n">
        <x:f>IF(H482="Hoàn thành",100%,IF(H482="Không áp dụng",100%,IF(H482="Đang thực hiện",50%,IF(H482="Đang chờ phối hợp",25%,0%))))</x:f>
        <x:v>0</x:v>
      </x:c>
      <x:c r="J482" s="58" t="str"/>
      <x:c r="K482" s="14" t="str"/>
      <x:c r="L482" s="14" t="str"/>
      <x:c r="M482" s="14" t="str"/>
      <x:c r="N482" s="14" t="str"/>
      <x:c r="O482" s="14" t="str"/>
      <x:c r="P482" s="58" t="str"/>
      <x:c r="Q482" s="14" t="str"/>
    </x:row>
    <x:row r="483">
      <x:c r="A483" s="14" t="str">
        <x:v>VATM-0482</x:v>
      </x:c>
      <x:c r="B483" s="14" t="str">
        <x:v>ANS - ATM/ATS/ATFM</x:v>
      </x:c>
      <x:c r="C483" s="14" t="str">
        <x:v>Cung cấp ATS/điều hành bay</x:v>
      </x:c>
      <x:c r="D483" s="14" t="str">
        <x:v>Rà soát SOP hiệp đồng ATS trong tình huống tàu bay vi phạm vùng trời bị xử lý; tập trung bảo đảm phân cách, thông tin, sân bay chỉ định và hướng dẫn lăn sau hạ cánh.</x:v>
      </x:c>
      <x:c r="E483" s="14" t="str">
        <x:v>Ban Không lưu</x:v>
      </x:c>
      <x:c r="F483" s="14" t="str">
        <x:v>P1</x:v>
      </x:c>
      <x:c r="G483" s="14" t="str">
        <x:v>Bắt đầu: 01/07/2026; Hoàn thành: 31/12/2026</x:v>
      </x:c>
      <x:c r="H483" s="14" t="str">
        <x:v>Chưa bắt đầu</x:v>
      </x:c>
      <x:c r="I483" s="20" t="n">
        <x:f>IF(H483="Hoàn thành",100%,IF(H483="Không áp dụng",100%,IF(H483="Đang thực hiện",50%,IF(H483="Đang chờ phối hợp",25%,0%))))</x:f>
        <x:v>0</x:v>
      </x:c>
      <x:c r="J483" s="58" t="str"/>
      <x:c r="K483" s="14" t="str"/>
      <x:c r="L483" s="14" t="str"/>
      <x:c r="M483" s="14" t="str"/>
      <x:c r="N483" s="14" t="str"/>
      <x:c r="O483" s="14" t="str"/>
      <x:c r="P483" s="58" t="str"/>
      <x:c r="Q483" s="14" t="str"/>
    </x:row>
    <x:row r="484">
      <x:c r="A484" s="14" t="str">
        <x:v>VATM-0483</x:v>
      </x:c>
      <x:c r="B484" s="14" t="str">
        <x:v>ANS - AIS/AIM/Tin tức HK</x:v>
      </x:c>
      <x:c r="C484" s="14" t="str">
        <x:v>Dữ liệu địa hình/chướng ngại và bản đồ</x:v>
      </x:c>
      <x:c r="D484" s="14" t="str">
        <x:v>Lập kế hoạch công bố lại bề mặt chướng ngại vật hàng không trong thời hạn 24 tháng; phối hợp Cục HKVN, BQP, địa phương và cảng hàng không.</x:v>
      </x:c>
      <x:c r="E484" s="14" t="str">
        <x:v>Trung tâm Thông báo tin tức hàng không; Ban Không lưu; Các Công ty Quản lý bay khu vực Bắc/Trung/Nam</x:v>
      </x:c>
      <x:c r="F484" s="14" t="str">
        <x:v>P1</x:v>
      </x:c>
      <x:c r="G484" s="14" t="str">
        <x:v>Bắt đầu: 01/07/2026; Hoàn thành: 30/06/2028</x:v>
      </x:c>
      <x:c r="H484" s="14" t="str">
        <x:v>Chưa bắt đầu</x:v>
      </x:c>
      <x:c r="I484" s="20" t="n">
        <x:f>IF(H484="Hoàn thành",100%,IF(H484="Không áp dụng",100%,IF(H484="Đang thực hiện",50%,IF(H484="Đang chờ phối hợp",25%,0%))))</x:f>
        <x:v>0</x:v>
      </x:c>
      <x:c r="J484" s="58" t="str"/>
      <x:c r="K484" s="14" t="str"/>
      <x:c r="L484" s="14" t="str"/>
      <x:c r="M484" s="14" t="str"/>
      <x:c r="N484" s="14" t="str"/>
      <x:c r="O484" s="14" t="str"/>
      <x:c r="P484" s="58" t="str"/>
      <x:c r="Q484" s="14" t="str"/>
    </x:row>
    <x:row r="485">
      <x:c r="A485" s="14" t="str">
        <x:v>VATM-0484</x:v>
      </x:c>
      <x:c r="B485" s="14" t="str">
        <x:v>ANS - AIS/AIM/Tin tức HK</x:v>
      </x:c>
      <x:c r="C485" s="14" t="str">
        <x:v>Dữ liệu địa hình/chướng ngại và bản đồ</x:v>
      </x:c>
      <x:c r="D485" s="14" t="str">
        <x:v>Thiết lập cơ chế tiếp nhận dữ liệu công trình từ địa phương, chủ đầu tư, người khai thác cảng và cập nhật CSDL chướng ngại vật.</x:v>
      </x:c>
      <x:c r="E485" s="14" t="str">
        <x:v>Trung tâm Thông báo tin tức hàng không; Các Công ty Quản lý bay khu vực Bắc/Trung/Nam</x:v>
      </x:c>
      <x:c r="F485" s="14" t="str">
        <x:v>P1</x:v>
      </x:c>
      <x:c r="G485" s="14" t="str">
        <x:v>Bắt đầu: 01/07/2026; Hoàn thành: 30/06/2027</x:v>
      </x:c>
      <x:c r="H485" s="14" t="str">
        <x:v>Chưa bắt đầu</x:v>
      </x:c>
      <x:c r="I485" s="20" t="n">
        <x:f>IF(H485="Hoàn thành",100%,IF(H485="Không áp dụng",100%,IF(H485="Đang thực hiện",50%,IF(H485="Đang chờ phối hợp",25%,0%))))</x:f>
        <x:v>0</x:v>
      </x:c>
      <x:c r="J485" s="58" t="str"/>
      <x:c r="K485" s="14" t="str"/>
      <x:c r="L485" s="14" t="str"/>
      <x:c r="M485" s="14" t="str"/>
      <x:c r="N485" s="14" t="str"/>
      <x:c r="O485" s="14" t="str"/>
      <x:c r="P485" s="58" t="str"/>
      <x:c r="Q485" s="14" t="str"/>
    </x:row>
    <x:row r="486">
      <x:c r="A486" s="14" t="str">
        <x:v>VATM-0485</x:v>
      </x:c>
      <x:c r="B486" s="14" t="str">
        <x:v>ANS - AIS/AIM/Tin tức HK</x:v>
      </x:c>
      <x:c r="C486" s="14" t="str">
        <x:v>Dữ liệu địa hình/chướng ngại và bản đồ</x:v>
      </x:c>
      <x:c r="D486" s="14" t="str">
        <x:v>Chuẩn hóa quy trình VATM tham gia đánh giá ảnh hưởng công trình đến tĩnh không, phương thức bay và CNS khi được lấy ý kiến/sao gửi.</x:v>
      </x:c>
      <x:c r="E486" s="14" t="str">
        <x:v>Trung tâm Thông báo tin tức hàng không; Ban Kỹ thuật - CNS/IT/Môi trường</x:v>
      </x:c>
      <x:c r="F486" s="14" t="str">
        <x:v>P1</x:v>
      </x:c>
      <x:c r="G486" s="14" t="str">
        <x:v>Bắt đầu: 01/07/2026; Hoàn thành: 31/12/2026</x:v>
      </x:c>
      <x:c r="H486" s="14" t="str">
        <x:v>Chưa bắt đầu</x:v>
      </x:c>
      <x:c r="I486" s="20" t="n">
        <x:f>IF(H486="Hoàn thành",100%,IF(H486="Không áp dụng",100%,IF(H486="Đang thực hiện",50%,IF(H486="Đang chờ phối hợp",25%,0%))))</x:f>
        <x:v>0</x:v>
      </x:c>
      <x:c r="J486" s="58" t="str"/>
      <x:c r="K486" s="14" t="str"/>
      <x:c r="L486" s="14" t="str"/>
      <x:c r="M486" s="14" t="str"/>
      <x:c r="N486" s="14" t="str"/>
      <x:c r="O486" s="14" t="str"/>
      <x:c r="P486" s="58" t="str"/>
      <x:c r="Q486" s="14" t="str"/>
    </x:row>
    <x:row r="487">
      <x:c r="A487" s="14" t="str">
        <x:v>VATM-0486</x:v>
      </x:c>
      <x:c r="B487" s="14" t="str">
        <x:v>ANS - CNS/IT/Kỹ thuật</x:v>
      </x:c>
      <x:c r="C487" s="14" t="str">
        <x:v>CNS, trang thiết bị và bảo trì kỹ thuật</x:v>
      </x:c>
      <x:c r="D487" s="14" t="str">
        <x:v>Xây dựng/lập bản đồ BRA cho hệ thống CNS, gồm VOR/DME/NDB/ILS/GBAS/VHF/radar và hướng dẫn đánh giá tác động công trình.</x:v>
      </x:c>
      <x:c r="E487" s="14" t="str">
        <x:v>Ban Kỹ thuật - CNS/IT/Môi trường</x:v>
      </x:c>
      <x:c r="F487" s="14" t="str">
        <x:v>P1</x:v>
      </x:c>
      <x:c r="G487" s="14" t="str">
        <x:v>Bắt đầu: 01/07/2026; Hoàn thành: 30/06/2027</x:v>
      </x:c>
      <x:c r="H487" s="14" t="str">
        <x:v>Chưa bắt đầu</x:v>
      </x:c>
      <x:c r="I487" s="20" t="n">
        <x:f>IF(H487="Hoàn thành",100%,IF(H487="Không áp dụng",100%,IF(H487="Đang thực hiện",50%,IF(H487="Đang chờ phối hợp",25%,0%))))</x:f>
        <x:v>0</x:v>
      </x:c>
      <x:c r="J487" s="58" t="str"/>
      <x:c r="K487" s="14" t="str"/>
      <x:c r="L487" s="14" t="str"/>
      <x:c r="M487" s="14" t="str"/>
      <x:c r="N487" s="14" t="str"/>
      <x:c r="O487" s="14" t="str"/>
      <x:c r="P487" s="58" t="str"/>
      <x:c r="Q487" s="14" t="str"/>
    </x:row>
    <x:row r="488">
      <x:c r="A488" s="14" t="str">
        <x:v>VATM-0487</x:v>
      </x:c>
      <x:c r="B488" s="14" t="str">
        <x:v>ANS - AIS/AIM/Tin tức HK</x:v>
      </x:c>
      <x:c r="C488" s="14" t="str">
        <x:v>Phương thức bay, sơ đồ và công bố AIS</x:v>
      </x:c>
      <x:c r="D488" s="14" t="str">
        <x:v>Rà soát trách nhiệm VATM chủ trì khảo sát, thiết kế phương thức bay và sản xuất sơ đồ, bản đồ hàng không.</x:v>
      </x:c>
      <x:c r="E488" s="14" t="str">
        <x:v>Trung tâm Thông báo tin tức hàng không; Ban Không lưu</x:v>
      </x:c>
      <x:c r="F488" s="14" t="str">
        <x:v>P1</x:v>
      </x:c>
      <x:c r="G488" s="14" t="str">
        <x:v>Bắt đầu: 01/07/2026; Hoàn thành: 31/12/2026</x:v>
      </x:c>
      <x:c r="H488" s="14" t="str">
        <x:v>Chưa bắt đầu</x:v>
      </x:c>
      <x:c r="I488" s="20" t="n">
        <x:f>IF(H488="Hoàn thành",100%,IF(H488="Không áp dụng",100%,IF(H488="Đang thực hiện",50%,IF(H488="Đang chờ phối hợp",25%,0%))))</x:f>
        <x:v>0</x:v>
      </x:c>
      <x:c r="J488" s="58" t="str"/>
      <x:c r="K488" s="14" t="str"/>
      <x:c r="L488" s="14" t="str"/>
      <x:c r="M488" s="14" t="str"/>
      <x:c r="N488" s="14" t="str"/>
      <x:c r="O488" s="14" t="str"/>
      <x:c r="P488" s="58" t="str"/>
      <x:c r="Q488" s="14" t="str"/>
    </x:row>
    <x:row r="489">
      <x:c r="A489" s="14" t="str">
        <x:v>VATM-0488</x:v>
      </x:c>
      <x:c r="B489" s="14" t="str">
        <x:v>ANS - AIS/AIM/Tin tức HK</x:v>
      </x:c>
      <x:c r="C489" s="14" t="str">
        <x:v>Phương thức bay, sơ đồ và công bố AIS</x:v>
      </x:c>
      <x:c r="D489" s="14" t="str">
        <x:v>Thiết lập kế hoạch chuyển đổi eTOD và bộ dữ liệu số phục vụ phương thức bay, sơ đồ/bản đồ và AIM.</x:v>
      </x:c>
      <x:c r="E489" s="14" t="str">
        <x:v>Trung tâm Thông báo tin tức hàng không; Ban Kế hoạch doanh nghiệp - Chuyển đổi số; Ban Kỹ thuật - CNS/IT/Môi trường</x:v>
      </x:c>
      <x:c r="F489" s="14" t="str">
        <x:v>P1</x:v>
      </x:c>
      <x:c r="G489" s="14" t="str">
        <x:v>Bắt đầu: 01/09/2026; Hoàn thành: 31/12/2027</x:v>
      </x:c>
      <x:c r="H489" s="14" t="str">
        <x:v>Chưa bắt đầu</x:v>
      </x:c>
      <x:c r="I489" s="20" t="n">
        <x:f>IF(H489="Hoàn thành",100%,IF(H489="Không áp dụng",100%,IF(H489="Đang thực hiện",50%,IF(H489="Đang chờ phối hợp",25%,0%))))</x:f>
        <x:v>0</x:v>
      </x:c>
      <x:c r="J489" s="58" t="str"/>
      <x:c r="K489" s="14" t="str"/>
      <x:c r="L489" s="14" t="str"/>
      <x:c r="M489" s="14" t="str"/>
      <x:c r="N489" s="14" t="str"/>
      <x:c r="O489" s="14" t="str"/>
      <x:c r="P489" s="58" t="str"/>
      <x:c r="Q489" s="14" t="str"/>
    </x:row>
    <x:row r="490">
      <x:c r="A490" s="14" t="str">
        <x:v>VATM-0489</x:v>
      </x:c>
      <x:c r="B490" s="14" t="str">
        <x:v>ANS - AIS/AIM/Tin tức HK</x:v>
      </x:c>
      <x:c r="C490" s="14" t="str">
        <x:v>Dữ liệu địa hình/chướng ngại và bản đồ</x:v>
      </x:c>
      <x:c r="D490" s="14" t="str">
        <x:v>Thiết lập QMS trong lĩnh vực AIS/AIM và dữ liệu hàng không, bao phủ khởi tạo, thu thập, xử lý, kiểm tra, công bố, sử dụng.</x:v>
      </x:c>
      <x:c r="E490" s="14" t="str">
        <x:v>Trung tâm Thông báo tin tức hàng không; Ban An toàn - Chất lượng</x:v>
      </x:c>
      <x:c r="F490" s="14" t="str">
        <x:v>P1</x:v>
      </x:c>
      <x:c r="G490" s="14" t="str">
        <x:v>Bắt đầu: 01/07/2026; Hoàn thành: 31/03/2027</x:v>
      </x:c>
      <x:c r="H490" s="14" t="str">
        <x:v>Chưa bắt đầu</x:v>
      </x:c>
      <x:c r="I490" s="20" t="n">
        <x:f>IF(H490="Hoàn thành",100%,IF(H490="Không áp dụng",100%,IF(H490="Đang thực hiện",50%,IF(H490="Đang chờ phối hợp",25%,0%))))</x:f>
        <x:v>0</x:v>
      </x:c>
      <x:c r="J490" s="58" t="str"/>
      <x:c r="K490" s="14" t="str"/>
      <x:c r="L490" s="14" t="str"/>
      <x:c r="M490" s="14" t="str"/>
      <x:c r="N490" s="14" t="str"/>
      <x:c r="O490" s="14" t="str"/>
      <x:c r="P490" s="58" t="str"/>
      <x:c r="Q490" s="14" t="str"/>
    </x:row>
    <x:row r="491">
      <x:c r="A491" s="14" t="str">
        <x:v>VATM-0490</x:v>
      </x:c>
      <x:c r="B491" s="14" t="str">
        <x:v>ANS - AIS/AIM/Tin tức HK</x:v>
      </x:c>
      <x:c r="C491" s="14" t="str">
        <x:v>Dữ liệu địa hình/chướng ngại và bản đồ</x:v>
      </x:c>
      <x:c r="D491" s="14" t="str">
        <x:v>Ký/thay thế thỏa thuận chính thức với người khởi tạo dữ liệu, quy định mốc AIRAC 56/84 ngày, chất lượng dữ liệu và trách nhiệm xác nhận.</x:v>
      </x:c>
      <x:c r="E491" s="14" t="str">
        <x:v>Trung tâm Thông báo tin tức hàng không</x:v>
      </x:c>
      <x:c r="F491" s="14" t="str">
        <x:v>P1</x:v>
      </x:c>
      <x:c r="G491" s="14" t="str">
        <x:v>Bắt đầu: 01/07/2026; Hoàn thành: 30/06/2027</x:v>
      </x:c>
      <x:c r="H491" s="14" t="str">
        <x:v>Chưa bắt đầu</x:v>
      </x:c>
      <x:c r="I491" s="20" t="n">
        <x:f>IF(H491="Hoàn thành",100%,IF(H491="Không áp dụng",100%,IF(H491="Đang thực hiện",50%,IF(H491="Đang chờ phối hợp",25%,0%))))</x:f>
        <x:v>0</x:v>
      </x:c>
      <x:c r="J491" s="58" t="str"/>
      <x:c r="K491" s="14" t="str"/>
      <x:c r="L491" s="14" t="str"/>
      <x:c r="M491" s="14" t="str"/>
      <x:c r="N491" s="14" t="str"/>
      <x:c r="O491" s="14" t="str"/>
      <x:c r="P491" s="58" t="str"/>
      <x:c r="Q491" s="14" t="str"/>
    </x:row>
    <x:row r="492">
      <x:c r="A492" s="14" t="str">
        <x:v>VATM-0491</x:v>
      </x:c>
      <x:c r="B492" s="14" t="str">
        <x:v>ANS - AIS/AIM/Tin tức HK</x:v>
      </x:c>
      <x:c r="C492" s="14" t="str">
        <x:v>Dữ liệu địa hình/chướng ngại và bản đồ</x:v>
      </x:c>
      <x:c r="D492" s="14" t="str">
        <x:v>Lập lộ trình cung cấp bộ dữ liệu số hàng không và mô hình trao đổi dữ liệu tương thích toàn cầu.</x:v>
      </x:c>
      <x:c r="E492" s="14" t="str">
        <x:v>Trung tâm Thông báo tin tức hàng không; Ban Kế hoạch doanh nghiệp - Chuyển đổi số; Ban Kỹ thuật - CNS/IT/Môi trường</x:v>
      </x:c>
      <x:c r="F492" s="14" t="str">
        <x:v>P2</x:v>
      </x:c>
      <x:c r="G492" s="14" t="str">
        <x:v>Bắt đầu: 01/10/2026; Hoàn thành: 31/12/2027</x:v>
      </x:c>
      <x:c r="H492" s="14" t="str">
        <x:v>Chưa bắt đầu</x:v>
      </x:c>
      <x:c r="I492" s="20" t="n">
        <x:f>IF(H492="Hoàn thành",100%,IF(H492="Không áp dụng",100%,IF(H492="Đang thực hiện",50%,IF(H492="Đang chờ phối hợp",25%,0%))))</x:f>
        <x:v>0</x:v>
      </x:c>
      <x:c r="J492" s="58" t="str"/>
      <x:c r="K492" s="14" t="str"/>
      <x:c r="L492" s="14" t="str"/>
      <x:c r="M492" s="14" t="str"/>
      <x:c r="N492" s="14" t="str"/>
      <x:c r="O492" s="14" t="str"/>
      <x:c r="P492" s="58" t="str"/>
      <x:c r="Q492" s="14" t="str"/>
    </x:row>
    <x:row r="493">
      <x:c r="A493" s="14" t="str">
        <x:v>VATM-0492</x:v>
      </x:c>
      <x:c r="B493" s="14" t="str">
        <x:v>Tuân thủ, pháp chế &amp; quản trị</x:v>
      </x:c>
      <x:c r="C493" s="14" t="str">
        <x:v>Giấy phép/phê chuẩn và register</x:v>
      </x:c>
      <x:c r="D493" s="14" t="str">
        <x:v>Rà soát điều kiện cung cấp dịch vụ bảo đảm HĐB: tổ chức, nhân viên, cơ sở/trang thiết bị, SMS/SeMS/QMS, tài liệu khai thác.</x:v>
      </x:c>
      <x:c r="E493" s="14" t="str">
        <x:v>Văn phòng - Pháp chế; Ban An toàn - Chất lượng</x:v>
      </x:c>
      <x:c r="F493" s="14" t="str">
        <x:v>P1</x:v>
      </x:c>
      <x:c r="G493" s="14" t="str">
        <x:v>Bắt đầu: 01/07/2026; Hoàn thành: 31/12/2026</x:v>
      </x:c>
      <x:c r="H493" s="14" t="str">
        <x:v>Chưa bắt đầu</x:v>
      </x:c>
      <x:c r="I493" s="20" t="n">
        <x:f>IF(H493="Hoàn thành",100%,IF(H493="Không áp dụng",100%,IF(H493="Đang thực hiện",50%,IF(H493="Đang chờ phối hợp",25%,0%))))</x:f>
        <x:v>0</x:v>
      </x:c>
      <x:c r="J493" s="58" t="str"/>
      <x:c r="K493" s="14" t="str"/>
      <x:c r="L493" s="14" t="str"/>
      <x:c r="M493" s="14" t="str"/>
      <x:c r="N493" s="14" t="str"/>
      <x:c r="O493" s="14" t="str"/>
      <x:c r="P493" s="58" t="str"/>
      <x:c r="Q493" s="14" t="str"/>
    </x:row>
    <x:row r="494">
      <x:c r="A494" s="14" t="str">
        <x:v>VATM-0493</x:v>
      </x:c>
      <x:c r="B494" s="14" t="str">
        <x:v>Tuân thủ, pháp chế &amp; quản trị</x:v>
      </x:c>
      <x:c r="C494" s="14" t="str">
        <x:v>Giấy phép/phê chuẩn và register</x:v>
      </x:c>
      <x:c r="D494" s="14" t="str">
        <x:v>Thiết lập hoặc cập nhật hệ thống quản lý mệt mỏi đối với kiểm soát viên không lưu.</x:v>
      </x:c>
      <x:c r="E494" s="14" t="str">
        <x:v>Văn phòng - Pháp chế; Ban Tổ chức cán bộ; Ban Không lưu; Ban An toàn - Chất lượng</x:v>
      </x:c>
      <x:c r="F494" s="14" t="str">
        <x:v>P1</x:v>
      </x:c>
      <x:c r="G494" s="14" t="str">
        <x:v>Bắt đầu: 01/07/2026; Hoàn thành: 30/06/2027</x:v>
      </x:c>
      <x:c r="H494" s="14" t="str">
        <x:v>Chưa bắt đầu</x:v>
      </x:c>
      <x:c r="I494" s="20" t="n">
        <x:f>IF(H494="Hoàn thành",100%,IF(H494="Không áp dụng",100%,IF(H494="Đang thực hiện",50%,IF(H494="Đang chờ phối hợp",25%,0%))))</x:f>
        <x:v>0</x:v>
      </x:c>
      <x:c r="J494" s="58" t="str"/>
      <x:c r="K494" s="14" t="str"/>
      <x:c r="L494" s="14" t="str"/>
      <x:c r="M494" s="14" t="str"/>
      <x:c r="N494" s="14" t="str"/>
      <x:c r="O494" s="14" t="str"/>
      <x:c r="P494" s="58" t="str"/>
      <x:c r="Q494" s="14" t="str"/>
    </x:row>
    <x:row r="495">
      <x:c r="A495" s="14" t="str">
        <x:v>VATM-0494</x:v>
      </x:c>
      <x:c r="B495" s="14" t="str">
        <x:v>Tuân thủ, pháp chế &amp; quản trị</x:v>
      </x:c>
      <x:c r="C495" s="14" t="str">
        <x:v>Giấy phép/phê chuẩn và register</x:v>
      </x:c>
      <x:c r="D495" s="14" t="str">
        <x:v>Rà soát giấy phép/cấp phép cơ sở, công trình và hệ thống trang thiết bị kỹ thuật ATM/CNS/MET/AIS/SAR trước khi đưa vào khai thác.</x:v>
      </x:c>
      <x:c r="E495" s="14" t="str">
        <x:v>Văn phòng - Pháp chế; Ban Kỹ thuật - CNS/IT/Môi trường</x:v>
      </x:c>
      <x:c r="F495" s="14" t="str">
        <x:v>P1</x:v>
      </x:c>
      <x:c r="G495" s="14" t="str">
        <x:v>Bắt đầu: 01/07/2026; Hoàn thành: 31/12/2026</x:v>
      </x:c>
      <x:c r="H495" s="14" t="str">
        <x:v>Chưa bắt đầu</x:v>
      </x:c>
      <x:c r="I495" s="20" t="n">
        <x:f>IF(H495="Hoàn thành",100%,IF(H495="Không áp dụng",100%,IF(H495="Đang thực hiện",50%,IF(H495="Đang chờ phối hợp",25%,0%))))</x:f>
        <x:v>0</x:v>
      </x:c>
      <x:c r="J495" s="58" t="str"/>
      <x:c r="K495" s="14" t="str"/>
      <x:c r="L495" s="14" t="str"/>
      <x:c r="M495" s="14" t="str"/>
      <x:c r="N495" s="14" t="str"/>
      <x:c r="O495" s="14" t="str"/>
      <x:c r="P495" s="58" t="str"/>
      <x:c r="Q495" s="14" t="str"/>
    </x:row>
    <x:row r="496">
      <x:c r="A496" s="14" t="str">
        <x:v>VATM-0495</x:v>
      </x:c>
      <x:c r="B496" s="14" t="str">
        <x:v>Tuân thủ, pháp chế &amp; quản trị</x:v>
      </x:c>
      <x:c r="C496" s="14" t="str">
        <x:v>Giấy phép/phê chuẩn và register</x:v>
      </x:c>
      <x:c r="D496" s="14" t="str">
        <x:v>Xây dựng phần việc VATM tham gia Chương trình quốc gia về bảo đảm hoạt động bay: mục tiêu, KPI, dự án ưu tiên, nguồn lực.</x:v>
      </x:c>
      <x:c r="E496" s="14" t="str">
        <x:v>Văn phòng - Pháp chế; Ban Không lưu; Ban Kỹ thuật - CNS/IT/Môi trường</x:v>
      </x:c>
      <x:c r="F496" s="14" t="str">
        <x:v>P1</x:v>
      </x:c>
      <x:c r="G496" s="14" t="str">
        <x:v>Bắt đầu: 01/07/2026; Hoàn thành: 30/06/2027</x:v>
      </x:c>
      <x:c r="H496" s="14" t="str">
        <x:v>Chưa bắt đầu</x:v>
      </x:c>
      <x:c r="I496" s="20" t="n">
        <x:f>IF(H496="Hoàn thành",100%,IF(H496="Không áp dụng",100%,IF(H496="Đang thực hiện",50%,IF(H496="Đang chờ phối hợp",25%,0%))))</x:f>
        <x:v>0</x:v>
      </x:c>
      <x:c r="J496" s="58" t="str"/>
      <x:c r="K496" s="14" t="str"/>
      <x:c r="L496" s="14" t="str"/>
      <x:c r="M496" s="14" t="str"/>
      <x:c r="N496" s="14" t="str"/>
      <x:c r="O496" s="14" t="str"/>
      <x:c r="P496" s="58" t="str"/>
      <x:c r="Q496" s="14" t="str"/>
    </x:row>
    <x:row r="497">
      <x:c r="A497" s="14" t="str">
        <x:v>VATM-0496</x:v>
      </x:c>
      <x:c r="B497" s="14" t="str">
        <x:v>Tài chính - Kế hoạch đầu tư</x:v>
      </x:c>
      <x:c r="C497" s="14" t="str">
        <x:v>Kế hoạch vốn, đầu tư và mua sắm</x:v>
      </x:c>
      <x:c r="D497" s="14" t="str">
        <x:v>Thiết lập kế hoạch sử dụng 45% phí bay qua được giữ lại cho đào tạo, hợp tác quốc tế, đầu tư hiện đại hóa, chuyển đổi số.</x:v>
      </x:c>
      <x:c r="E497" s="14" t="str">
        <x:v>Ban Kế hoạch - Đầu tư; Ban Tài chính</x:v>
      </x:c>
      <x:c r="F497" s="14" t="str">
        <x:v>P1</x:v>
      </x:c>
      <x:c r="G497" s="14" t="str">
        <x:v>Bắt đầu: 01/10/2026; Hoàn thành: 31/12/2027</x:v>
      </x:c>
      <x:c r="H497" s="14" t="str">
        <x:v>Chưa bắt đầu</x:v>
      </x:c>
      <x:c r="I497" s="20" t="n">
        <x:f>IF(H497="Hoàn thành",100%,IF(H497="Không áp dụng",100%,IF(H497="Đang thực hiện",50%,IF(H497="Đang chờ phối hợp",25%,0%))))</x:f>
        <x:v>0</x:v>
      </x:c>
      <x:c r="J497" s="58" t="str"/>
      <x:c r="K497" s="14" t="str"/>
      <x:c r="L497" s="14" t="str"/>
      <x:c r="M497" s="14" t="str"/>
      <x:c r="N497" s="14" t="str"/>
      <x:c r="O497" s="14" t="str"/>
      <x:c r="P497" s="58" t="str"/>
      <x:c r="Q497" s="14" t="str"/>
    </x:row>
    <x:row r="498">
      <x:c r="A498" s="14" t="str">
        <x:v>VATM-0497</x:v>
      </x:c>
      <x:c r="B498" s="14" t="str">
        <x:v>ANS - CNS/IT/Kỹ thuật</x:v>
      </x:c>
      <x:c r="C498" s="14" t="str">
        <x:v>CNS, trang thiết bị và bảo trì kỹ thuật</x:v>
      </x:c>
      <x:c r="D498" s="14" t="str">
        <x:v>Rà soát và cập nhật quy trình cung cấp dịch vụ thông tin, dẫn đường, giám sát hoạt động bay, cấp phép thiết bị và duy trì năng lực.</x:v>
      </x:c>
      <x:c r="E498" s="14" t="str">
        <x:v>Ban Kỹ thuật - CNS/IT/Môi trường</x:v>
      </x:c>
      <x:c r="F498" s="14" t="str">
        <x:v>P2</x:v>
      </x:c>
      <x:c r="G498" s="14" t="str">
        <x:v>Bắt đầu: 01/07/2026; Hoàn thành: 30/06/2027</x:v>
      </x:c>
      <x:c r="H498" s="14" t="str">
        <x:v>Chưa bắt đầu</x:v>
      </x:c>
      <x:c r="I498" s="20" t="n">
        <x:f>IF(H498="Hoàn thành",100%,IF(H498="Không áp dụng",100%,IF(H498="Đang thực hiện",50%,IF(H498="Đang chờ phối hợp",25%,0%))))</x:f>
        <x:v>0</x:v>
      </x:c>
      <x:c r="J498" s="58" t="str"/>
      <x:c r="K498" s="14" t="str"/>
      <x:c r="L498" s="14" t="str"/>
      <x:c r="M498" s="14" t="str"/>
      <x:c r="N498" s="14" t="str"/>
      <x:c r="O498" s="14" t="str"/>
      <x:c r="P498" s="58" t="str"/>
      <x:c r="Q498" s="14" t="str"/>
    </x:row>
    <x:row r="499">
      <x:c r="A499" s="14" t="str">
        <x:v>VATM-0498</x:v>
      </x:c>
      <x:c r="B499" s="14" t="str">
        <x:v>ANS - CNS/IT/Kỹ thuật</x:v>
      </x:c>
      <x:c r="C499" s="14" t="str">
        <x:v>CNS, trang thiết bị và bảo trì kỹ thuật</x:v>
      </x:c>
      <x:c r="D499" s="14" t="str">
        <x:v>Thiết kế kiến trúc chia sẻ dữ liệu giám sát, kế hoạch bay, AIM/eTOD với phân quyền, dự phòng, an ninh mạng.</x:v>
      </x:c>
      <x:c r="E499" s="14" t="str">
        <x:v>Ban Kỹ thuật - CNS/IT/Môi trường; Ban Kế hoạch doanh nghiệp - Chuyển đổi số</x:v>
      </x:c>
      <x:c r="F499" s="14" t="str">
        <x:v>P1</x:v>
      </x:c>
      <x:c r="G499" s="14" t="str">
        <x:v>Bắt đầu: 01/09/2026; Hoàn thành: 31/12/2027</x:v>
      </x:c>
      <x:c r="H499" s="14" t="str">
        <x:v>Chưa bắt đầu</x:v>
      </x:c>
      <x:c r="I499" s="20" t="n">
        <x:f>IF(H499="Hoàn thành",100%,IF(H499="Không áp dụng",100%,IF(H499="Đang thực hiện",50%,IF(H499="Đang chờ phối hợp",25%,0%))))</x:f>
        <x:v>0</x:v>
      </x:c>
      <x:c r="J499" s="58" t="str"/>
      <x:c r="K499" s="14" t="str"/>
      <x:c r="L499" s="14" t="str"/>
      <x:c r="M499" s="14" t="str"/>
      <x:c r="N499" s="14" t="str"/>
      <x:c r="O499" s="14" t="str"/>
      <x:c r="P499" s="58" t="str"/>
      <x:c r="Q499" s="14" t="str"/>
    </x:row>
    <x:row r="500">
      <x:c r="A500" s="14" t="str">
        <x:v>VATM-0499</x:v>
      </x:c>
      <x:c r="B500" s="14" t="str">
        <x:v>ANS - MET/Khí tượng hàng không</x:v>
      </x:c>
      <x:c r="C500" s="14" t="str">
        <x:v>Quan trắc, dự báo và cảnh báo MET</x:v>
      </x:c>
      <x:c r="D500" s="14" t="str">
        <x:v>Rà soát danh mục sản phẩm khí tượng hàng không cơ bản và dịch vụ theo yêu cầu; cập nhật SLA với ATS, SAR, người khai thác cảng/hãng.</x:v>
      </x:c>
      <x:c r="E500" s="14" t="str">
        <x:v>Trung tâm Khí tượng hàng không</x:v>
      </x:c>
      <x:c r="F500" s="14" t="str">
        <x:v>P2</x:v>
      </x:c>
      <x:c r="G500" s="14" t="str">
        <x:v>Bắt đầu: 01/07/2026; Hoàn thành: 31/12/2026</x:v>
      </x:c>
      <x:c r="H500" s="14" t="str">
        <x:v>Chưa bắt đầu</x:v>
      </x:c>
      <x:c r="I500" s="20" t="n">
        <x:f>IF(H500="Hoàn thành",100%,IF(H500="Không áp dụng",100%,IF(H500="Đang thực hiện",50%,IF(H500="Đang chờ phối hợp",25%,0%))))</x:f>
        <x:v>0</x:v>
      </x:c>
      <x:c r="J500" s="58" t="str"/>
      <x:c r="K500" s="14" t="str"/>
      <x:c r="L500" s="14" t="str"/>
      <x:c r="M500" s="14" t="str"/>
      <x:c r="N500" s="14" t="str"/>
      <x:c r="O500" s="14" t="str"/>
      <x:c r="P500" s="58" t="str"/>
      <x:c r="Q500" s="14" t="str"/>
    </x:row>
    <x:row r="501">
      <x:c r="A501" s="14" t="str">
        <x:v>VATM-0500</x:v>
      </x:c>
      <x:c r="B501" s="14" t="str">
        <x:v>ANS - Tìm kiếm cứu nạn &amp; khẩn nguy</x:v>
      </x:c>
      <x:c r="C501" s="14" t="str">
        <x:v>SAR, khẩn nguy và hiệp đồng</x:v>
      </x:c>
      <x:c r="D501" s="14" t="str">
        <x:v>Cập nhật kế hoạch tìm kiếm cứu nạn hàng không, vai trò đầu mối phối hợp và chủ trì xác định khu vực ưu tiên tìm kiếm.</x:v>
      </x:c>
      <x:c r="E501" s="14" t="str">
        <x:v>Trung tâm Tìm kiếm cứu nạn hàng không</x:v>
      </x:c>
      <x:c r="F501" s="14" t="str">
        <x:v>P1</x:v>
      </x:c>
      <x:c r="G501" s="14" t="str">
        <x:v>Bắt đầu: 01/07/2026; Hoàn thành: 31/12/2026</x:v>
      </x:c>
      <x:c r="H501" s="14" t="str">
        <x:v>Chưa bắt đầu</x:v>
      </x:c>
      <x:c r="I501" s="20" t="n">
        <x:f>IF(H501="Hoàn thành",100%,IF(H501="Không áp dụng",100%,IF(H501="Đang thực hiện",50%,IF(H501="Đang chờ phối hợp",25%,0%))))</x:f>
        <x:v>0</x:v>
      </x:c>
      <x:c r="J501" s="58" t="str"/>
      <x:c r="K501" s="14" t="str"/>
      <x:c r="L501" s="14" t="str"/>
      <x:c r="M501" s="14" t="str"/>
      <x:c r="N501" s="14" t="str"/>
      <x:c r="O501" s="14" t="str"/>
      <x:c r="P501" s="58" t="str"/>
      <x:c r="Q501" s="14" t="str"/>
    </x:row>
    <x:row r="502">
      <x:c r="A502" s="14" t="str">
        <x:v>VATM-0501</x:v>
      </x:c>
      <x:c r="B502" s="14" t="str">
        <x:v>ANS - Tìm kiếm cứu nạn &amp; khẩn nguy</x:v>
      </x:c>
      <x:c r="C502" s="14" t="str">
        <x:v>SAR, khẩn nguy và hiệp đồng</x:v>
      </x:c>
      <x:c r="D502" s="14" t="str">
        <x:v>Lập kế hoạch tham gia diễn tập TKCN hàng không cấp quốc gia tối thiểu hai năm một lần, kết hợp diễn tập bàn cấp VATM hằng năm.</x:v>
      </x:c>
      <x:c r="E502" s="14" t="str">
        <x:v>Trung tâm Tìm kiếm cứu nạn hàng không; Ban An toàn - Chất lượng</x:v>
      </x:c>
      <x:c r="F502" s="14" t="str">
        <x:v>P2</x:v>
      </x:c>
      <x:c r="G502" s="14" t="str">
        <x:v>Bắt đầu: 01/10/2026; Hoàn thành: 31/12/2027</x:v>
      </x:c>
      <x:c r="H502" s="14" t="str">
        <x:v>Chưa bắt đầu</x:v>
      </x:c>
      <x:c r="I502" s="20" t="n">
        <x:f>IF(H502="Hoàn thành",100%,IF(H502="Không áp dụng",100%,IF(H502="Đang thực hiện",50%,IF(H502="Đang chờ phối hợp",25%,0%))))</x:f>
        <x:v>0</x:v>
      </x:c>
      <x:c r="J502" s="58" t="str"/>
      <x:c r="K502" s="14" t="str"/>
      <x:c r="L502" s="14" t="str"/>
      <x:c r="M502" s="14" t="str"/>
      <x:c r="N502" s="14" t="str"/>
      <x:c r="O502" s="14" t="str"/>
      <x:c r="P502" s="58" t="str"/>
      <x:c r="Q502" s="14" t="str"/>
    </x:row>
    <x:row r="503">
      <x:c r="A503" s="14" t="str">
        <x:v>VATM-0502</x:v>
      </x:c>
      <x:c r="B503" s="14" t="str">
        <x:v>ANS - ATM/ATS/ATFM</x:v>
      </x:c>
      <x:c r="C503" s="14" t="str">
        <x:v>Cung cấp ATS/điều hành bay</x:v>
      </x:c>
      <x:c r="D503" s="14" t="str">
        <x:v>Thiết kế chương trình đào tạo chuyển đổi Nghị định cho lãnh đạo trực, KSVKL, AIS/AIM, CNS, MET, SAR, PANS-OPS, tài chính.</x:v>
      </x:c>
      <x:c r="E503" s="14" t="str">
        <x:v>Ban Không lưu; Văn phòng - Pháp chế; Trung tâm Huấn luyện đào tạo</x:v>
      </x:c>
      <x:c r="F503" s="14" t="str">
        <x:v>P1</x:v>
      </x:c>
      <x:c r="G503" s="14" t="str">
        <x:v>Bắt đầu: 20/06/2026; Hoàn thành: 31/12/2026</x:v>
      </x:c>
      <x:c r="H503" s="14" t="str">
        <x:v>Chưa bắt đầu</x:v>
      </x:c>
      <x:c r="I503" s="20" t="n">
        <x:f>IF(H503="Hoàn thành",100%,IF(H503="Không áp dụng",100%,IF(H503="Đang thực hiện",50%,IF(H503="Đang chờ phối hợp",25%,0%))))</x:f>
        <x:v>0</x:v>
      </x:c>
      <x:c r="J503" s="58" t="str"/>
      <x:c r="K503" s="14" t="str"/>
      <x:c r="L503" s="14" t="str"/>
      <x:c r="M503" s="14" t="str"/>
      <x:c r="N503" s="14" t="str"/>
      <x:c r="O503" s="14" t="str"/>
      <x:c r="P503" s="58" t="str"/>
      <x:c r="Q503" s="14" t="str"/>
    </x:row>
    <x:row r="504">
      <x:c r="A504" s="14" t="str">
        <x:v>VATM-0503</x:v>
      </x:c>
      <x:c r="B504" s="14" t="str">
        <x:v>ANS - ATM/ATS/ATFM</x:v>
      </x:c>
      <x:c r="C504" s="14" t="str">
        <x:v>Cung cấp ATS/điều hành bay</x:v>
      </x:c>
      <x:c r="D504" s="14" t="str">
        <x:v>Công bố đầu mối, phương thức tiếp nhận hồ sơ/dữ liệu và kênh phối hợp cho các bên liên quan.</x:v>
      </x:c>
      <x:c r="E504" s="14" t="str">
        <x:v>Ban Không lưu; Văn phòng - Pháp chế</x:v>
      </x:c>
      <x:c r="F504" s="14" t="str">
        <x:v>P2</x:v>
      </x:c>
      <x:c r="G504" s="14" t="str">
        <x:v>Bắt đầu: 01/07/2026; Hoàn thành: 30/09/2026</x:v>
      </x:c>
      <x:c r="H504" s="14" t="str">
        <x:v>Chưa bắt đầu</x:v>
      </x:c>
      <x:c r="I504" s="20" t="n">
        <x:f>IF(H504="Hoàn thành",100%,IF(H504="Không áp dụng",100%,IF(H504="Đang thực hiện",50%,IF(H504="Đang chờ phối hợp",25%,0%))))</x:f>
        <x:v>0</x:v>
      </x:c>
      <x:c r="J504" s="58" t="str"/>
      <x:c r="K504" s="14" t="str"/>
      <x:c r="L504" s="14" t="str"/>
      <x:c r="M504" s="14" t="str"/>
      <x:c r="N504" s="14" t="str"/>
      <x:c r="O504" s="14" t="str"/>
      <x:c r="P504" s="58" t="str"/>
      <x:c r="Q504" s="14" t="str"/>
    </x:row>
    <x:row r="505">
      <x:c r="A505" s="14" t="str">
        <x:v>VATM-0504</x:v>
      </x:c>
      <x:c r="B505" s="14" t="str">
        <x:v>ANS - ATM/ATS/ATFM</x:v>
      </x:c>
      <x:c r="C505" s="14" t="str">
        <x:v>Cung cấp ATS/điều hành bay</x:v>
      </x:c>
      <x:c r="D505" s="14" t="str">
        <x:v>Thiết lập cơ chế giám sát thực hiện theo tháng/quý, dashboard tiến độ và báo cáo Tổng giám đốc.</x:v>
      </x:c>
      <x:c r="E505" s="14" t="str">
        <x:v>Ban Không lưu; Văn phòng - Pháp chế; Ban An toàn - Chất lượng</x:v>
      </x:c>
      <x:c r="F505" s="14" t="str">
        <x:v>P1</x:v>
      </x:c>
      <x:c r="G505" s="14" t="str">
        <x:v>Bắt đầu: 01/07/2026; Hoàn thành: 30/06/2028</x:v>
      </x:c>
      <x:c r="H505" s="14" t="str">
        <x:v>Chưa bắt đầu</x:v>
      </x:c>
      <x:c r="I505" s="20" t="n">
        <x:f>IF(H505="Hoàn thành",100%,IF(H505="Không áp dụng",100%,IF(H505="Đang thực hiện",50%,IF(H505="Đang chờ phối hợp",25%,0%))))</x:f>
        <x:v>0</x:v>
      </x:c>
      <x:c r="J505" s="58" t="str"/>
      <x:c r="K505" s="14" t="str"/>
      <x:c r="L505" s="14" t="str"/>
      <x:c r="M505" s="14" t="str"/>
      <x:c r="N505" s="14" t="str"/>
      <x:c r="O505" s="14" t="str"/>
      <x:c r="P505" s="58" t="str"/>
      <x:c r="Q505" s="14" t="str"/>
    </x:row>
    <x:row r="506">
      <x:c r="A506" s="14" t="str">
        <x:v>VATM-0505</x:v>
      </x:c>
      <x:c r="B506" s="14" t="str">
        <x:v>Tuân thủ, pháp chế &amp; quản trị</x:v>
      </x:c>
      <x:c r="C506" s="14" t="str">
        <x:v>Quản trị triển khai, RACI và báo cáo</x:v>
      </x:c>
      <x:c r="D506" s="14" t="str">
        <x:v>Thành lập Ban triển khai NĐ NCTHK &amp; quản lý an toàn, có đại diện Pháp chế, An toàn-Chất lượng, ATS/CNS/MET/AIS/SAR, Nhân sự, Đào tạo, CNTT, Tài chính.</x:v>
      </x:c>
      <x:c r="E506" s="14" t="str">
        <x:v>Văn phòng - Pháp chế; Ban Không lưu</x:v>
      </x:c>
      <x:c r="F506" s="14" t="str">
        <x:v>P1</x:v>
      </x:c>
      <x:c r="G506" s="14" t="str">
        <x:v>01/07/2026</x:v>
      </x:c>
      <x:c r="H506" s="14" t="str">
        <x:v>Chưa bắt đầu</x:v>
      </x:c>
      <x:c r="I506" s="20" t="n">
        <x:f>IF(H506="Hoàn thành",100%,IF(H506="Không áp dụng",100%,IF(H506="Đang thực hiện",50%,IF(H506="Đang chờ phối hợp",25%,0%))))</x:f>
        <x:v>0</x:v>
      </x:c>
      <x:c r="J506" s="58" t="str"/>
      <x:c r="K506" s="14" t="str"/>
      <x:c r="L506" s="14" t="str"/>
      <x:c r="M506" s="14" t="str"/>
      <x:c r="N506" s="14" t="str"/>
      <x:c r="O506" s="14" t="str"/>
      <x:c r="P506" s="58" t="str"/>
      <x:c r="Q506" s="14" t="str"/>
    </x:row>
    <x:row r="507">
      <x:c r="A507" s="14" t="str">
        <x:v>VATM-0506</x:v>
      </x:c>
      <x:c r="B507" s="14" t="str">
        <x:v>Tuân thủ, pháp chế &amp; quản trị</x:v>
      </x:c>
      <x:c r="C507" s="14" t="str">
        <x:v>Quản trị triển khai, RACI và báo cáo</x:v>
      </x:c>
      <x:c r="D507" s="14" t="str">
        <x:v>Ban hành báo cáo GAP pháp lý giữa dự thảo và quy định hiện hành, có danh mục tài liệu VATM cần sửa đổi.</x:v>
      </x:c>
      <x:c r="E507" s="14" t="str">
        <x:v>Văn phòng - Pháp chế</x:v>
      </x:c>
      <x:c r="F507" s="14" t="str">
        <x:v>P1</x:v>
      </x:c>
      <x:c r="G507" s="14" t="str">
        <x:v>30/07/2026</x:v>
      </x:c>
      <x:c r="H507" s="14" t="str">
        <x:v>Chưa bắt đầu</x:v>
      </x:c>
      <x:c r="I507" s="20" t="n">
        <x:f>IF(H507="Hoàn thành",100%,IF(H507="Không áp dụng",100%,IF(H507="Đang thực hiện",50%,IF(H507="Đang chờ phối hợp",25%,0%))))</x:f>
        <x:v>0</x:v>
      </x:c>
      <x:c r="J507" s="58" t="str"/>
      <x:c r="K507" s="14" t="str"/>
      <x:c r="L507" s="14" t="str"/>
      <x:c r="M507" s="14" t="str"/>
      <x:c r="N507" s="14" t="str"/>
      <x:c r="O507" s="14" t="str"/>
      <x:c r="P507" s="58" t="str"/>
      <x:c r="Q507" s="14" t="str"/>
    </x:row>
    <x:row r="508">
      <x:c r="A508" s="14" t="str">
        <x:v>VATM-0507</x:v>
      </x:c>
      <x:c r="B508" s="14" t="str">
        <x:v>Tuân thủ, pháp chế &amp; quản trị</x:v>
      </x:c>
      <x:c r="C508" s="14" t="str">
        <x:v>Quản trị triển khai, RACI và báo cáo</x:v>
      </x:c>
      <x:c r="D508" s="14" t="str">
        <x:v>Lập cơ chế theo dõi văn bản/chỉ dẫn kỹ thuật/chỉ lệnh/miễn trừ của NCTHK và phân công xử lý trong VATM.</x:v>
      </x:c>
      <x:c r="E508" s="14" t="str">
        <x:v>Văn phòng - Pháp chế</x:v>
      </x:c>
      <x:c r="F508" s="14" t="str">
        <x:v>P1</x:v>
      </x:c>
      <x:c r="G508" s="14" t="str">
        <x:v>30/09/2026</x:v>
      </x:c>
      <x:c r="H508" s="14" t="str">
        <x:v>Chưa bắt đầu</x:v>
      </x:c>
      <x:c r="I508" s="20" t="n">
        <x:f>IF(H508="Hoàn thành",100%,IF(H508="Không áp dụng",100%,IF(H508="Đang thực hiện",50%,IF(H508="Đang chờ phối hợp",25%,0%))))</x:f>
        <x:v>0</x:v>
      </x:c>
      <x:c r="J508" s="58" t="str"/>
      <x:c r="K508" s="14" t="str"/>
      <x:c r="L508" s="14" t="str"/>
      <x:c r="M508" s="14" t="str"/>
      <x:c r="N508" s="14" t="str"/>
      <x:c r="O508" s="14" t="str"/>
      <x:c r="P508" s="58" t="str"/>
      <x:c r="Q508" s="14" t="str"/>
    </x:row>
    <x:row r="509">
      <x:c r="A509" s="14" t="str">
        <x:v>VATM-0508</x:v>
      </x:c>
      <x:c r="B509" s="14" t="str">
        <x:v>Tuân thủ, pháp chế &amp; quản trị</x:v>
      </x:c>
      <x:c r="C509" s="14" t="str">
        <x:v>Quản trị triển khai, RACI và báo cáo</x:v>
      </x:c>
      <x:c r="D509" s="14" t="str">
        <x:v>Kiểm kê toàn bộ giấy phép, giấy chứng nhận, năng định, phê chuẩn, tài liệu khai thác thuộc VATM và đơn vị thành viên.</x:v>
      </x:c>
      <x:c r="E509" s="14" t="str">
        <x:v>Văn phòng - Pháp chế</x:v>
      </x:c>
      <x:c r="F509" s="14" t="str">
        <x:v>P1</x:v>
      </x:c>
      <x:c r="G509" s="14" t="str">
        <x:v>30/09/2026</x:v>
      </x:c>
      <x:c r="H509" s="14" t="str">
        <x:v>Chưa bắt đầu</x:v>
      </x:c>
      <x:c r="I509" s="20" t="n">
        <x:f>IF(H509="Hoàn thành",100%,IF(H509="Không áp dụng",100%,IF(H509="Đang thực hiện",50%,IF(H509="Đang chờ phối hợp",25%,0%))))</x:f>
        <x:v>0</x:v>
      </x:c>
      <x:c r="J509" s="58" t="str"/>
      <x:c r="K509" s="14" t="str"/>
      <x:c r="L509" s="14" t="str"/>
      <x:c r="M509" s="14" t="str"/>
      <x:c r="N509" s="14" t="str"/>
      <x:c r="O509" s="14" t="str"/>
      <x:c r="P509" s="58" t="str"/>
      <x:c r="Q509" s="14" t="str"/>
    </x:row>
    <x:row r="510">
      <x:c r="A510" s="14" t="str">
        <x:v>VATM-0509</x:v>
      </x:c>
      <x:c r="B510" s="14" t="str">
        <x:v>Tuân thủ, dữ liệu &amp; chuyển đổi số</x:v>
      </x:c>
      <x:c r="C510" s="14" t="str">
        <x:v>Hồ sơ điện tử, CSDL và ký số</x:v>
      </x:c>
      <x:c r="D510" s="14" t="str">
        <x:v>Chuẩn hóa quy trình nộp hồ sơ trực tuyến/trực tiếp/bưu chính, theo dõi phí 03 ngày và bổ sung hồ sơ 15 ngày.</x:v>
      </x:c>
      <x:c r="E510" s="14" t="str">
        <x:v>Ban Kế hoạch doanh nghiệp - Chuyển đổi số; Ban Kỹ thuật - CNS/IT/Môi trường; Văn phòng - Pháp chế</x:v>
      </x:c>
      <x:c r="F510" s="14" t="str">
        <x:v>P1</x:v>
      </x:c>
      <x:c r="G510" s="14" t="str">
        <x:v>30/09/2026</x:v>
      </x:c>
      <x:c r="H510" s="14" t="str">
        <x:v>Chưa bắt đầu</x:v>
      </x:c>
      <x:c r="I510" s="20" t="n">
        <x:f>IF(H510="Hoàn thành",100%,IF(H510="Không áp dụng",100%,IF(H510="Đang thực hiện",50%,IF(H510="Đang chờ phối hợp",25%,0%))))</x:f>
        <x:v>0</x:v>
      </x:c>
      <x:c r="J510" s="58" t="str"/>
      <x:c r="K510" s="14" t="str"/>
      <x:c r="L510" s="14" t="str"/>
      <x:c r="M510" s="14" t="str"/>
      <x:c r="N510" s="14" t="str"/>
      <x:c r="O510" s="14" t="str"/>
      <x:c r="P510" s="58" t="str"/>
      <x:c r="Q510" s="14" t="str"/>
    </x:row>
    <x:row r="511">
      <x:c r="A511" s="14" t="str">
        <x:v>VATM-0510</x:v>
      </x:c>
      <x:c r="B511" s="14" t="str">
        <x:v>Tuân thủ, dữ liệu &amp; chuyển đổi số</x:v>
      </x:c>
      <x:c r="C511" s="14" t="str">
        <x:v>Hồ sơ điện tử, CSDL và ký số</x:v>
      </x:c>
      <x:c r="D511" s="14" t="str">
        <x:v>Ban hành quy chế dữ liệu điện tử/chữ ký số/chữ ký điện tử nội bộ cho hồ sơ an toàn, khai thác, huấn luyện, kỹ thuật.</x:v>
      </x:c>
      <x:c r="E511" s="14" t="str">
        <x:v>Ban Kế hoạch doanh nghiệp - Chuyển đổi số; Ban Kỹ thuật - CNS/IT/Môi trường</x:v>
      </x:c>
      <x:c r="F511" s="14" t="str">
        <x:v>P1</x:v>
      </x:c>
      <x:c r="G511" s="14" t="str">
        <x:v>31/12/2026</x:v>
      </x:c>
      <x:c r="H511" s="14" t="str">
        <x:v>Chưa bắt đầu</x:v>
      </x:c>
      <x:c r="I511" s="20" t="n">
        <x:f>IF(H511="Hoàn thành",100%,IF(H511="Không áp dụng",100%,IF(H511="Đang thực hiện",50%,IF(H511="Đang chờ phối hợp",25%,0%))))</x:f>
        <x:v>0</x:v>
      </x:c>
      <x:c r="J511" s="58" t="str"/>
      <x:c r="K511" s="14" t="str"/>
      <x:c r="L511" s="14" t="str"/>
      <x:c r="M511" s="14" t="str"/>
      <x:c r="N511" s="14" t="str"/>
      <x:c r="O511" s="14" t="str"/>
      <x:c r="P511" s="58" t="str"/>
      <x:c r="Q511" s="14" t="str"/>
    </x:row>
    <x:row r="512">
      <x:c r="A512" s="14" t="str">
        <x:v>VATM-0511</x:v>
      </x:c>
      <x:c r="B512" s="14" t="str">
        <x:v>Tuân thủ, dữ liệu &amp; chuyển đổi số</x:v>
      </x:c>
      <x:c r="C512" s="14" t="str">
        <x:v>Hồ sơ điện tử, CSDL và ký số</x:v>
      </x:c>
      <x:c r="D512" s="14" t="str">
        <x:v>Lập danh mục dữ liệu VATM phải chia sẻ vào CSDL HKDD: giấy phép NVHK, hoạt động bay/điều hành bay, sự cố, đào tạo, kỹ thuật, MET/AIS/SAR.</x:v>
      </x:c>
      <x:c r="E512" s="14" t="str">
        <x:v>Ban Kế hoạch doanh nghiệp - Chuyển đổi số; Ban Kỹ thuật - CNS/IT/Môi trường</x:v>
      </x:c>
      <x:c r="F512" s="14" t="str">
        <x:v>P1</x:v>
      </x:c>
      <x:c r="G512" s="14" t="str">
        <x:v>30/09/2026</x:v>
      </x:c>
      <x:c r="H512" s="14" t="str">
        <x:v>Chưa bắt đầu</x:v>
      </x:c>
      <x:c r="I512" s="20" t="n">
        <x:f>IF(H512="Hoàn thành",100%,IF(H512="Không áp dụng",100%,IF(H512="Đang thực hiện",50%,IF(H512="Đang chờ phối hợp",25%,0%))))</x:f>
        <x:v>0</x:v>
      </x:c>
      <x:c r="J512" s="58" t="str"/>
      <x:c r="K512" s="14" t="str"/>
      <x:c r="L512" s="14" t="str"/>
      <x:c r="M512" s="14" t="str"/>
      <x:c r="N512" s="14" t="str"/>
      <x:c r="O512" s="14" t="str"/>
      <x:c r="P512" s="58" t="str"/>
      <x:c r="Q512" s="14" t="str"/>
    </x:row>
    <x:row r="513">
      <x:c r="A513" s="14" t="str">
        <x:v>VATM-0512</x:v>
      </x:c>
      <x:c r="B513" s="14" t="str">
        <x:v>Tuân thủ, dữ liệu &amp; chuyển đổi số</x:v>
      </x:c>
      <x:c r="C513" s="14" t="str">
        <x:v>Hồ sơ điện tử, CSDL và ký số</x:v>
      </x:c>
      <x:c r="D513" s="14" t="str">
        <x:v>Thiết lập chuẩn kết nối, chia sẻ dữ liệu với Cục HKVN/NCTHK theo từng giai đoạn, gồm phân quyền, log truy cập, dự phòng.</x:v>
      </x:c>
      <x:c r="E513" s="14" t="str">
        <x:v>Ban Kế hoạch doanh nghiệp - Chuyển đổi số; Ban Kỹ thuật - CNS/IT/Môi trường</x:v>
      </x:c>
      <x:c r="F513" s="14" t="str">
        <x:v>P1</x:v>
      </x:c>
      <x:c r="G513" s="14" t="str">
        <x:v>31/03/2027</x:v>
      </x:c>
      <x:c r="H513" s="14" t="str">
        <x:v>Chưa bắt đầu</x:v>
      </x:c>
      <x:c r="I513" s="20" t="n">
        <x:f>IF(H513="Hoàn thành",100%,IF(H513="Không áp dụng",100%,IF(H513="Đang thực hiện",50%,IF(H513="Đang chờ phối hợp",25%,0%))))</x:f>
        <x:v>0</x:v>
      </x:c>
      <x:c r="J513" s="58" t="str"/>
      <x:c r="K513" s="14" t="str"/>
      <x:c r="L513" s="14" t="str"/>
      <x:c r="M513" s="14" t="str"/>
      <x:c r="N513" s="14" t="str"/>
      <x:c r="O513" s="14" t="str"/>
      <x:c r="P513" s="58" t="str"/>
      <x:c r="Q513" s="14" t="str"/>
    </x:row>
    <x:row r="514">
      <x:c r="A514" s="14" t="str">
        <x:v>VATM-0513</x:v>
      </x:c>
      <x:c r="B514" s="14" t="str">
        <x:v>Tuân thủ, dữ liệu &amp; chuyển đổi số</x:v>
      </x:c>
      <x:c r="C514" s="14" t="str">
        <x:v>Hồ sơ điện tử, CSDL và ký số</x:v>
      </x:c>
      <x:c r="D514" s="14" t="str">
        <x:v>Ban hành quy trình đảm bảo chất lượng dữ liệu: đầy đủ, chính xác, kịp thời, toàn vẹn đối với dữ liệu VATM tạo lập/chia sẻ.</x:v>
      </x:c>
      <x:c r="E514" s="14" t="str">
        <x:v>Ban Kế hoạch doanh nghiệp - Chuyển đổi số; Ban Kỹ thuật - CNS/IT/Môi trường</x:v>
      </x:c>
      <x:c r="F514" s="14" t="str">
        <x:v>P1</x:v>
      </x:c>
      <x:c r="G514" s="14" t="str">
        <x:v>31/12/2026</x:v>
      </x:c>
      <x:c r="H514" s="14" t="str">
        <x:v>Chưa bắt đầu</x:v>
      </x:c>
      <x:c r="I514" s="20" t="n">
        <x:f>IF(H514="Hoàn thành",100%,IF(H514="Không áp dụng",100%,IF(H514="Đang thực hiện",50%,IF(H514="Đang chờ phối hợp",25%,0%))))</x:f>
        <x:v>0</x:v>
      </x:c>
      <x:c r="J514" s="58" t="str"/>
      <x:c r="K514" s="14" t="str"/>
      <x:c r="L514" s="14" t="str"/>
      <x:c r="M514" s="14" t="str"/>
      <x:c r="N514" s="14" t="str"/>
      <x:c r="O514" s="14" t="str"/>
      <x:c r="P514" s="58" t="str"/>
      <x:c r="Q514" s="14" t="str"/>
    </x:row>
    <x:row r="515">
      <x:c r="A515" s="14" t="str">
        <x:v>VATM-0514</x:v>
      </x:c>
      <x:c r="B515" s="14" t="str">
        <x:v>An toàn hàng không / SMS</x:v>
      </x:c>
      <x:c r="C515" s="14" t="str">
        <x:v>Khung SMS và quản trị an toàn</x:v>
      </x:c>
      <x:c r="D515" s="14" t="str">
        <x:v>Rà soát và sửa đổi tài liệu SMS VATM theo 04 thành phần: chính sách/mục tiêu, quản lý rủi ro, đảm bảo an toàn, thúc đẩy an toàn.</x:v>
      </x:c>
      <x:c r="E515" s="14" t="str">
        <x:v>Ban An toàn - Chất lượng</x:v>
      </x:c>
      <x:c r="F515" s="14" t="str">
        <x:v>P1</x:v>
      </x:c>
      <x:c r="G515" s="14" t="str">
        <x:v>30/06/2027</x:v>
      </x:c>
      <x:c r="H515" s="14" t="str">
        <x:v>Chưa bắt đầu</x:v>
      </x:c>
      <x:c r="I515" s="20" t="n">
        <x:f>IF(H515="Hoàn thành",100%,IF(H515="Không áp dụng",100%,IF(H515="Đang thực hiện",50%,IF(H515="Đang chờ phối hợp",25%,0%))))</x:f>
        <x:v>0</x:v>
      </x:c>
      <x:c r="J515" s="58" t="str"/>
      <x:c r="K515" s="14" t="str"/>
      <x:c r="L515" s="14" t="str"/>
      <x:c r="M515" s="14" t="str"/>
      <x:c r="N515" s="14" t="str"/>
      <x:c r="O515" s="14" t="str"/>
      <x:c r="P515" s="58" t="str"/>
      <x:c r="Q515" s="14" t="str"/>
    </x:row>
    <x:row r="516">
      <x:c r="A516" s="14" t="str">
        <x:v>VATM-0515</x:v>
      </x:c>
      <x:c r="B516" s="14" t="str">
        <x:v>An toàn hàng không / SMS</x:v>
      </x:c>
      <x:c r="C516" s="14" t="str">
        <x:v>Khung SMS và quản trị an toàn</x:v>
      </x:c>
      <x:c r="D516" s="14" t="str">
        <x:v>Thiết lập bộ SPI/SPT cho dịch vụ ANS, gắn dữ liệu vận hành và safety occurrence.</x:v>
      </x:c>
      <x:c r="E516" s="14" t="str">
        <x:v>Ban An toàn - Chất lượng</x:v>
      </x:c>
      <x:c r="F516" s="14" t="str">
        <x:v>P1</x:v>
      </x:c>
      <x:c r="G516" s="14" t="str">
        <x:v>31/12/2026</x:v>
      </x:c>
      <x:c r="H516" s="14" t="str">
        <x:v>Chưa bắt đầu</x:v>
      </x:c>
      <x:c r="I516" s="20" t="n">
        <x:f>IF(H516="Hoàn thành",100%,IF(H516="Không áp dụng",100%,IF(H516="Đang thực hiện",50%,IF(H516="Đang chờ phối hợp",25%,0%))))</x:f>
        <x:v>0</x:v>
      </x:c>
      <x:c r="J516" s="58" t="str"/>
      <x:c r="K516" s="14" t="str"/>
      <x:c r="L516" s="14" t="str"/>
      <x:c r="M516" s="14" t="str"/>
      <x:c r="N516" s="14" t="str"/>
      <x:c r="O516" s="14" t="str"/>
      <x:c r="P516" s="58" t="str"/>
      <x:c r="Q516" s="14" t="str"/>
    </x:row>
    <x:row r="517">
      <x:c r="A517" s="14" t="str">
        <x:v>VATM-0516</x:v>
      </x:c>
      <x:c r="B517" s="14" t="str">
        <x:v>An toàn hàng không / SMS</x:v>
      </x:c>
      <x:c r="C517" s="14" t="str">
        <x:v>Khung SMS và quản trị an toàn</x:v>
      </x:c>
      <x:c r="D517" s="14" t="str">
        <x:v>Chuẩn hóa taxonomy sự cố và mối nguy theo phân loại ICAO/ADREP tương thích với CSDL an toàn quốc gia.</x:v>
      </x:c>
      <x:c r="E517" s="14" t="str">
        <x:v>Ban An toàn - Chất lượng</x:v>
      </x:c>
      <x:c r="F517" s="14" t="str">
        <x:v>P1</x:v>
      </x:c>
      <x:c r="G517" s="14" t="str">
        <x:v>31/12/2026</x:v>
      </x:c>
      <x:c r="H517" s="14" t="str">
        <x:v>Chưa bắt đầu</x:v>
      </x:c>
      <x:c r="I517" s="20" t="n">
        <x:f>IF(H517="Hoàn thành",100%,IF(H517="Không áp dụng",100%,IF(H517="Đang thực hiện",50%,IF(H517="Đang chờ phối hợp",25%,0%))))</x:f>
        <x:v>0</x:v>
      </x:c>
      <x:c r="J517" s="58" t="str"/>
      <x:c r="K517" s="14" t="str"/>
      <x:c r="L517" s="14" t="str"/>
      <x:c r="M517" s="14" t="str"/>
      <x:c r="N517" s="14" t="str"/>
      <x:c r="O517" s="14" t="str"/>
      <x:c r="P517" s="58" t="str"/>
      <x:c r="Q517" s="14" t="str"/>
    </x:row>
    <x:row r="518">
      <x:c r="A518" s="14" t="str">
        <x:v>VATM-0517</x:v>
      </x:c>
      <x:c r="B518" s="14" t="str">
        <x:v>An toàn hàng không / SMS</x:v>
      </x:c>
      <x:c r="C518" s="14" t="str">
        <x:v>Khung SMS và quản trị an toàn</x:v>
      </x:c>
      <x:c r="D518" s="14" t="str">
        <x:v>Tích hợp hệ thống báo cáo an toàn VATM với hệ thống/Trung tâm dữ liệu an toàn hàng không khi NCTHK yêu cầu.</x:v>
      </x:c>
      <x:c r="E518" s="14" t="str">
        <x:v>Ban An toàn - Chất lượng; Ban Kế hoạch doanh nghiệp - Chuyển đổi số; Ban Kỹ thuật - CNS/IT/Môi trường</x:v>
      </x:c>
      <x:c r="F518" s="14" t="str">
        <x:v>P1</x:v>
      </x:c>
      <x:c r="G518" s="14" t="str">
        <x:v>30/06/2027</x:v>
      </x:c>
      <x:c r="H518" s="14" t="str">
        <x:v>Chưa bắt đầu</x:v>
      </x:c>
      <x:c r="I518" s="20" t="n">
        <x:f>IF(H518="Hoàn thành",100%,IF(H518="Không áp dụng",100%,IF(H518="Đang thực hiện",50%,IF(H518="Đang chờ phối hợp",25%,0%))))</x:f>
        <x:v>0</x:v>
      </x:c>
      <x:c r="J518" s="58" t="str"/>
      <x:c r="K518" s="14" t="str"/>
      <x:c r="L518" s="14" t="str"/>
      <x:c r="M518" s="14" t="str"/>
      <x:c r="N518" s="14" t="str"/>
      <x:c r="O518" s="14" t="str"/>
      <x:c r="P518" s="58" t="str"/>
      <x:c r="Q518" s="14" t="str"/>
    </x:row>
    <x:row r="519">
      <x:c r="A519" s="14" t="str">
        <x:v>VATM-0518</x:v>
      </x:c>
      <x:c r="B519" s="14" t="str">
        <x:v>An toàn hàng không / SMS</x:v>
      </x:c>
      <x:c r="C519" s="14" t="str">
        <x:v>Khung SMS và quản trị an toàn</x:v>
      </x:c>
      <x:c r="D519" s="14" t="str">
        <x:v>Sửa quy trình xử lý không tuân thủ, phân loại mức 1/2, RCA/CAP và báo cáo kết quả khắc phục.</x:v>
      </x:c>
      <x:c r="E519" s="14" t="str">
        <x:v>Ban An toàn - Chất lượng</x:v>
      </x:c>
      <x:c r="F519" s="14" t="str">
        <x:v>P1</x:v>
      </x:c>
      <x:c r="G519" s="14" t="str">
        <x:v>30/09/2026</x:v>
      </x:c>
      <x:c r="H519" s="14" t="str">
        <x:v>Chưa bắt đầu</x:v>
      </x:c>
      <x:c r="I519" s="20" t="n">
        <x:f>IF(H519="Hoàn thành",100%,IF(H519="Không áp dụng",100%,IF(H519="Đang thực hiện",50%,IF(H519="Đang chờ phối hợp",25%,0%))))</x:f>
        <x:v>0</x:v>
      </x:c>
      <x:c r="J519" s="58" t="str"/>
      <x:c r="K519" s="14" t="str"/>
      <x:c r="L519" s="14" t="str"/>
      <x:c r="M519" s="14" t="str"/>
      <x:c r="N519" s="14" t="str"/>
      <x:c r="O519" s="14" t="str"/>
      <x:c r="P519" s="58" t="str"/>
      <x:c r="Q519" s="14" t="str"/>
    </x:row>
    <x:row r="520">
      <x:c r="A520" s="14" t="str">
        <x:v>VATM-0519</x:v>
      </x:c>
      <x:c r="B520" s="14" t="str">
        <x:v>An toàn hàng không / SMS</x:v>
      </x:c>
      <x:c r="C520" s="14" t="str">
        <x:v>Khung SMS và quản trị an toàn</x:v>
      </x:c>
      <x:c r="D520" s="14" t="str">
        <x:v>Thiết lập bộ hồ sơ miễn trừ cho tình huống công nghệ/phương thức/khẩn nguy đặc thù của ANS.</x:v>
      </x:c>
      <x:c r="E520" s="14" t="str">
        <x:v>Ban An toàn - Chất lượng</x:v>
      </x:c>
      <x:c r="F520" s="14" t="str">
        <x:v>P1</x:v>
      </x:c>
      <x:c r="G520" s="14" t="str">
        <x:v>30/09/2026</x:v>
      </x:c>
      <x:c r="H520" s="14" t="str">
        <x:v>Chưa bắt đầu</x:v>
      </x:c>
      <x:c r="I520" s="20" t="n">
        <x:f>IF(H520="Hoàn thành",100%,IF(H520="Không áp dụng",100%,IF(H520="Đang thực hiện",50%,IF(H520="Đang chờ phối hợp",25%,0%))))</x:f>
        <x:v>0</x:v>
      </x:c>
      <x:c r="J520" s="58" t="str"/>
      <x:c r="K520" s="14" t="str"/>
      <x:c r="L520" s="14" t="str"/>
      <x:c r="M520" s="14" t="str"/>
      <x:c r="N520" s="14" t="str"/>
      <x:c r="O520" s="14" t="str"/>
      <x:c r="P520" s="58" t="str"/>
      <x:c r="Q520" s="14" t="str"/>
    </x:row>
    <x:row r="521">
      <x:c r="A521" s="14" t="str">
        <x:v>VATM-0520</x:v>
      </x:c>
      <x:c r="B521" s="14" t="str">
        <x:v>An toàn hàng không / SMS</x:v>
      </x:c>
      <x:c r="C521" s="14" t="str">
        <x:v>Khung SMS và quản trị an toàn</x:v>
      </x:c>
      <x:c r="D521" s="14" t="str">
        <x:v>Ban hành chương trình văn hóa an toàn VATM giai đoạn 2026-2028.</x:v>
      </x:c>
      <x:c r="E521" s="14" t="str">
        <x:v>Ban An toàn - Chất lượng</x:v>
      </x:c>
      <x:c r="F521" s="14" t="str">
        <x:v>P1</x:v>
      </x:c>
      <x:c r="G521" s="14" t="str">
        <x:v>31/12/2026</x:v>
      </x:c>
      <x:c r="H521" s="14" t="str">
        <x:v>Chưa bắt đầu</x:v>
      </x:c>
      <x:c r="I521" s="20" t="n">
        <x:f>IF(H521="Hoàn thành",100%,IF(H521="Không áp dụng",100%,IF(H521="Đang thực hiện",50%,IF(H521="Đang chờ phối hợp",25%,0%))))</x:f>
        <x:v>0</x:v>
      </x:c>
      <x:c r="J521" s="58" t="str"/>
      <x:c r="K521" s="14" t="str"/>
      <x:c r="L521" s="14" t="str"/>
      <x:c r="M521" s="14" t="str"/>
      <x:c r="N521" s="14" t="str"/>
      <x:c r="O521" s="14" t="str"/>
      <x:c r="P521" s="58" t="str"/>
      <x:c r="Q521" s="14" t="str"/>
    </x:row>
    <x:row r="522">
      <x:c r="A522" s="14" t="str">
        <x:v>VATM-0521</x:v>
      </x:c>
      <x:c r="B522" s="14" t="str">
        <x:v>An toàn hàng không / SMS</x:v>
      </x:c>
      <x:c r="C522" s="14" t="str">
        <x:v>Khung SMS và quản trị an toàn</x:v>
      </x:c>
      <x:c r="D522" s="14" t="str">
        <x:v>Tăng cường báo cáo tự nguyện và bảo vệ người báo cáo phù hợp quy định dữ liệu an toàn.</x:v>
      </x:c>
      <x:c r="E522" s="14" t="str">
        <x:v>Ban An toàn - Chất lượng</x:v>
      </x:c>
      <x:c r="F522" s="14" t="str">
        <x:v>P1</x:v>
      </x:c>
      <x:c r="G522" s="14" t="str">
        <x:v>31/12/2026</x:v>
      </x:c>
      <x:c r="H522" s="14" t="str">
        <x:v>Chưa bắt đầu</x:v>
      </x:c>
      <x:c r="I522" s="20" t="n">
        <x:f>IF(H522="Hoàn thành",100%,IF(H522="Không áp dụng",100%,IF(H522="Đang thực hiện",50%,IF(H522="Đang chờ phối hợp",25%,0%))))</x:f>
        <x:v>0</x:v>
      </x:c>
      <x:c r="J522" s="58" t="str"/>
      <x:c r="K522" s="14" t="str"/>
      <x:c r="L522" s="14" t="str"/>
      <x:c r="M522" s="14" t="str"/>
      <x:c r="N522" s="14" t="str"/>
      <x:c r="O522" s="14" t="str"/>
      <x:c r="P522" s="58" t="str"/>
      <x:c r="Q522" s="14" t="str"/>
    </x:row>
    <x:row r="523">
      <x:c r="A523" s="14" t="str">
        <x:v>VATM-0522</x:v>
      </x:c>
      <x:c r="B523" s="14" t="str">
        <x:v>An toàn hàng không / SMS</x:v>
      </x:c>
      <x:c r="C523" s="14" t="str">
        <x:v>Báo cáo MOR, sự cố và điều tra</x:v>
      </x:c>
      <x:c r="D523" s="14" t="str">
        <x:v>Thiết lập/kiện toàn hệ thống báo cáo sự cố bắt buộc của doanh nghiệp cung cấp dịch vụ BĐHĐB.</x:v>
      </x:c>
      <x:c r="E523" s="14" t="str">
        <x:v>Ban An toàn - Chất lượng</x:v>
      </x:c>
      <x:c r="F523" s="14" t="str">
        <x:v>P1</x:v>
      </x:c>
      <x:c r="G523" s="14" t="str">
        <x:v>30/09/2026</x:v>
      </x:c>
      <x:c r="H523" s="14" t="str">
        <x:v>Chưa bắt đầu</x:v>
      </x:c>
      <x:c r="I523" s="20" t="n">
        <x:f>IF(H523="Hoàn thành",100%,IF(H523="Không áp dụng",100%,IF(H523="Đang thực hiện",50%,IF(H523="Đang chờ phối hợp",25%,0%))))</x:f>
        <x:v>0</x:v>
      </x:c>
      <x:c r="J523" s="58" t="str"/>
      <x:c r="K523" s="14" t="str"/>
      <x:c r="L523" s="14" t="str"/>
      <x:c r="M523" s="14" t="str"/>
      <x:c r="N523" s="14" t="str"/>
      <x:c r="O523" s="14" t="str"/>
      <x:c r="P523" s="58" t="str"/>
      <x:c r="Q523" s="14" t="str"/>
    </x:row>
    <x:row r="524">
      <x:c r="A524" s="14" t="str">
        <x:v>VATM-0523</x:v>
      </x:c>
      <x:c r="B524" s="14" t="str">
        <x:v>An toàn hàng không / SMS</x:v>
      </x:c>
      <x:c r="C524" s="14" t="str">
        <x:v>Báo cáo MOR, sự cố và điều tra</x:v>
      </x:c>
      <x:c r="D524" s="14" t="str">
        <x:v>Ban hành quy trình báo cáo ngay khi có thông tin sự cố nghiêm trọng/tai nạn và báo cáo ban đầu tối đa 24 giờ.</x:v>
      </x:c>
      <x:c r="E524" s="14" t="str">
        <x:v>Ban An toàn - Chất lượng</x:v>
      </x:c>
      <x:c r="F524" s="14" t="str">
        <x:v>P1</x:v>
      </x:c>
      <x:c r="G524" s="14" t="str">
        <x:v>30/09/2026</x:v>
      </x:c>
      <x:c r="H524" s="14" t="str">
        <x:v>Chưa bắt đầu</x:v>
      </x:c>
      <x:c r="I524" s="20" t="n">
        <x:f>IF(H524="Hoàn thành",100%,IF(H524="Không áp dụng",100%,IF(H524="Đang thực hiện",50%,IF(H524="Đang chờ phối hợp",25%,0%))))</x:f>
        <x:v>0</x:v>
      </x:c>
      <x:c r="J524" s="58" t="str"/>
      <x:c r="K524" s="14" t="str"/>
      <x:c r="L524" s="14" t="str"/>
      <x:c r="M524" s="14" t="str"/>
      <x:c r="N524" s="14" t="str"/>
      <x:c r="O524" s="14" t="str"/>
      <x:c r="P524" s="58" t="str"/>
      <x:c r="Q524" s="14" t="str"/>
    </x:row>
    <x:row r="525">
      <x:c r="A525" s="14" t="str">
        <x:v>VATM-0524</x:v>
      </x:c>
      <x:c r="B525" s="14" t="str">
        <x:v>An toàn hàng không / SMS</x:v>
      </x:c>
      <x:c r="C525" s="14" t="str">
        <x:v>Báo cáo MOR, sự cố và điều tra</x:v>
      </x:c>
      <x:c r="D525" s="14" t="str">
        <x:v>Đào tạo nhận diện sự cố bắt buộc/nghiêm trọng cho kiểm soát viên, nhân viên CNS/MET/AIS/SAR, giám sát ca.</x:v>
      </x:c>
      <x:c r="E525" s="14" t="str">
        <x:v>Ban An toàn - Chất lượng</x:v>
      </x:c>
      <x:c r="F525" s="14" t="str">
        <x:v>P1</x:v>
      </x:c>
      <x:c r="G525" s="14" t="str">
        <x:v>31/12/2026</x:v>
      </x:c>
      <x:c r="H525" s="14" t="str">
        <x:v>Chưa bắt đầu</x:v>
      </x:c>
      <x:c r="I525" s="20" t="n">
        <x:f>IF(H525="Hoàn thành",100%,IF(H525="Không áp dụng",100%,IF(H525="Đang thực hiện",50%,IF(H525="Đang chờ phối hợp",25%,0%))))</x:f>
        <x:v>0</x:v>
      </x:c>
      <x:c r="J525" s="58" t="str"/>
      <x:c r="K525" s="14" t="str"/>
      <x:c r="L525" s="14" t="str"/>
      <x:c r="M525" s="14" t="str"/>
      <x:c r="N525" s="14" t="str"/>
      <x:c r="O525" s="14" t="str"/>
      <x:c r="P525" s="58" t="str"/>
      <x:c r="Q525" s="14" t="str"/>
    </x:row>
    <x:row r="526">
      <x:c r="A526" s="14" t="str">
        <x:v>VATM-0525</x:v>
      </x:c>
      <x:c r="B526" s="14" t="str">
        <x:v>Huấn luyện đào tạo &amp; nhân viên HK</x:v>
      </x:c>
      <x:c r="C526" s="14" t="str">
        <x:v>Giấy phép, năng định, chứng chỉ</x:v>
      </x:c>
      <x:c r="D526" s="14" t="str">
        <x:v>Kiểm kê và chuẩn hóa CSDL giấy phép/năng định/chứng chỉ của ATCO, nhân viên khai thác thiết bị thông tin liên lạc hàng không và giáo viên.</x:v>
      </x:c>
      <x:c r="E526" s="14" t="str">
        <x:v>Trung tâm Huấn luyện đào tạo; Ban Tổ chức cán bộ</x:v>
      </x:c>
      <x:c r="F526" s="14" t="str">
        <x:v>P1</x:v>
      </x:c>
      <x:c r="G526" s="14" t="str">
        <x:v>30/09/2026</x:v>
      </x:c>
      <x:c r="H526" s="14" t="str">
        <x:v>Chưa bắt đầu</x:v>
      </x:c>
      <x:c r="I526" s="20" t="n">
        <x:f>IF(H526="Hoàn thành",100%,IF(H526="Không áp dụng",100%,IF(H526="Đang thực hiện",50%,IF(H526="Đang chờ phối hợp",25%,0%))))</x:f>
        <x:v>0</x:v>
      </x:c>
      <x:c r="J526" s="58" t="str"/>
      <x:c r="K526" s="14" t="str"/>
      <x:c r="L526" s="14" t="str"/>
      <x:c r="M526" s="14" t="str"/>
      <x:c r="N526" s="14" t="str"/>
      <x:c r="O526" s="14" t="str"/>
      <x:c r="P526" s="58" t="str"/>
      <x:c r="Q526" s="14" t="str"/>
    </x:row>
    <x:row r="527">
      <x:c r="A527" s="14" t="str">
        <x:v>VATM-0526</x:v>
      </x:c>
      <x:c r="B527" s="14" t="str">
        <x:v>Huấn luyện đào tạo &amp; nhân viên HK</x:v>
      </x:c>
      <x:c r="C527" s="14" t="str">
        <x:v>Giấy phép, năng định, chứng chỉ</x:v>
      </x:c>
      <x:c r="D527" s="14" t="str">
        <x:v>Rà soát nhóm nhân viên ANS không thuộc cấp giấy phép nhưng phải có chứng chỉ chuyên môn theo hướng dẫn Bộ Xây dựng.</x:v>
      </x:c>
      <x:c r="E527" s="14" t="str">
        <x:v>Trung tâm Huấn luyện đào tạo; Ban Tổ chức cán bộ</x:v>
      </x:c>
      <x:c r="F527" s="14" t="str">
        <x:v>P1</x:v>
      </x:c>
      <x:c r="G527" s="14" t="str">
        <x:v>31/12/2026</x:v>
      </x:c>
      <x:c r="H527" s="14" t="str">
        <x:v>Chưa bắt đầu</x:v>
      </x:c>
      <x:c r="I527" s="20" t="n">
        <x:f>IF(H527="Hoàn thành",100%,IF(H527="Không áp dụng",100%,IF(H527="Đang thực hiện",50%,IF(H527="Đang chờ phối hợp",25%,0%))))</x:f>
        <x:v>0</x:v>
      </x:c>
      <x:c r="J527" s="58" t="str"/>
      <x:c r="K527" s="14" t="str"/>
      <x:c r="L527" s="14" t="str"/>
      <x:c r="M527" s="14" t="str"/>
      <x:c r="N527" s="14" t="str"/>
      <x:c r="O527" s="14" t="str"/>
      <x:c r="P527" s="58" t="str"/>
      <x:c r="Q527" s="14" t="str"/>
    </x:row>
    <x:row r="528">
      <x:c r="A528" s="14" t="str">
        <x:v>VATM-0527</x:v>
      </x:c>
      <x:c r="B528" s="14" t="str">
        <x:v>Huấn luyện đào tạo &amp; nhân viên HK</x:v>
      </x:c>
      <x:c r="C528" s="14" t="str">
        <x:v>Giấy phép, năng định, chứng chỉ</x:v>
      </x:c>
      <x:c r="D528" s="14" t="str">
        <x:v>Lập kế hoạch duy trì/đánh giá tiếng Anh ICAO mức 4 trở lên cho ATCO.</x:v>
      </x:c>
      <x:c r="E528" s="14" t="str">
        <x:v>Trung tâm Huấn luyện đào tạo; Ban Tổ chức cán bộ</x:v>
      </x:c>
      <x:c r="F528" s="14" t="str">
        <x:v>P1</x:v>
      </x:c>
      <x:c r="G528" s="14" t="str">
        <x:v>31/12/2026</x:v>
      </x:c>
      <x:c r="H528" s="14" t="str">
        <x:v>Chưa bắt đầu</x:v>
      </x:c>
      <x:c r="I528" s="20" t="n">
        <x:f>IF(H528="Hoàn thành",100%,IF(H528="Không áp dụng",100%,IF(H528="Đang thực hiện",50%,IF(H528="Đang chờ phối hợp",25%,0%))))</x:f>
        <x:v>0</x:v>
      </x:c>
      <x:c r="J528" s="58" t="str"/>
      <x:c r="K528" s="14" t="str"/>
      <x:c r="L528" s="14" t="str"/>
      <x:c r="M528" s="14" t="str"/>
      <x:c r="N528" s="14" t="str"/>
      <x:c r="O528" s="14" t="str"/>
      <x:c r="P528" s="58" t="str"/>
      <x:c r="Q528" s="14" t="str"/>
    </x:row>
    <x:row r="529">
      <x:c r="A529" s="14" t="str">
        <x:v>VATM-0528</x:v>
      </x:c>
      <x:c r="B529" s="14" t="str">
        <x:v>Huấn luyện đào tạo &amp; nhân viên HK</x:v>
      </x:c>
      <x:c r="C529" s="14" t="str">
        <x:v>Giấy phép, năng định, chứng chỉ</x:v>
      </x:c>
      <x:c r="D529" s="14" t="str">
        <x:v>Chuẩn bị chuyển đổi cấp giấy chứng nhận sức khỏe ATCO theo cơ chế mới từ 01/07/2027.</x:v>
      </x:c>
      <x:c r="E529" s="14" t="str">
        <x:v>Trung tâm Huấn luyện đào tạo; Ban Tổ chức cán bộ</x:v>
      </x:c>
      <x:c r="F529" s="14" t="str">
        <x:v>P1</x:v>
      </x:c>
      <x:c r="G529" s="14" t="str">
        <x:v>30/06/2027</x:v>
      </x:c>
      <x:c r="H529" s="14" t="str">
        <x:v>Chưa bắt đầu</x:v>
      </x:c>
      <x:c r="I529" s="20" t="n">
        <x:f>IF(H529="Hoàn thành",100%,IF(H529="Không áp dụng",100%,IF(H529="Đang thực hiện",50%,IF(H529="Đang chờ phối hợp",25%,0%))))</x:f>
        <x:v>0</x:v>
      </x:c>
      <x:c r="J529" s="58" t="str"/>
      <x:c r="K529" s="14" t="str"/>
      <x:c r="L529" s="14" t="str"/>
      <x:c r="M529" s="14" t="str"/>
      <x:c r="N529" s="14" t="str"/>
      <x:c r="O529" s="14" t="str"/>
      <x:c r="P529" s="58" t="str"/>
      <x:c r="Q529" s="14" t="str"/>
    </x:row>
    <x:row r="530">
      <x:c r="A530" s="14" t="str">
        <x:v>VATM-0529</x:v>
      </x:c>
      <x:c r="B530" s="14" t="str">
        <x:v>Huấn luyện đào tạo &amp; nhân viên HK</x:v>
      </x:c>
      <x:c r="C530" s="14" t="str">
        <x:v>Giấy phép, năng định, chứng chỉ</x:v>
      </x:c>
      <x:c r="D530" s="14" t="str">
        <x:v>Rà soát thời giờ làm việc/nghỉ ngơi và quy định làm thêm trong khẩn nguy đối với nhân viên làm công việc đặc biệt.</x:v>
      </x:c>
      <x:c r="E530" s="14" t="str">
        <x:v>Trung tâm Huấn luyện đào tạo; Ban Tổ chức cán bộ</x:v>
      </x:c>
      <x:c r="F530" s="14" t="str">
        <x:v>P1</x:v>
      </x:c>
      <x:c r="G530" s="14" t="str">
        <x:v>31/12/2026</x:v>
      </x:c>
      <x:c r="H530" s="14" t="str">
        <x:v>Chưa bắt đầu</x:v>
      </x:c>
      <x:c r="I530" s="20" t="n">
        <x:f>IF(H530="Hoàn thành",100%,IF(H530="Không áp dụng",100%,IF(H530="Đang thực hiện",50%,IF(H530="Đang chờ phối hợp",25%,0%))))</x:f>
        <x:v>0</x:v>
      </x:c>
      <x:c r="J530" s="58" t="str"/>
      <x:c r="K530" s="14" t="str"/>
      <x:c r="L530" s="14" t="str"/>
      <x:c r="M530" s="14" t="str"/>
      <x:c r="N530" s="14" t="str"/>
      <x:c r="O530" s="14" t="str"/>
      <x:c r="P530" s="58" t="str"/>
      <x:c r="Q530" s="14" t="str"/>
    </x:row>
    <x:row r="531">
      <x:c r="A531" s="14" t="str">
        <x:v>VATM-0530</x:v>
      </x:c>
      <x:c r="B531" s="14" t="str">
        <x:v>Huấn luyện đào tạo &amp; nhân viên HK</x:v>
      </x:c>
      <x:c r="C531" s="14" t="str">
        <x:v>Giấy phép, năng định, chứng chỉ</x:v>
      </x:c>
      <x:c r="D531" s="14" t="str">
        <x:v>Thiết lập/hoàn thiện hệ thống quản lý mệt mỏi cho kiểm soát viên không lưu, liên thông với NĐ hoạt động bay.</x:v>
      </x:c>
      <x:c r="E531" s="14" t="str">
        <x:v>Trung tâm Huấn luyện đào tạo; Ban Tổ chức cán bộ; Ban Không lưu</x:v>
      </x:c>
      <x:c r="F531" s="14" t="str">
        <x:v>P1</x:v>
      </x:c>
      <x:c r="G531" s="14" t="str">
        <x:v>30/06/2027</x:v>
      </x:c>
      <x:c r="H531" s="14" t="str">
        <x:v>Chưa bắt đầu</x:v>
      </x:c>
      <x:c r="I531" s="20" t="n">
        <x:f>IF(H531="Hoàn thành",100%,IF(H531="Không áp dụng",100%,IF(H531="Đang thực hiện",50%,IF(H531="Đang chờ phối hợp",25%,0%))))</x:f>
        <x:v>0</x:v>
      </x:c>
      <x:c r="J531" s="58" t="str"/>
      <x:c r="K531" s="14" t="str"/>
      <x:c r="L531" s="14" t="str"/>
      <x:c r="M531" s="14" t="str"/>
      <x:c r="N531" s="14" t="str"/>
      <x:c r="O531" s="14" t="str"/>
      <x:c r="P531" s="58" t="str"/>
      <x:c r="Q531" s="14" t="str"/>
    </x:row>
    <x:row r="532">
      <x:c r="A532" s="14" t="str">
        <x:v>VATM-0531</x:v>
      </x:c>
      <x:c r="B532" s="14" t="str">
        <x:v>Huấn luyện đào tạo &amp; nhân viên HK</x:v>
      </x:c>
      <x:c r="C532" s="14" t="str">
        <x:v>Giấy phép, năng định, chứng chỉ</x:v>
      </x:c>
      <x:c r="D532" s="14" t="str">
        <x:v>Sửa nội quy lao động/kỷ luật đối với NVHK đặc biệt, bao gồm tạm đình chỉ ngay bằng lời nói và quyết định văn bản trong 48 giờ.</x:v>
      </x:c>
      <x:c r="E532" s="14" t="str">
        <x:v>Trung tâm Huấn luyện đào tạo; Ban Tổ chức cán bộ; Văn phòng - Pháp chế</x:v>
      </x:c>
      <x:c r="F532" s="14" t="str">
        <x:v>P1</x:v>
      </x:c>
      <x:c r="G532" s="14" t="str">
        <x:v>31/12/2026</x:v>
      </x:c>
      <x:c r="H532" s="14" t="str">
        <x:v>Chưa bắt đầu</x:v>
      </x:c>
      <x:c r="I532" s="20" t="n">
        <x:f>IF(H532="Hoàn thành",100%,IF(H532="Không áp dụng",100%,IF(H532="Đang thực hiện",50%,IF(H532="Đang chờ phối hợp",25%,0%))))</x:f>
        <x:v>0</x:v>
      </x:c>
      <x:c r="J532" s="58" t="str"/>
      <x:c r="K532" s="14" t="str"/>
      <x:c r="L532" s="14" t="str"/>
      <x:c r="M532" s="14" t="str"/>
      <x:c r="N532" s="14" t="str"/>
      <x:c r="O532" s="14" t="str"/>
      <x:c r="P532" s="58" t="str"/>
      <x:c r="Q532" s="14" t="str"/>
    </x:row>
    <x:row r="533">
      <x:c r="A533" s="14" t="str">
        <x:v>VATM-0532</x:v>
      </x:c>
      <x:c r="B533" s="14" t="str">
        <x:v>Huấn luyện đào tạo &amp; nhân viên HK</x:v>
      </x:c>
      <x:c r="C533" s="14" t="str">
        <x:v>Giấy phép, năng định, chứng chỉ</x:v>
      </x:c>
      <x:c r="D533" s="14" t="str">
        <x:v>Thiết lập báo cáo định kỳ chế độ lao động/kỷ luật NVHK 6 tháng và năm; cập nhật chỉ tiêu trên CSDL NCTHK.</x:v>
      </x:c>
      <x:c r="E533" s="14" t="str">
        <x:v>Trung tâm Huấn luyện đào tạo; Ban Tổ chức cán bộ</x:v>
      </x:c>
      <x:c r="F533" s="14" t="str">
        <x:v>P1</x:v>
      </x:c>
      <x:c r="G533" s="14" t="str">
        <x:v>Từ 2027</x:v>
      </x:c>
      <x:c r="H533" s="14" t="str">
        <x:v>Chưa bắt đầu</x:v>
      </x:c>
      <x:c r="I533" s="20" t="n">
        <x:f>IF(H533="Hoàn thành",100%,IF(H533="Không áp dụng",100%,IF(H533="Đang thực hiện",50%,IF(H533="Đang chờ phối hợp",25%,0%))))</x:f>
        <x:v>0</x:v>
      </x:c>
      <x:c r="J533" s="58" t="str"/>
      <x:c r="K533" s="14" t="str"/>
      <x:c r="L533" s="14" t="str"/>
      <x:c r="M533" s="14" t="str"/>
      <x:c r="N533" s="14" t="str"/>
      <x:c r="O533" s="14" t="str"/>
      <x:c r="P533" s="58" t="str"/>
      <x:c r="Q533" s="14" t="str"/>
    </x:row>
    <x:row r="534">
      <x:c r="A534" s="14" t="str">
        <x:v>VATM-0533</x:v>
      </x:c>
      <x:c r="B534" s="14" t="str">
        <x:v>Huấn luyện đào tạo &amp; nhân viên HK</x:v>
      </x:c>
      <x:c r="C534" s="14" t="str">
        <x:v>Chương trình/cơ sở huấn luyện</x:v>
      </x:c>
      <x:c r="D534" s="14" t="str">
        <x:v>Rà soát tư cách cơ sở đào tạo/huấn luyện NVHK của VATM và phạm vi đào tạo ANS.</x:v>
      </x:c>
      <x:c r="E534" s="14" t="str">
        <x:v>Trung tâm Huấn luyện đào tạo; Ban Tổ chức cán bộ; Ban Không lưu</x:v>
      </x:c>
      <x:c r="F534" s="14" t="str">
        <x:v>P1</x:v>
      </x:c>
      <x:c r="G534" s="14" t="str">
        <x:v>30/09/2026</x:v>
      </x:c>
      <x:c r="H534" s="14" t="str">
        <x:v>Chưa bắt đầu</x:v>
      </x:c>
      <x:c r="I534" s="20" t="n">
        <x:f>IF(H534="Hoàn thành",100%,IF(H534="Không áp dụng",100%,IF(H534="Đang thực hiện",50%,IF(H534="Đang chờ phối hợp",25%,0%))))</x:f>
        <x:v>0</x:v>
      </x:c>
      <x:c r="J534" s="58" t="str"/>
      <x:c r="K534" s="14" t="str"/>
      <x:c r="L534" s="14" t="str"/>
      <x:c r="M534" s="14" t="str"/>
      <x:c r="N534" s="14" t="str"/>
      <x:c r="O534" s="14" t="str"/>
      <x:c r="P534" s="58" t="str"/>
      <x:c r="Q534" s="14" t="str"/>
    </x:row>
    <x:row r="535">
      <x:c r="A535" s="14" t="str">
        <x:v>VATM-0534</x:v>
      </x:c>
      <x:c r="B535" s="14" t="str">
        <x:v>Huấn luyện đào tạo &amp; nhân viên HK</x:v>
      </x:c>
      <x:c r="C535" s="14" t="str">
        <x:v>Chương trình/cơ sở huấn luyện</x:v>
      </x:c>
      <x:c r="D535" s="14" t="str">
        <x:v>Sửa ATO Manual/tài liệu đào tạo BĐHĐB để trình NCTHK phê chuẩn trước khi tổ chức đào tạo.</x:v>
      </x:c>
      <x:c r="E535" s="14" t="str">
        <x:v>Trung tâm Huấn luyện đào tạo; Ban Tổ chức cán bộ</x:v>
      </x:c>
      <x:c r="F535" s="14" t="str">
        <x:v>P1</x:v>
      </x:c>
      <x:c r="G535" s="14" t="str">
        <x:v>31/03/2027</x:v>
      </x:c>
      <x:c r="H535" s="14" t="str">
        <x:v>Chưa bắt đầu</x:v>
      </x:c>
      <x:c r="I535" s="20" t="n">
        <x:f>IF(H535="Hoàn thành",100%,IF(H535="Không áp dụng",100%,IF(H535="Đang thực hiện",50%,IF(H535="Đang chờ phối hợp",25%,0%))))</x:f>
        <x:v>0</x:v>
      </x:c>
      <x:c r="J535" s="58" t="str"/>
      <x:c r="K535" s="14" t="str"/>
      <x:c r="L535" s="14" t="str"/>
      <x:c r="M535" s="14" t="str"/>
      <x:c r="N535" s="14" t="str"/>
      <x:c r="O535" s="14" t="str"/>
      <x:c r="P535" s="58" t="str"/>
      <x:c r="Q535" s="14" t="str"/>
    </x:row>
    <x:row r="536">
      <x:c r="A536" s="14" t="str">
        <x:v>VATM-0535</x:v>
      </x:c>
      <x:c r="B536" s="14" t="str">
        <x:v>Huấn luyện đào tạo &amp; nhân viên HK</x:v>
      </x:c>
      <x:c r="C536" s="14" t="str">
        <x:v>Chương trình/cơ sở huấn luyện</x:v>
      </x:c>
      <x:c r="D536" s="14" t="str">
        <x:v>Bổ sung hệ thống bảo đảm chất lượng, SMS đào tạo, kiểm soát hồ sơ huấn luyện và năng lực học viên tối đa.</x:v>
      </x:c>
      <x:c r="E536" s="14" t="str">
        <x:v>Trung tâm Huấn luyện đào tạo; Ban Tổ chức cán bộ</x:v>
      </x:c>
      <x:c r="F536" s="14" t="str">
        <x:v>P1</x:v>
      </x:c>
      <x:c r="G536" s="14" t="str">
        <x:v>31/03/2027</x:v>
      </x:c>
      <x:c r="H536" s="14" t="str">
        <x:v>Chưa bắt đầu</x:v>
      </x:c>
      <x:c r="I536" s="20" t="n">
        <x:f>IF(H536="Hoàn thành",100%,IF(H536="Không áp dụng",100%,IF(H536="Đang thực hiện",50%,IF(H536="Đang chờ phối hợp",25%,0%))))</x:f>
        <x:v>0</x:v>
      </x:c>
      <x:c r="J536" s="58" t="str"/>
      <x:c r="K536" s="14" t="str"/>
      <x:c r="L536" s="14" t="str"/>
      <x:c r="M536" s="14" t="str"/>
      <x:c r="N536" s="14" t="str"/>
      <x:c r="O536" s="14" t="str"/>
      <x:c r="P536" s="58" t="str"/>
      <x:c r="Q536" s="14" t="str"/>
    </x:row>
    <x:row r="537">
      <x:c r="A537" s="14" t="str">
        <x:v>VATM-0536</x:v>
      </x:c>
      <x:c r="B537" s="14" t="str">
        <x:v>Huấn luyện đào tạo &amp; nhân viên HK</x:v>
      </x:c>
      <x:c r="C537" s="14" t="str">
        <x:v>Chương trình/cơ sở huấn luyện</x:v>
      </x:c>
      <x:c r="D537" s="14" t="str">
        <x:v>Kiểm kê/nâng cấp thiết bị mô phỏng ATCO và thiết bị huấn luyện CNS/MET/AIS/SAR.</x:v>
      </x:c>
      <x:c r="E537" s="14" t="str">
        <x:v>Trung tâm Huấn luyện đào tạo; Ban Tổ chức cán bộ</x:v>
      </x:c>
      <x:c r="F537" s="14" t="str">
        <x:v>P1</x:v>
      </x:c>
      <x:c r="G537" s="14" t="str">
        <x:v>30/06/2028</x:v>
      </x:c>
      <x:c r="H537" s="14" t="str">
        <x:v>Chưa bắt đầu</x:v>
      </x:c>
      <x:c r="I537" s="20" t="n">
        <x:f>IF(H537="Hoàn thành",100%,IF(H537="Không áp dụng",100%,IF(H537="Đang thực hiện",50%,IF(H537="Đang chờ phối hợp",25%,0%))))</x:f>
        <x:v>0</x:v>
      </x:c>
      <x:c r="J537" s="58" t="str"/>
      <x:c r="K537" s="14" t="str"/>
      <x:c r="L537" s="14" t="str"/>
      <x:c r="M537" s="14" t="str"/>
      <x:c r="N537" s="14" t="str"/>
      <x:c r="O537" s="14" t="str"/>
      <x:c r="P537" s="58" t="str"/>
      <x:c r="Q537" s="14" t="str"/>
    </x:row>
    <x:row r="538">
      <x:c r="A538" s="14" t="str">
        <x:v>VATM-0537</x:v>
      </x:c>
      <x:c r="B538" s="14" t="str">
        <x:v>Huấn luyện đào tạo &amp; nhân viên HK</x:v>
      </x:c>
      <x:c r="C538" s="14" t="str">
        <x:v>Chương trình/cơ sở huấn luyện</x:v>
      </x:c>
      <x:c r="D538" s="14" t="str">
        <x:v>Xác lập quyền tiếp cận/sử dụng hệ thống thiết bị thực tế phục vụ đào tạo thực hành ANS.</x:v>
      </x:c>
      <x:c r="E538" s="14" t="str">
        <x:v>Trung tâm Huấn luyện đào tạo; Ban Tổ chức cán bộ</x:v>
      </x:c>
      <x:c r="F538" s="14" t="str">
        <x:v>P2</x:v>
      </x:c>
      <x:c r="G538" s="14" t="str">
        <x:v>31/03/2027</x:v>
      </x:c>
      <x:c r="H538" s="14" t="str">
        <x:v>Chưa bắt đầu</x:v>
      </x:c>
      <x:c r="I538" s="20" t="n">
        <x:f>IF(H538="Hoàn thành",100%,IF(H538="Không áp dụng",100%,IF(H538="Đang thực hiện",50%,IF(H538="Đang chờ phối hợp",25%,0%))))</x:f>
        <x:v>0</x:v>
      </x:c>
      <x:c r="J538" s="58" t="str"/>
      <x:c r="K538" s="14" t="str"/>
      <x:c r="L538" s="14" t="str"/>
      <x:c r="M538" s="14" t="str"/>
      <x:c r="N538" s="14" t="str"/>
      <x:c r="O538" s="14" t="str"/>
      <x:c r="P538" s="58" t="str"/>
      <x:c r="Q538" s="14" t="str"/>
    </x:row>
    <x:row r="539">
      <x:c r="A539" s="14" t="str">
        <x:v>VATM-0538</x:v>
      </x:c>
      <x:c r="B539" s="14" t="str">
        <x:v>Huấn luyện đào tạo &amp; nhân viên HK</x:v>
      </x:c>
      <x:c r="C539" s="14" t="str">
        <x:v>Chương trình/cơ sở huấn luyện</x:v>
      </x:c>
      <x:c r="D539" s="14" t="str">
        <x:v>Kiểm kê và đánh giá năng lực giáo viên ANS; bảo đảm mỗi môn chuyên ngành có ít nhất 01 giáo viên.</x:v>
      </x:c>
      <x:c r="E539" s="14" t="str">
        <x:v>Trung tâm Huấn luyện đào tạo; Ban Tổ chức cán bộ</x:v>
      </x:c>
      <x:c r="F539" s="14" t="str">
        <x:v>P1</x:v>
      </x:c>
      <x:c r="G539" s="14" t="str">
        <x:v>30/06/2027</x:v>
      </x:c>
      <x:c r="H539" s="14" t="str">
        <x:v>Chưa bắt đầu</x:v>
      </x:c>
      <x:c r="I539" s="20" t="n">
        <x:f>IF(H539="Hoàn thành",100%,IF(H539="Không áp dụng",100%,IF(H539="Đang thực hiện",50%,IF(H539="Đang chờ phối hợp",25%,0%))))</x:f>
        <x:v>0</x:v>
      </x:c>
      <x:c r="J539" s="58" t="str"/>
      <x:c r="K539" s="14" t="str"/>
      <x:c r="L539" s="14" t="str"/>
      <x:c r="M539" s="14" t="str"/>
      <x:c r="N539" s="14" t="str"/>
      <x:c r="O539" s="14" t="str"/>
      <x:c r="P539" s="58" t="str"/>
      <x:c r="Q539" s="14" t="str"/>
    </x:row>
    <x:row r="540">
      <x:c r="A540" s="14" t="str">
        <x:v>VATM-0539</x:v>
      </x:c>
      <x:c r="B540" s="14" t="str">
        <x:v>Huấn luyện đào tạo &amp; nhân viên HK</x:v>
      </x:c>
      <x:c r="C540" s="14" t="str">
        <x:v>Chương trình/cơ sở huấn luyện</x:v>
      </x:c>
      <x:c r="D540" s="14" t="str">
        <x:v>Thiết lập đào tạo định kỳ/đánh giá lại giáo viên thực hành không quá 24 tháng và re-entry training khi gián đoạn.</x:v>
      </x:c>
      <x:c r="E540" s="14" t="str">
        <x:v>Trung tâm Huấn luyện đào tạo; Ban Tổ chức cán bộ</x:v>
      </x:c>
      <x:c r="F540" s="14" t="str">
        <x:v>P1</x:v>
      </x:c>
      <x:c r="G540" s="14" t="str">
        <x:v>30/06/2027</x:v>
      </x:c>
      <x:c r="H540" s="14" t="str">
        <x:v>Chưa bắt đầu</x:v>
      </x:c>
      <x:c r="I540" s="20" t="n">
        <x:f>IF(H540="Hoàn thành",100%,IF(H540="Không áp dụng",100%,IF(H540="Đang thực hiện",50%,IF(H540="Đang chờ phối hợp",25%,0%))))</x:f>
        <x:v>0</x:v>
      </x:c>
      <x:c r="J540" s="58" t="str"/>
      <x:c r="K540" s="14" t="str"/>
      <x:c r="L540" s="14" t="str"/>
      <x:c r="M540" s="14" t="str"/>
      <x:c r="N540" s="14" t="str"/>
      <x:c r="O540" s="14" t="str"/>
      <x:c r="P540" s="58" t="str"/>
      <x:c r="Q540" s="14" t="str"/>
    </x:row>
    <x:row r="541">
      <x:c r="A541" s="14" t="str">
        <x:v>VATM-0540</x:v>
      </x:c>
      <x:c r="B541" s="14" t="str">
        <x:v>Huấn luyện đào tạo &amp; nhân viên HK</x:v>
      </x:c>
      <x:c r="C541" s="14" t="str">
        <x:v>Chương trình/cơ sở huấn luyện</x:v>
      </x:c>
      <x:c r="D541" s="14" t="str">
        <x:v>Chuẩn bị hồ sơ cấp/gia hạn GCN cơ sở đào tạo trước hạn tối thiểu 45 ngày.</x:v>
      </x:c>
      <x:c r="E541" s="14" t="str">
        <x:v>Trung tâm Huấn luyện đào tạo; Ban Tổ chức cán bộ</x:v>
      </x:c>
      <x:c r="F541" s="14" t="str">
        <x:v>P1</x:v>
      </x:c>
      <x:c r="G541" s="14" t="str">
        <x:v>Trước 45 ngày hết hạn</x:v>
      </x:c>
      <x:c r="H541" s="14" t="str">
        <x:v>Chưa bắt đầu</x:v>
      </x:c>
      <x:c r="I541" s="20" t="n">
        <x:f>IF(H541="Hoàn thành",100%,IF(H541="Không áp dụng",100%,IF(H541="Đang thực hiện",50%,IF(H541="Đang chờ phối hợp",25%,0%))))</x:f>
        <x:v>0</x:v>
      </x:c>
      <x:c r="J541" s="58" t="str"/>
      <x:c r="K541" s="14" t="str"/>
      <x:c r="L541" s="14" t="str"/>
      <x:c r="M541" s="14" t="str"/>
      <x:c r="N541" s="14" t="str"/>
      <x:c r="O541" s="14" t="str"/>
      <x:c r="P541" s="58" t="str"/>
      <x:c r="Q541" s="14" t="str"/>
    </x:row>
    <x:row r="542">
      <x:c r="A542" s="14" t="str">
        <x:v>VATM-0541</x:v>
      </x:c>
      <x:c r="B542" s="14" t="str">
        <x:v>Huấn luyện đào tạo &amp; nhân viên HK</x:v>
      </x:c>
      <x:c r="C542" s="14" t="str">
        <x:v>Chương trình/cơ sở huấn luyện</x:v>
      </x:c>
      <x:c r="D542" s="14" t="str">
        <x:v>Thiết lập cơ chế dừng đào tạo/quảng cáo trong phạm vi bị thu hồi/hạn chế và chuyển tiếp học viên.</x:v>
      </x:c>
      <x:c r="E542" s="14" t="str">
        <x:v>Trung tâm Huấn luyện đào tạo; Ban Tổ chức cán bộ</x:v>
      </x:c>
      <x:c r="F542" s="14" t="str">
        <x:v>P2</x:v>
      </x:c>
      <x:c r="G542" s="14" t="str">
        <x:v>31/12/2026</x:v>
      </x:c>
      <x:c r="H542" s="14" t="str">
        <x:v>Chưa bắt đầu</x:v>
      </x:c>
      <x:c r="I542" s="20" t="n">
        <x:f>IF(H542="Hoàn thành",100%,IF(H542="Không áp dụng",100%,IF(H542="Đang thực hiện",50%,IF(H542="Đang chờ phối hợp",25%,0%))))</x:f>
        <x:v>0</x:v>
      </x:c>
      <x:c r="J542" s="58" t="str"/>
      <x:c r="K542" s="14" t="str"/>
      <x:c r="L542" s="14" t="str"/>
      <x:c r="M542" s="14" t="str"/>
      <x:c r="N542" s="14" t="str"/>
      <x:c r="O542" s="14" t="str"/>
      <x:c r="P542" s="58" t="str"/>
      <x:c r="Q542" s="14" t="str"/>
    </x:row>
    <x:row r="543">
      <x:c r="A543" s="14" t="str">
        <x:v>VATM-0542</x:v>
      </x:c>
      <x:c r="B543" s="14" t="str">
        <x:v>Huấn luyện đào tạo &amp; nhân viên HK</x:v>
      </x:c>
      <x:c r="C543" s="14" t="str">
        <x:v>Chương trình/cơ sở huấn luyện</x:v>
      </x:c>
      <x:c r="D543" s="14" t="str">
        <x:v>Nâng cấp LMS/e-learning: định danh người học, theo dõi quá trình, lưu trữ hồ sơ, bảo vệ dữ liệu cá nhân.</x:v>
      </x:c>
      <x:c r="E543" s="14" t="str">
        <x:v>Trung tâm Huấn luyện đào tạo; Ban Tổ chức cán bộ; Ban Kế hoạch doanh nghiệp - Chuyển đổi số; Ban Kỹ thuật - CNS/IT/Môi trường</x:v>
      </x:c>
      <x:c r="F543" s="14" t="str">
        <x:v>P1</x:v>
      </x:c>
      <x:c r="G543" s="14" t="str">
        <x:v>30/06/2027</x:v>
      </x:c>
      <x:c r="H543" s="14" t="str">
        <x:v>Chưa bắt đầu</x:v>
      </x:c>
      <x:c r="I543" s="20" t="n">
        <x:f>IF(H543="Hoàn thành",100%,IF(H543="Không áp dụng",100%,IF(H543="Đang thực hiện",50%,IF(H543="Đang chờ phối hợp",25%,0%))))</x:f>
        <x:v>0</x:v>
      </x:c>
      <x:c r="J543" s="58" t="str"/>
      <x:c r="K543" s="14" t="str"/>
      <x:c r="L543" s="14" t="str"/>
      <x:c r="M543" s="14" t="str"/>
      <x:c r="N543" s="14" t="str"/>
      <x:c r="O543" s="14" t="str"/>
      <x:c r="P543" s="58" t="str"/>
      <x:c r="Q543" s="14" t="str"/>
    </x:row>
    <x:row r="544">
      <x:c r="A544" s="14" t="str">
        <x:v>VATM-0543</x:v>
      </x:c>
      <x:c r="B544" s="14" t="str">
        <x:v>Tuân thủ, pháp chế &amp; quản trị</x:v>
      </x:c>
      <x:c r="C544" s="14" t="str">
        <x:v>Thanh tra, kiểm tra, audit tuân thủ</x:v>
      </x:c>
      <x:c r="D544" s="14" t="str">
        <x:v>Đào tạo người tiếp đoàn giám sát an toàn về quyền hạn GSV, hồ sơ cần cung cấp và nguyên tắc bảo mật dữ liệu.</x:v>
      </x:c>
      <x:c r="E544" s="14" t="str">
        <x:v>Văn phòng - Pháp chế</x:v>
      </x:c>
      <x:c r="F544" s="14" t="str">
        <x:v>P2</x:v>
      </x:c>
      <x:c r="G544" s="14" t="str">
        <x:v>30/09/2026</x:v>
      </x:c>
      <x:c r="H544" s="14" t="str">
        <x:v>Chưa bắt đầu</x:v>
      </x:c>
      <x:c r="I544" s="20" t="n">
        <x:f>IF(H544="Hoàn thành",100%,IF(H544="Không áp dụng",100%,IF(H544="Đang thực hiện",50%,IF(H544="Đang chờ phối hợp",25%,0%))))</x:f>
        <x:v>0</x:v>
      </x:c>
      <x:c r="J544" s="58" t="str"/>
      <x:c r="K544" s="14" t="str"/>
      <x:c r="L544" s="14" t="str"/>
      <x:c r="M544" s="14" t="str"/>
      <x:c r="N544" s="14" t="str"/>
      <x:c r="O544" s="14" t="str"/>
      <x:c r="P544" s="58" t="str"/>
      <x:c r="Q544" s="14" t="str"/>
    </x:row>
    <x:row r="545">
      <x:c r="A545" s="14" t="str">
        <x:v>VATM-0544</x:v>
      </x:c>
      <x:c r="B545" s="14" t="str">
        <x:v>Tuân thủ, pháp chế &amp; quản trị</x:v>
      </x:c>
      <x:c r="C545" s="14" t="str">
        <x:v>Thanh tra, kiểm tra, audit tuân thủ</x:v>
      </x:c>
      <x:c r="D545" s="14" t="str">
        <x:v>Cập nhật hồ sơ rủi ro an toàn của từng cơ sở/dịch vụ ANS để chuẩn bị giám sát dựa trên rủi ro.</x:v>
      </x:c>
      <x:c r="E545" s="14" t="str">
        <x:v>Văn phòng - Pháp chế; Ban An toàn - Chất lượng</x:v>
      </x:c>
      <x:c r="F545" s="14" t="str">
        <x:v>P1</x:v>
      </x:c>
      <x:c r="G545" s="14" t="str">
        <x:v>31/12/2026</x:v>
      </x:c>
      <x:c r="H545" s="14" t="str">
        <x:v>Chưa bắt đầu</x:v>
      </x:c>
      <x:c r="I545" s="20" t="n">
        <x:f>IF(H545="Hoàn thành",100%,IF(H545="Không áp dụng",100%,IF(H545="Đang thực hiện",50%,IF(H545="Đang chờ phối hợp",25%,0%))))</x:f>
        <x:v>0</x:v>
      </x:c>
      <x:c r="J545" s="58" t="str"/>
      <x:c r="K545" s="14" t="str"/>
      <x:c r="L545" s="14" t="str"/>
      <x:c r="M545" s="14" t="str"/>
      <x:c r="N545" s="14" t="str"/>
      <x:c r="O545" s="14" t="str"/>
      <x:c r="P545" s="58" t="str"/>
      <x:c r="Q545" s="14" t="str"/>
    </x:row>
    <x:row r="546">
      <x:c r="A546" s="14" t="str">
        <x:v>VATM-0545</x:v>
      </x:c>
      <x:c r="B546" s="14" t="str">
        <x:v>Tuân thủ, pháp chế &amp; quản trị</x:v>
      </x:c>
      <x:c r="C546" s="14" t="str">
        <x:v>Thanh tra, kiểm tra, audit tuân thủ</x:v>
      </x:c>
      <x:c r="D546" s="14" t="str">
        <x:v>Thiết lập kho bằng chứng tuân thủ phục vụ giám sát: giấy phép, phê chuẩn, training, SMS, CAP, dữ liệu sự cố.</x:v>
      </x:c>
      <x:c r="E546" s="14" t="str">
        <x:v>Văn phòng - Pháp chế; Ban An toàn - Chất lượng</x:v>
      </x:c>
      <x:c r="F546" s="14" t="str">
        <x:v>P2</x:v>
      </x:c>
      <x:c r="G546" s="14" t="str">
        <x:v>31/03/2027</x:v>
      </x:c>
      <x:c r="H546" s="14" t="str">
        <x:v>Chưa bắt đầu</x:v>
      </x:c>
      <x:c r="I546" s="20" t="n">
        <x:f>IF(H546="Hoàn thành",100%,IF(H546="Không áp dụng",100%,IF(H546="Đang thực hiện",50%,IF(H546="Đang chờ phối hợp",25%,0%))))</x:f>
        <x:v>0</x:v>
      </x:c>
      <x:c r="J546" s="58" t="str"/>
      <x:c r="K546" s="14" t="str"/>
      <x:c r="L546" s="14" t="str"/>
      <x:c r="M546" s="14" t="str"/>
      <x:c r="N546" s="14" t="str"/>
      <x:c r="O546" s="14" t="str"/>
      <x:c r="P546" s="58" t="str"/>
      <x:c r="Q546" s="14" t="str"/>
    </x:row>
    <x:row r="547">
      <x:c r="A547" s="14" t="str">
        <x:v>VATM-0546</x:v>
      </x:c>
      <x:c r="B547" s="14" t="str">
        <x:v>ANS - Tìm kiếm cứu nạn &amp; khẩn nguy</x:v>
      </x:c>
      <x:c r="C547" s="14" t="str">
        <x:v>SAR, khẩn nguy và hiệp đồng</x:v>
      </x:c>
      <x:c r="D547" s="14" t="str">
        <x:v>Cập nhật quy trình phối hợp SAR/khẩn nguy với NCTHK, RCC, ATS units và cơ quan liên quan.</x:v>
      </x:c>
      <x:c r="E547" s="14" t="str">
        <x:v>Trung tâm Tìm kiếm cứu nạn hàng không; Ban Không lưu</x:v>
      </x:c>
      <x:c r="F547" s="14" t="str">
        <x:v>P2</x:v>
      </x:c>
      <x:c r="G547" s="14" t="str">
        <x:v>31/12/2026</x:v>
      </x:c>
      <x:c r="H547" s="14" t="str">
        <x:v>Chưa bắt đầu</x:v>
      </x:c>
      <x:c r="I547" s="20" t="n">
        <x:f>IF(H547="Hoàn thành",100%,IF(H547="Không áp dụng",100%,IF(H547="Đang thực hiện",50%,IF(H547="Đang chờ phối hợp",25%,0%))))</x:f>
        <x:v>0</x:v>
      </x:c>
      <x:c r="J547" s="58" t="str"/>
      <x:c r="K547" s="14" t="str"/>
      <x:c r="L547" s="14" t="str"/>
      <x:c r="M547" s="14" t="str"/>
      <x:c r="N547" s="14" t="str"/>
      <x:c r="O547" s="14" t="str"/>
      <x:c r="P547" s="58" t="str"/>
      <x:c r="Q547" s="14" t="str"/>
    </x:row>
    <x:row r="548">
      <x:c r="A548" s="14" t="str">
        <x:v>VATM-0547</x:v>
      </x:c>
      <x:c r="B548" s="14" t="str">
        <x:v>ANS - Tìm kiếm cứu nạn &amp; khẩn nguy</x:v>
      </x:c>
      <x:c r="C548" s="14" t="str">
        <x:v>SAR, khẩn nguy và hiệp đồng</x:v>
      </x:c>
      <x:c r="D548" s="14" t="str">
        <x:v>Đảm bảo nhân viên SAR/ATS được huấn luyện nhận diện distress phase/alert phase và thông báo sự cố/tai nạn.</x:v>
      </x:c>
      <x:c r="E548" s="14" t="str">
        <x:v>Trung tâm Tìm kiếm cứu nạn hàng không; Ban Không lưu</x:v>
      </x:c>
      <x:c r="F548" s="14" t="str">
        <x:v>P2</x:v>
      </x:c>
      <x:c r="G548" s="14" t="str">
        <x:v>31/12/2026</x:v>
      </x:c>
      <x:c r="H548" s="14" t="str">
        <x:v>Chưa bắt đầu</x:v>
      </x:c>
      <x:c r="I548" s="20" t="n">
        <x:f>IF(H548="Hoàn thành",100%,IF(H548="Không áp dụng",100%,IF(H548="Đang thực hiện",50%,IF(H548="Đang chờ phối hợp",25%,0%))))</x:f>
        <x:v>0</x:v>
      </x:c>
      <x:c r="J548" s="58" t="str"/>
      <x:c r="K548" s="14" t="str"/>
      <x:c r="L548" s="14" t="str"/>
      <x:c r="M548" s="14" t="str"/>
      <x:c r="N548" s="14" t="str"/>
      <x:c r="O548" s="14" t="str"/>
      <x:c r="P548" s="58" t="str"/>
      <x:c r="Q548" s="14" t="str"/>
    </x:row>
    <x:row r="549">
      <x:c r="A549" s="14" t="str">
        <x:v>VATM-0548</x:v>
      </x:c>
      <x:c r="B549" s="14" t="str">
        <x:v>Tuân thủ, pháp chế &amp; quản trị</x:v>
      </x:c>
      <x:c r="C549" s="14" t="str">
        <x:v>Quản trị triển khai, RACI và báo cáo</x:v>
      </x:c>
      <x:c r="D549" s="14" t="str">
        <x:v>Thiết lập đầu mối VATM phối hợp Hội đồng điều tra/IIC, có quy trình kích hoạt khi ACCID/SINCID.</x:v>
      </x:c>
      <x:c r="E549" s="14" t="str">
        <x:v>Văn phòng - Pháp chế; Ban An toàn - Chất lượng</x:v>
      </x:c>
      <x:c r="F549" s="14" t="str">
        <x:v>P1</x:v>
      </x:c>
      <x:c r="G549" s="14" t="str">
        <x:v>30/09/2026</x:v>
      </x:c>
      <x:c r="H549" s="14" t="str">
        <x:v>Chưa bắt đầu</x:v>
      </x:c>
      <x:c r="I549" s="20" t="n">
        <x:f>IF(H549="Hoàn thành",100%,IF(H549="Không áp dụng",100%,IF(H549="Đang thực hiện",50%,IF(H549="Đang chờ phối hợp",25%,0%))))</x:f>
        <x:v>0</x:v>
      </x:c>
      <x:c r="J549" s="58" t="str"/>
      <x:c r="K549" s="14" t="str"/>
      <x:c r="L549" s="14" t="str"/>
      <x:c r="M549" s="14" t="str"/>
      <x:c r="N549" s="14" t="str"/>
      <x:c r="O549" s="14" t="str"/>
      <x:c r="P549" s="58" t="str"/>
      <x:c r="Q549" s="14" t="str"/>
    </x:row>
    <x:row r="550">
      <x:c r="A550" s="14" t="str">
        <x:v>VATM-0549</x:v>
      </x:c>
      <x:c r="B550" s="14" t="str">
        <x:v>Tuân thủ, pháp chế &amp; quản trị</x:v>
      </x:c>
      <x:c r="C550" s="14" t="str">
        <x:v>Quản trị triển khai, RACI và báo cáo</x:v>
      </x:c>
      <x:c r="D550" s="14" t="str">
        <x:v>Lập danh sách chuyên gia VATM lĩnh vực điều hành bay, CNS, MET, AIS, SAR có thể hỗ trợ/trưng tập điều tra.</x:v>
      </x:c>
      <x:c r="E550" s="14" t="str">
        <x:v>Văn phòng - Pháp chế; Ban An toàn - Chất lượng</x:v>
      </x:c>
      <x:c r="F550" s="14" t="str">
        <x:v>P2</x:v>
      </x:c>
      <x:c r="G550" s="14" t="str">
        <x:v>31/12/2026</x:v>
      </x:c>
      <x:c r="H550" s="14" t="str">
        <x:v>Chưa bắt đầu</x:v>
      </x:c>
      <x:c r="I550" s="20" t="n">
        <x:f>IF(H550="Hoàn thành",100%,IF(H550="Không áp dụng",100%,IF(H550="Đang thực hiện",50%,IF(H550="Đang chờ phối hợp",25%,0%))))</x:f>
        <x:v>0</x:v>
      </x:c>
      <x:c r="J550" s="58" t="str"/>
      <x:c r="K550" s="14" t="str"/>
      <x:c r="L550" s="14" t="str"/>
      <x:c r="M550" s="14" t="str"/>
      <x:c r="N550" s="14" t="str"/>
      <x:c r="O550" s="14" t="str"/>
      <x:c r="P550" s="58" t="str"/>
      <x:c r="Q550" s="14" t="str"/>
    </x:row>
    <x:row r="551">
      <x:c r="A551" s="14" t="str">
        <x:v>VATM-0550</x:v>
      </x:c>
      <x:c r="B551" s="14" t="str">
        <x:v>Tuân thủ, pháp chế &amp; quản trị</x:v>
      </x:c>
      <x:c r="C551" s="14" t="str">
        <x:v>Quản trị triển khai, RACI và báo cáo</x:v>
      </x:c>
      <x:c r="D551" s="14" t="str">
        <x:v>Đề xuất huấn luyện cơ bản về điều tra sự cố/tai nạn theo ICAO Doc 10206 cho chuyên gia VATM được đề cử.</x:v>
      </x:c>
      <x:c r="E551" s="14" t="str">
        <x:v>Văn phòng - Pháp chế; Ban An toàn - Chất lượng</x:v>
      </x:c>
      <x:c r="F551" s="14" t="str">
        <x:v>P2</x:v>
      </x:c>
      <x:c r="G551" s="14" t="str">
        <x:v>30/06/2027</x:v>
      </x:c>
      <x:c r="H551" s="14" t="str">
        <x:v>Chưa bắt đầu</x:v>
      </x:c>
      <x:c r="I551" s="20" t="n">
        <x:f>IF(H551="Hoàn thành",100%,IF(H551="Không áp dụng",100%,IF(H551="Đang thực hiện",50%,IF(H551="Đang chờ phối hợp",25%,0%))))</x:f>
        <x:v>0</x:v>
      </x:c>
      <x:c r="J551" s="58" t="str"/>
      <x:c r="K551" s="14" t="str"/>
      <x:c r="L551" s="14" t="str"/>
      <x:c r="M551" s="14" t="str"/>
      <x:c r="N551" s="14" t="str"/>
      <x:c r="O551" s="14" t="str"/>
      <x:c r="P551" s="58" t="str"/>
      <x:c r="Q551" s="14" t="str"/>
    </x:row>
    <x:row r="552">
      <x:c r="A552" s="14" t="str">
        <x:v>VATM-0551</x:v>
      </x:c>
      <x:c r="B552" s="14" t="str">
        <x:v>Tuân thủ, pháp chế &amp; quản trị</x:v>
      </x:c>
      <x:c r="C552" s="14" t="str">
        <x:v>Quản trị triển khai, RACI và báo cáo</x:v>
      </x:c>
      <x:c r="D552" s="14" t="str">
        <x:v>Chuẩn hóa mẫu báo cáo ban đầu cho ATS/VATM, bao gồm thông tin cơ sở cung cấp dịch vụ, vị trí kiểm soát, hệ thống liên quan, MET, tình trạng thiết bị.</x:v>
      </x:c>
      <x:c r="E552" s="14" t="str">
        <x:v>Văn phòng - Pháp chế; Ban An toàn - Chất lượng</x:v>
      </x:c>
      <x:c r="F552" s="14" t="str">
        <x:v>P1</x:v>
      </x:c>
      <x:c r="G552" s="14" t="str">
        <x:v>30/09/2026</x:v>
      </x:c>
      <x:c r="H552" s="14" t="str">
        <x:v>Chưa bắt đầu</x:v>
      </x:c>
      <x:c r="I552" s="20" t="n">
        <x:f>IF(H552="Hoàn thành",100%,IF(H552="Không áp dụng",100%,IF(H552="Đang thực hiện",50%,IF(H552="Đang chờ phối hợp",25%,0%))))</x:f>
        <x:v>0</x:v>
      </x:c>
      <x:c r="J552" s="58" t="str"/>
      <x:c r="K552" s="14" t="str"/>
      <x:c r="L552" s="14" t="str"/>
      <x:c r="M552" s="14" t="str"/>
      <x:c r="N552" s="14" t="str"/>
      <x:c r="O552" s="14" t="str"/>
      <x:c r="P552" s="58" t="str"/>
      <x:c r="Q552" s="14" t="str"/>
    </x:row>
    <x:row r="553">
      <x:c r="A553" s="14" t="str">
        <x:v>VATM-0552</x:v>
      </x:c>
      <x:c r="B553" s="14" t="str">
        <x:v>Tuân thủ, pháp chế &amp; quản trị</x:v>
      </x:c>
      <x:c r="C553" s="14" t="str">
        <x:v>Quản trị triển khai, RACI và báo cáo</x:v>
      </x:c>
      <x:c r="D553" s="14" t="str">
        <x:v>Ban hành quy trình bảo quản dữ liệu ATS/CNS/MET/AIS/SAR, ghi âm, giám sát bay, kế hoạch bay, nhật ký kỹ thuật khi có sự cố/tai nạn.</x:v>
      </x:c>
      <x:c r="E553" s="14" t="str">
        <x:v>Văn phòng - Pháp chế; Ban Kế hoạch doanh nghiệp - Chuyển đổi số; Ban Kỹ thuật - CNS/IT/Môi trường; Ban An toàn - Chất lượng</x:v>
      </x:c>
      <x:c r="F553" s="14" t="str">
        <x:v>P1</x:v>
      </x:c>
      <x:c r="G553" s="14" t="str">
        <x:v>30/09/2026</x:v>
      </x:c>
      <x:c r="H553" s="14" t="str">
        <x:v>Chưa bắt đầu</x:v>
      </x:c>
      <x:c r="I553" s="20" t="n">
        <x:f>IF(H553="Hoàn thành",100%,IF(H553="Không áp dụng",100%,IF(H553="Đang thực hiện",50%,IF(H553="Đang chờ phối hợp",25%,0%))))</x:f>
        <x:v>0</x:v>
      </x:c>
      <x:c r="J553" s="58" t="str"/>
      <x:c r="K553" s="14" t="str"/>
      <x:c r="L553" s="14" t="str"/>
      <x:c r="M553" s="14" t="str"/>
      <x:c r="N553" s="14" t="str"/>
      <x:c r="O553" s="14" t="str"/>
      <x:c r="P553" s="58" t="str"/>
      <x:c r="Q553" s="14" t="str"/>
    </x:row>
    <x:row r="554">
      <x:c r="A554" s="14" t="str">
        <x:v>VATM-0553</x:v>
      </x:c>
      <x:c r="B554" s="14" t="str">
        <x:v>Tuân thủ, pháp chế &amp; quản trị</x:v>
      </x:c>
      <x:c r="C554" s="14" t="str">
        <x:v>Quản trị triển khai, RACI và báo cáo</x:v>
      </x:c>
      <x:c r="D554" s="14" t="str">
        <x:v>Kiểm tra năng lực lưu trữ dữ liệu ghi âm/radar/ADS-B/AMHS/MET/AIS theo yêu cầu điều tra và thời hạn lưu trữ nội bộ.</x:v>
      </x:c>
      <x:c r="E554" s="14" t="str">
        <x:v>Văn phòng - Pháp chế; Ban Kế hoạch doanh nghiệp - Chuyển đổi số; Ban Kỹ thuật - CNS/IT/Môi trường</x:v>
      </x:c>
      <x:c r="F554" s="14" t="str">
        <x:v>P1</x:v>
      </x:c>
      <x:c r="G554" s="14" t="str">
        <x:v>31/12/2026</x:v>
      </x:c>
      <x:c r="H554" s="14" t="str">
        <x:v>Chưa bắt đầu</x:v>
      </x:c>
      <x:c r="I554" s="20" t="n">
        <x:f>IF(H554="Hoàn thành",100%,IF(H554="Không áp dụng",100%,IF(H554="Đang thực hiện",50%,IF(H554="Đang chờ phối hợp",25%,0%))))</x:f>
        <x:v>0</x:v>
      </x:c>
      <x:c r="J554" s="58" t="str"/>
      <x:c r="K554" s="14" t="str"/>
      <x:c r="L554" s="14" t="str"/>
      <x:c r="M554" s="14" t="str"/>
      <x:c r="N554" s="14" t="str"/>
      <x:c r="O554" s="14" t="str"/>
      <x:c r="P554" s="58" t="str"/>
      <x:c r="Q554" s="14" t="str"/>
    </x:row>
    <x:row r="555">
      <x:c r="A555" s="14" t="str">
        <x:v>VATM-0554</x:v>
      </x:c>
      <x:c r="B555" s="14" t="str">
        <x:v>Tuân thủ, pháp chế &amp; quản trị</x:v>
      </x:c>
      <x:c r="C555" s="14" t="str">
        <x:v>Quản trị triển khai, RACI và báo cáo</x:v>
      </x:c>
      <x:c r="D555" s="14" t="str">
        <x:v>Quy định cơ chế cung cấp nhân sự, trang thiết bị, phương tiện khi Hội đồng điều tra yêu cầu trưng dụng/hỗ trợ.</x:v>
      </x:c>
      <x:c r="E555" s="14" t="str">
        <x:v>Văn phòng - Pháp chế; Ban An toàn - Chất lượng</x:v>
      </x:c>
      <x:c r="F555" s="14" t="str">
        <x:v>P2</x:v>
      </x:c>
      <x:c r="G555" s="14" t="str">
        <x:v>31/12/2026</x:v>
      </x:c>
      <x:c r="H555" s="14" t="str">
        <x:v>Chưa bắt đầu</x:v>
      </x:c>
      <x:c r="I555" s="20" t="n">
        <x:f>IF(H555="Hoàn thành",100%,IF(H555="Không áp dụng",100%,IF(H555="Đang thực hiện",50%,IF(H555="Đang chờ phối hợp",25%,0%))))</x:f>
        <x:v>0</x:v>
      </x:c>
      <x:c r="J555" s="58" t="str"/>
      <x:c r="K555" s="14" t="str"/>
      <x:c r="L555" s="14" t="str"/>
      <x:c r="M555" s="14" t="str"/>
      <x:c r="N555" s="14" t="str"/>
      <x:c r="O555" s="14" t="str"/>
      <x:c r="P555" s="58" t="str"/>
      <x:c r="Q555" s="14" t="str"/>
    </x:row>
    <x:row r="556">
      <x:c r="A556" s="14" t="str">
        <x:v>VATM-0555</x:v>
      </x:c>
      <x:c r="B556" s="14" t="str">
        <x:v>Tuân thủ, pháp chế &amp; quản trị</x:v>
      </x:c>
      <x:c r="C556" s="14" t="str">
        <x:v>Quản trị triển khai, RACI và báo cáo</x:v>
      </x:c>
      <x:c r="D556" s="14" t="str">
        <x:v>Phân tách quy trình cung cấp dữ liệu cho điều tra an toàn và cơ quan tố tụng, bảo đảm điều tra an toàn độc lập và bảo mật.</x:v>
      </x:c>
      <x:c r="E556" s="14" t="str">
        <x:v>Văn phòng - Pháp chế</x:v>
      </x:c>
      <x:c r="F556" s="14" t="str">
        <x:v>P2</x:v>
      </x:c>
      <x:c r="G556" s="14" t="str">
        <x:v>31/12/2026</x:v>
      </x:c>
      <x:c r="H556" s="14" t="str">
        <x:v>Chưa bắt đầu</x:v>
      </x:c>
      <x:c r="I556" s="20" t="n">
        <x:f>IF(H556="Hoàn thành",100%,IF(H556="Không áp dụng",100%,IF(H556="Đang thực hiện",50%,IF(H556="Đang chờ phối hợp",25%,0%))))</x:f>
        <x:v>0</x:v>
      </x:c>
      <x:c r="J556" s="58" t="str"/>
      <x:c r="K556" s="14" t="str"/>
      <x:c r="L556" s="14" t="str"/>
      <x:c r="M556" s="14" t="str"/>
      <x:c r="N556" s="14" t="str"/>
      <x:c r="O556" s="14" t="str"/>
      <x:c r="P556" s="58" t="str"/>
      <x:c r="Q556" s="14" t="str"/>
    </x:row>
    <x:row r="557">
      <x:c r="A557" s="14" t="str">
        <x:v>VATM-0556</x:v>
      </x:c>
      <x:c r="B557" s="14" t="str">
        <x:v>Tuân thủ, pháp chế &amp; quản trị</x:v>
      </x:c>
      <x:c r="C557" s="14" t="str">
        <x:v>Quản trị triển khai, RACI và báo cáo</x:v>
      </x:c>
      <x:c r="D557" s="14" t="str">
        <x:v>Thiết lập cơ chế cung cấp dữ liệu nhanh cho báo cáo sơ bộ 30 ngày, báo cáo chính thức/tạm thời, báo cáo dữ liệu ICAO.</x:v>
      </x:c>
      <x:c r="E557" s="14" t="str">
        <x:v>Văn phòng - Pháp chế; Ban An toàn - Chất lượng</x:v>
      </x:c>
      <x:c r="F557" s="14" t="str">
        <x:v>P2</x:v>
      </x:c>
      <x:c r="G557" s="14" t="str">
        <x:v>31/12/2026</x:v>
      </x:c>
      <x:c r="H557" s="14" t="str">
        <x:v>Chưa bắt đầu</x:v>
      </x:c>
      <x:c r="I557" s="20" t="n">
        <x:f>IF(H557="Hoàn thành",100%,IF(H557="Không áp dụng",100%,IF(H557="Đang thực hiện",50%,IF(H557="Đang chờ phối hợp",25%,0%))))</x:f>
        <x:v>0</x:v>
      </x:c>
      <x:c r="J557" s="58" t="str"/>
      <x:c r="K557" s="14" t="str"/>
      <x:c r="L557" s="14" t="str"/>
      <x:c r="M557" s="14" t="str"/>
      <x:c r="N557" s="14" t="str"/>
      <x:c r="O557" s="14" t="str"/>
      <x:c r="P557" s="58" t="str"/>
      <x:c r="Q557" s="14" t="str"/>
    </x:row>
    <x:row r="558">
      <x:c r="A558" s="14" t="str">
        <x:v>VATM-0557</x:v>
      </x:c>
      <x:c r="B558" s="14" t="str">
        <x:v>An toàn hàng không / SMS</x:v>
      </x:c>
      <x:c r="C558" s="14" t="str">
        <x:v>Báo cáo MOR, sự cố và điều tra</x:v>
      </x:c>
      <x:c r="D558" s="14" t="str">
        <x:v>Thiết lập tracker khuyến cáo an toàn trong/ngoài nước liên quan VATM, kèm đánh giá kỹ thuật, quyết định thực hiện và bằng chứng CAP.</x:v>
      </x:c>
      <x:c r="E558" s="14" t="str">
        <x:v>Ban An toàn - Chất lượng</x:v>
      </x:c>
      <x:c r="F558" s="14" t="str">
        <x:v>P1</x:v>
      </x:c>
      <x:c r="G558" s="14" t="str">
        <x:v>30/09/2026</x:v>
      </x:c>
      <x:c r="H558" s="14" t="str">
        <x:v>Chưa bắt đầu</x:v>
      </x:c>
      <x:c r="I558" s="20" t="n">
        <x:f>IF(H558="Hoàn thành",100%,IF(H558="Không áp dụng",100%,IF(H558="Đang thực hiện",50%,IF(H558="Đang chờ phối hợp",25%,0%))))</x:f>
        <x:v>0</x:v>
      </x:c>
      <x:c r="J558" s="58" t="str"/>
      <x:c r="K558" s="14" t="str"/>
      <x:c r="L558" s="14" t="str"/>
      <x:c r="M558" s="14" t="str"/>
      <x:c r="N558" s="14" t="str"/>
      <x:c r="O558" s="14" t="str"/>
      <x:c r="P558" s="58" t="str"/>
      <x:c r="Q558" s="14" t="str"/>
    </x:row>
    <x:row r="559">
      <x:c r="A559" s="14" t="str">
        <x:v>VATM-0558</x:v>
      </x:c>
      <x:c r="B559" s="14" t="str">
        <x:v>An toàn hàng không / SMS</x:v>
      </x:c>
      <x:c r="C559" s="14" t="str">
        <x:v>Báo cáo MOR, sự cố và điều tra</x:v>
      </x:c>
      <x:c r="D559" s="14" t="str">
        <x:v>Quy định cơ chế phổ biến khuyến cáo an toàn liên quan ANS đến toàn hệ thống VATM và theo dõi học tập tổ chức.</x:v>
      </x:c>
      <x:c r="E559" s="14" t="str">
        <x:v>Ban An toàn - Chất lượng</x:v>
      </x:c>
      <x:c r="F559" s="14" t="str">
        <x:v>P2</x:v>
      </x:c>
      <x:c r="G559" s="14" t="str">
        <x:v>31/12/2026</x:v>
      </x:c>
      <x:c r="H559" s="14" t="str">
        <x:v>Chưa bắt đầu</x:v>
      </x:c>
      <x:c r="I559" s="20" t="n">
        <x:f>IF(H559="Hoàn thành",100%,IF(H559="Không áp dụng",100%,IF(H559="Đang thực hiện",50%,IF(H559="Đang chờ phối hợp",25%,0%))))</x:f>
        <x:v>0</x:v>
      </x:c>
      <x:c r="J559" s="58" t="str"/>
      <x:c r="K559" s="14" t="str"/>
      <x:c r="L559" s="14" t="str"/>
      <x:c r="M559" s="14" t="str"/>
      <x:c r="N559" s="14" t="str"/>
      <x:c r="O559" s="14" t="str"/>
      <x:c r="P559" s="58" t="str"/>
      <x:c r="Q559" s="14" t="str"/>
    </x:row>
    <x:row r="560">
      <x:c r="A560" s="14" t="str">
        <x:v>VATM-0559</x:v>
      </x:c>
      <x:c r="B560" s="14" t="str">
        <x:v>Tuân thủ, dữ liệu &amp; chuyển đổi số</x:v>
      </x:c>
      <x:c r="C560" s="14" t="str">
        <x:v>Hồ sơ điện tử, CSDL và ký số</x:v>
      </x:c>
      <x:c r="D560" s="14" t="str">
        <x:v>Rà soát an ninh mạng, bảo vệ dữ liệu cá nhân và bí mật nhà nước trong chia sẻ dữ liệu an toàn, sức khỏe, điều tra.</x:v>
      </x:c>
      <x:c r="E560" s="14" t="str">
        <x:v>Ban Kế hoạch doanh nghiệp - Chuyển đổi số; Ban Kỹ thuật - CNS/IT/Môi trường; Ban An toàn - Chất lượng</x:v>
      </x:c>
      <x:c r="F560" s="14" t="str">
        <x:v>P1</x:v>
      </x:c>
      <x:c r="G560" s="14" t="str">
        <x:v>31/12/2026</x:v>
      </x:c>
      <x:c r="H560" s="14" t="str">
        <x:v>Chưa bắt đầu</x:v>
      </x:c>
      <x:c r="I560" s="20" t="n">
        <x:f>IF(H560="Hoàn thành",100%,IF(H560="Không áp dụng",100%,IF(H560="Đang thực hiện",50%,IF(H560="Đang chờ phối hợp",25%,0%))))</x:f>
        <x:v>0</x:v>
      </x:c>
      <x:c r="J560" s="58" t="str"/>
      <x:c r="K560" s="14" t="str"/>
      <x:c r="L560" s="14" t="str"/>
      <x:c r="M560" s="14" t="str"/>
      <x:c r="N560" s="14" t="str"/>
      <x:c r="O560" s="14" t="str"/>
      <x:c r="P560" s="58" t="str"/>
      <x:c r="Q560" s="14" t="str"/>
    </x:row>
    <x:row r="561">
      <x:c r="A561" s="14" t="str">
        <x:v>VATM-0560</x:v>
      </x:c>
      <x:c r="B561" s="14" t="str">
        <x:v>Tuân thủ, dữ liệu &amp; chuyển đổi số</x:v>
      </x:c>
      <x:c r="C561" s="14" t="str">
        <x:v>Hồ sơ điện tử, CSDL và ký số</x:v>
      </x:c>
      <x:c r="D561" s="14" t="str">
        <x:v>Lập phương án dự phòng, duy trì hoạt động liên tục cho hệ thống báo cáo/ dữ liệu an toàn của VATM.</x:v>
      </x:c>
      <x:c r="E561" s="14" t="str">
        <x:v>Ban Kế hoạch doanh nghiệp - Chuyển đổi số; Ban Kỹ thuật - CNS/IT/Môi trường</x:v>
      </x:c>
      <x:c r="F561" s="14" t="str">
        <x:v>P2</x:v>
      </x:c>
      <x:c r="G561" s="14" t="str">
        <x:v>30/06/2027</x:v>
      </x:c>
      <x:c r="H561" s="14" t="str">
        <x:v>Chưa bắt đầu</x:v>
      </x:c>
      <x:c r="I561" s="20" t="n">
        <x:f>IF(H561="Hoàn thành",100%,IF(H561="Không áp dụng",100%,IF(H561="Đang thực hiện",50%,IF(H561="Đang chờ phối hợp",25%,0%))))</x:f>
        <x:v>0</x:v>
      </x:c>
      <x:c r="J561" s="58" t="str"/>
      <x:c r="K561" s="14" t="str"/>
      <x:c r="L561" s="14" t="str"/>
      <x:c r="M561" s="14" t="str"/>
      <x:c r="N561" s="14" t="str"/>
      <x:c r="O561" s="14" t="str"/>
      <x:c r="P561" s="58" t="str"/>
      <x:c r="Q561" s="14" t="str"/>
    </x:row>
    <x:row r="562">
      <x:c r="A562" s="14" t="str">
        <x:v>VATM-0561</x:v>
      </x:c>
      <x:c r="B562" s="14" t="str">
        <x:v>Tài chính - Kế hoạch đầu tư</x:v>
      </x:c>
      <x:c r="C562" s="14" t="str">
        <x:v>Phí, thanh toán, hợp đồng và billing</x:v>
      </x:c>
      <x:c r="D562" s="14" t="str">
        <x:v>Rà soát VATM có thuộc người nộp phí nhượng quyền khai thác cảng hàng không/sân bay cung cấp BĐHĐB theo mô hình khai thác thực tế hay không.</x:v>
      </x:c>
      <x:c r="E562" s="14" t="str">
        <x:v>Ban Tài chính</x:v>
      </x:c>
      <x:c r="F562" s="14" t="str">
        <x:v>P2</x:v>
      </x:c>
      <x:c r="G562" s="14" t="str">
        <x:v>30/09/2026</x:v>
      </x:c>
      <x:c r="H562" s="14" t="str">
        <x:v>Chưa bắt đầu</x:v>
      </x:c>
      <x:c r="I562" s="20" t="n">
        <x:f>IF(H562="Hoàn thành",100%,IF(H562="Không áp dụng",100%,IF(H562="Đang thực hiện",50%,IF(H562="Đang chờ phối hợp",25%,0%))))</x:f>
        <x:v>0</x:v>
      </x:c>
      <x:c r="J562" s="58" t="str"/>
      <x:c r="K562" s="14" t="str"/>
      <x:c r="L562" s="14" t="str"/>
      <x:c r="M562" s="14" t="str"/>
      <x:c r="N562" s="14" t="str"/>
      <x:c r="O562" s="14" t="str"/>
      <x:c r="P562" s="58" t="str"/>
      <x:c r="Q562" s="14" t="str"/>
    </x:row>
    <x:row r="563">
      <x:c r="A563" s="14" t="str">
        <x:v>VATM-0562</x:v>
      </x:c>
      <x:c r="B563" s="14" t="str">
        <x:v>Tài chính - Kế hoạch đầu tư</x:v>
      </x:c>
      <x:c r="C563" s="14" t="str">
        <x:v>Phí, thanh toán, hợp đồng và billing</x:v>
      </x:c>
      <x:c r="D563" s="14" t="str">
        <x:v>Theo dõi nguồn phí để lại cho NCTHK/Cảng vụ có thể làm tăng yêu cầu giám sát, hệ thống dữ liệu và hồ sơ tuân thủ VATM.</x:v>
      </x:c>
      <x:c r="E563" s="14" t="str">
        <x:v>Ban Tài chính; Ban Kế hoạch - Đầu tư</x:v>
      </x:c>
      <x:c r="F563" s="14" t="str">
        <x:v>P3</x:v>
      </x:c>
      <x:c r="G563" s="14" t="str">
        <x:v>31/12/2026</x:v>
      </x:c>
      <x:c r="H563" s="14" t="str">
        <x:v>Chưa bắt đầu</x:v>
      </x:c>
      <x:c r="I563" s="20" t="n">
        <x:f>IF(H563="Hoàn thành",100%,IF(H563="Không áp dụng",100%,IF(H563="Đang thực hiện",50%,IF(H563="Đang chờ phối hợp",25%,0%))))</x:f>
        <x:v>0</x:v>
      </x:c>
      <x:c r="J563" s="58" t="str"/>
      <x:c r="K563" s="14" t="str"/>
      <x:c r="L563" s="14" t="str"/>
      <x:c r="M563" s="14" t="str"/>
      <x:c r="N563" s="14" t="str"/>
      <x:c r="O563" s="14" t="str"/>
      <x:c r="P563" s="58" t="str"/>
      <x:c r="Q563" s="14" t="str"/>
    </x:row>
    <x:row r="564">
      <x:c r="A564" s="14" t="str">
        <x:v>VATM-0563</x:v>
      </x:c>
      <x:c r="B564" s="14" t="str">
        <x:v>Tuân thủ, pháp chế &amp; quản trị</x:v>
      </x:c>
      <x:c r="C564" s="14" t="str">
        <x:v>Quản trị triển khai, RACI và báo cáo</x:v>
      </x:c>
      <x:c r="D564" s="14" t="str">
        <x:v>Đồng bộ nghĩa vụ trong NĐ NCTHK với NĐ hoạt động bay về doanh nghiệp BĐHĐB/ANSP cung cấp ATM, CNS, MET, AIS, SAR.</x:v>
      </x:c>
      <x:c r="E564" s="14" t="str">
        <x:v>Văn phòng - Pháp chế</x:v>
      </x:c>
      <x:c r="F564" s="14" t="str">
        <x:v>P1</x:v>
      </x:c>
      <x:c r="G564" s="14" t="str">
        <x:v>30/09/2026</x:v>
      </x:c>
      <x:c r="H564" s="14" t="str">
        <x:v>Chưa bắt đầu</x:v>
      </x:c>
      <x:c r="I564" s="20" t="n">
        <x:f>IF(H564="Hoàn thành",100%,IF(H564="Không áp dụng",100%,IF(H564="Đang thực hiện",50%,IF(H564="Đang chờ phối hợp",25%,0%))))</x:f>
        <x:v>0</x:v>
      </x:c>
      <x:c r="J564" s="58" t="str"/>
      <x:c r="K564" s="14" t="str"/>
      <x:c r="L564" s="14" t="str"/>
      <x:c r="M564" s="14" t="str"/>
      <x:c r="N564" s="14" t="str"/>
      <x:c r="O564" s="14" t="str"/>
      <x:c r="P564" s="58" t="str"/>
      <x:c r="Q564" s="14" t="str"/>
    </x:row>
    <x:row r="565">
      <x:c r="A565" s="14" t="str">
        <x:v>VATM-0564</x:v>
      </x:c>
      <x:c r="B565" s="14" t="str">
        <x:v>Tuân thủ, pháp chế &amp; quản trị</x:v>
      </x:c>
      <x:c r="C565" s="14" t="str">
        <x:v>Quản trị triển khai, RACI và báo cáo</x:v>
      </x:c>
      <x:c r="D565" s="14" t="str">
        <x:v>Đồng bộ quy trình phối hợp dân dụng-quân sự, sử dụng vùng trời linh hoạt, chia sẻ dữ liệu giám sát/kế hoạch bay.</x:v>
      </x:c>
      <x:c r="E565" s="14" t="str">
        <x:v>Văn phòng - Pháp chế; Ban Không lưu; Trung tâm Quản lý luồng không lưu</x:v>
      </x:c>
      <x:c r="F565" s="14" t="str">
        <x:v>P2</x:v>
      </x:c>
      <x:c r="G565" s="14" t="str">
        <x:v>30/06/2027</x:v>
      </x:c>
      <x:c r="H565" s="14" t="str">
        <x:v>Chưa bắt đầu</x:v>
      </x:c>
      <x:c r="I565" s="20" t="n">
        <x:f>IF(H565="Hoàn thành",100%,IF(H565="Không áp dụng",100%,IF(H565="Đang thực hiện",50%,IF(H565="Đang chờ phối hợp",25%,0%))))</x:f>
        <x:v>0</x:v>
      </x:c>
      <x:c r="J565" s="58" t="str"/>
      <x:c r="K565" s="14" t="str"/>
      <x:c r="L565" s="14" t="str"/>
      <x:c r="M565" s="14" t="str"/>
      <x:c r="N565" s="14" t="str"/>
      <x:c r="O565" s="14" t="str"/>
      <x:c r="P565" s="58" t="str"/>
      <x:c r="Q565" s="14" t="str"/>
    </x:row>
    <x:row r="566">
      <x:c r="A566" s="14" t="str">
        <x:v>VATM-0565</x:v>
      </x:c>
      <x:c r="B566" s="14" t="str">
        <x:v>Tuân thủ, pháp chế &amp; quản trị</x:v>
      </x:c>
      <x:c r="C566" s="14" t="str">
        <x:v>Quản trị triển khai, RACI và báo cáo</x:v>
      </x:c>
      <x:c r="D566" s="14" t="str">
        <x:v>Đồng bộ quản lý dữ liệu/tin tức hàng không, thỏa thuận người khởi tạo dữ liệu và QMS AIS/AIM.</x:v>
      </x:c>
      <x:c r="E566" s="14" t="str">
        <x:v>Văn phòng - Pháp chế; Trung tâm Thông báo tin tức hàng không</x:v>
      </x:c>
      <x:c r="F566" s="14" t="str">
        <x:v>P1</x:v>
      </x:c>
      <x:c r="G566" s="14" t="str">
        <x:v>31/12/2026</x:v>
      </x:c>
      <x:c r="H566" s="14" t="str">
        <x:v>Chưa bắt đầu</x:v>
      </x:c>
      <x:c r="I566" s="20" t="n">
        <x:f>IF(H566="Hoàn thành",100%,IF(H566="Không áp dụng",100%,IF(H566="Đang thực hiện",50%,IF(H566="Đang chờ phối hợp",25%,0%))))</x:f>
        <x:v>0</x:v>
      </x:c>
      <x:c r="J566" s="58" t="str"/>
      <x:c r="K566" s="14" t="str"/>
      <x:c r="L566" s="14" t="str"/>
      <x:c r="M566" s="14" t="str"/>
      <x:c r="N566" s="14" t="str"/>
      <x:c r="O566" s="14" t="str"/>
      <x:c r="P566" s="58" t="str"/>
      <x:c r="Q566" s="14" t="str"/>
    </x:row>
    <x:row r="567">
      <x:c r="A567" s="14" t="str">
        <x:v>VATM-0566</x:v>
      </x:c>
      <x:c r="B567" s="14" t="str">
        <x:v>Tuân thủ, pháp chế &amp; quản trị</x:v>
      </x:c>
      <x:c r="C567" s="14" t="str">
        <x:v>Quản trị triển khai, RACI và báo cáo</x:v>
      </x:c>
      <x:c r="D567" s="14" t="str">
        <x:v>Đồng bộ dịch vụ khí tượng hàng không và dữ liệu MET trong báo cáo an toàn/điều tra.</x:v>
      </x:c>
      <x:c r="E567" s="14" t="str">
        <x:v>Văn phòng - Pháp chế; Trung tâm Khí tượng hàng không</x:v>
      </x:c>
      <x:c r="F567" s="14" t="str">
        <x:v>P2</x:v>
      </x:c>
      <x:c r="G567" s="14" t="str">
        <x:v>31/12/2026</x:v>
      </x:c>
      <x:c r="H567" s="14" t="str">
        <x:v>Chưa bắt đầu</x:v>
      </x:c>
      <x:c r="I567" s="20" t="n">
        <x:f>IF(H567="Hoàn thành",100%,IF(H567="Không áp dụng",100%,IF(H567="Đang thực hiện",50%,IF(H567="Đang chờ phối hợp",25%,0%))))</x:f>
        <x:v>0</x:v>
      </x:c>
      <x:c r="J567" s="58" t="str"/>
      <x:c r="K567" s="14" t="str"/>
      <x:c r="L567" s="14" t="str"/>
      <x:c r="M567" s="14" t="str"/>
      <x:c r="N567" s="14" t="str"/>
      <x:c r="O567" s="14" t="str"/>
      <x:c r="P567" s="58" t="str"/>
      <x:c r="Q567" s="14" t="str"/>
    </x:row>
    <x:row r="568">
      <x:c r="A568" s="14" t="str">
        <x:v>VATM-0567</x:v>
      </x:c>
      <x:c r="B568" s="14" t="str">
        <x:v>Tuân thủ, pháp chế &amp; quản trị</x:v>
      </x:c>
      <x:c r="C568" s="14" t="str">
        <x:v>Quản trị triển khai, RACI và báo cáo</x:v>
      </x:c>
      <x:c r="D568" s="14" t="str">
        <x:v>Đồng bộ cấp phép/khai thác hệ thống CNS và dữ liệu CNS liên quan sự cố.</x:v>
      </x:c>
      <x:c r="E568" s="14" t="str">
        <x:v>Văn phòng - Pháp chế; Ban Kỹ thuật - CNS/IT/Môi trường</x:v>
      </x:c>
      <x:c r="F568" s="14" t="str">
        <x:v>P1</x:v>
      </x:c>
      <x:c r="G568" s="14" t="str">
        <x:v>31/12/2026</x:v>
      </x:c>
      <x:c r="H568" s="14" t="str">
        <x:v>Chưa bắt đầu</x:v>
      </x:c>
      <x:c r="I568" s="20" t="n">
        <x:f>IF(H568="Hoàn thành",100%,IF(H568="Không áp dụng",100%,IF(H568="Đang thực hiện",50%,IF(H568="Đang chờ phối hợp",25%,0%))))</x:f>
        <x:v>0</x:v>
      </x:c>
      <x:c r="J568" s="58" t="str"/>
      <x:c r="K568" s="14" t="str"/>
      <x:c r="L568" s="14" t="str"/>
      <x:c r="M568" s="14" t="str"/>
      <x:c r="N568" s="14" t="str"/>
      <x:c r="O568" s="14" t="str"/>
      <x:c r="P568" s="58" t="str"/>
      <x:c r="Q568" s="14" t="str"/>
    </x:row>
    <x:row r="569">
      <x:c r="A569" s="14" t="str">
        <x:v>VATM-0568</x:v>
      </x:c>
      <x:c r="B569" s="14" t="str">
        <x:v>Tuân thủ, pháp chế &amp; quản trị</x:v>
      </x:c>
      <x:c r="C569" s="14" t="str">
        <x:v>Quản trị triển khai, RACI và báo cáo</x:v>
      </x:c>
      <x:c r="D569" s="14" t="str">
        <x:v>Đồng bộ dịch vụ SAR của VATM với yêu cầu NĐ NCTHK về báo cáo, phối hợp điều tra và dữ liệu an toàn.</x:v>
      </x:c>
      <x:c r="E569" s="14" t="str">
        <x:v>Văn phòng - Pháp chế; Ban Không lưu; Trung tâm Tìm kiếm cứu nạn hàng không</x:v>
      </x:c>
      <x:c r="F569" s="14" t="str">
        <x:v>P2</x:v>
      </x:c>
      <x:c r="G569" s="14" t="str">
        <x:v>30/06/2027</x:v>
      </x:c>
      <x:c r="H569" s="14" t="str">
        <x:v>Chưa bắt đầu</x:v>
      </x:c>
      <x:c r="I569" s="20" t="n">
        <x:f>IF(H569="Hoàn thành",100%,IF(H569="Không áp dụng",100%,IF(H569="Đang thực hiện",50%,IF(H569="Đang chờ phối hợp",25%,0%))))</x:f>
        <x:v>0</x:v>
      </x:c>
      <x:c r="J569" s="58" t="str"/>
      <x:c r="K569" s="14" t="str"/>
      <x:c r="L569" s="14" t="str"/>
      <x:c r="M569" s="14" t="str"/>
      <x:c r="N569" s="14" t="str"/>
      <x:c r="O569" s="14" t="str"/>
      <x:c r="P569" s="58" t="str"/>
      <x:c r="Q569" s="14" t="str"/>
    </x:row>
    <x:row r="570">
      <x:c r="A570" s="14" t="str">
        <x:v>VATM-0569</x:v>
      </x:c>
      <x:c r="B570" s="14" t="str">
        <x:v>Tuân thủ, pháp chế &amp; quản trị</x:v>
      </x:c>
      <x:c r="C570" s="14" t="str">
        <x:v>Quản trị triển khai, RACI và báo cáo</x:v>
      </x:c>
      <x:c r="D570" s="14" t="str">
        <x:v>Lập bảng mốc chuyển tiếp và cơ chế kiểm soát đến 30/06/2028.</x:v>
      </x:c>
      <x:c r="E570" s="14" t="str">
        <x:v>Văn phòng - Pháp chế</x:v>
      </x:c>
      <x:c r="F570" s="14" t="str">
        <x:v>P1</x:v>
      </x:c>
      <x:c r="G570" s="14" t="str">
        <x:v>01/07/2026</x:v>
      </x:c>
      <x:c r="H570" s="14" t="str">
        <x:v>Chưa bắt đầu</x:v>
      </x:c>
      <x:c r="I570" s="20" t="n">
        <x:f>IF(H570="Hoàn thành",100%,IF(H570="Không áp dụng",100%,IF(H570="Đang thực hiện",50%,IF(H570="Đang chờ phối hợp",25%,0%))))</x:f>
        <x:v>0</x:v>
      </x:c>
      <x:c r="J570" s="58" t="str"/>
      <x:c r="K570" s="14" t="str"/>
      <x:c r="L570" s="14" t="str"/>
      <x:c r="M570" s="14" t="str"/>
      <x:c r="N570" s="14" t="str"/>
      <x:c r="O570" s="14" t="str"/>
      <x:c r="P570" s="58" t="str"/>
      <x:c r="Q570" s="14" t="str"/>
    </x:row>
    <x:row r="571">
      <x:c r="A571" s="14" t="str">
        <x:v>VATM-0570</x:v>
      </x:c>
      <x:c r="B571" s="14" t="str">
        <x:v>Tuân thủ, pháp chế &amp; quản trị</x:v>
      </x:c>
      <x:c r="C571" s="14" t="str">
        <x:v>Quản trị triển khai, RACI và báo cáo</x:v>
      </x:c>
      <x:c r="D571" s="14" t="str">
        <x:v>Duy trì hiệu lực tài liệu SMS đã được phê chuẩn trước 01/07/2026 trong thời gian chuyển tiếp nhưng triển khai bản sửa đổi theo dự thảo.</x:v>
      </x:c>
      <x:c r="E571" s="14" t="str">
        <x:v>Văn phòng - Pháp chế; Ban An toàn - Chất lượng</x:v>
      </x:c>
      <x:c r="F571" s="14" t="str">
        <x:v>P1</x:v>
      </x:c>
      <x:c r="G571" s="14" t="str">
        <x:v>30/06/2027</x:v>
      </x:c>
      <x:c r="H571" s="14" t="str">
        <x:v>Chưa bắt đầu</x:v>
      </x:c>
      <x:c r="I571" s="20" t="n">
        <x:f>IF(H571="Hoàn thành",100%,IF(H571="Không áp dụng",100%,IF(H571="Đang thực hiện",50%,IF(H571="Đang chờ phối hợp",25%,0%))))</x:f>
        <x:v>0</x:v>
      </x:c>
      <x:c r="J571" s="58" t="str"/>
      <x:c r="K571" s="14" t="str"/>
      <x:c r="L571" s="14" t="str"/>
      <x:c r="M571" s="14" t="str"/>
      <x:c r="N571" s="14" t="str"/>
      <x:c r="O571" s="14" t="str"/>
      <x:c r="P571" s="58" t="str"/>
      <x:c r="Q571" s="14" t="str"/>
    </x:row>
    <x:row r="572">
      <x:c r="A572" s="14" t="str">
        <x:v>VATM-0571</x:v>
      </x:c>
      <x:c r="B572" s="14" t="str">
        <x:v>Tuân thủ, pháp chế &amp; quản trị</x:v>
      </x:c>
      <x:c r="C572" s="14" t="str">
        <x:v>Quản trị triển khai, RACI và báo cáo</x:v>
      </x:c>
      <x:c r="D572" s="14" t="str">
        <x:v>Rà soát GCN cơ sở đào tạo đã cấp trước 01/07/2026 và kế hoạch duy trì đến 30/06/2027.</x:v>
      </x:c>
      <x:c r="E572" s="14" t="str">
        <x:v>Văn phòng - Pháp chế</x:v>
      </x:c>
      <x:c r="F572" s="14" t="str">
        <x:v>P1</x:v>
      </x:c>
      <x:c r="G572" s="14" t="str">
        <x:v>31/12/2026</x:v>
      </x:c>
      <x:c r="H572" s="14" t="str">
        <x:v>Chưa bắt đầu</x:v>
      </x:c>
      <x:c r="I572" s="20" t="n">
        <x:f>IF(H572="Hoàn thành",100%,IF(H572="Không áp dụng",100%,IF(H572="Đang thực hiện",50%,IF(H572="Đang chờ phối hợp",25%,0%))))</x:f>
        <x:v>0</x:v>
      </x:c>
      <x:c r="J572" s="58" t="str"/>
      <x:c r="K572" s="14" t="str"/>
      <x:c r="L572" s="14" t="str"/>
      <x:c r="M572" s="14" t="str"/>
      <x:c r="N572" s="14" t="str"/>
      <x:c r="O572" s="14" t="str"/>
      <x:c r="P572" s="58" t="str"/>
      <x:c r="Q572" s="14" t="str"/>
    </x:row>
    <x:row r="573">
      <x:c r="A573" s="14" t="str">
        <x:v>VATM-0572</x:v>
      </x:c>
      <x:c r="B573" s="14" t="str">
        <x:v>Tuân thủ, pháp chế &amp; quản trị</x:v>
      </x:c>
      <x:c r="C573" s="14" t="str">
        <x:v>Quản trị triển khai, RACI và báo cáo</x:v>
      </x:c>
      <x:c r="D573" s="14" t="str">
        <x:v>Tổ chức truyền thông nội bộ về các thay đổi từ 01/07/2026 cho lãnh đạo, giám sát ca, nhân viên ANS, HR, đào tạo, CNTT.</x:v>
      </x:c>
      <x:c r="E573" s="14" t="str">
        <x:v>Văn phòng - Pháp chế; Ban An toàn - Chất lượng</x:v>
      </x:c>
      <x:c r="F573" s="14" t="str">
        <x:v>P2</x:v>
      </x:c>
      <x:c r="G573" s="14" t="str">
        <x:v>30/09/2026</x:v>
      </x:c>
      <x:c r="H573" s="14" t="str">
        <x:v>Chưa bắt đầu</x:v>
      </x:c>
      <x:c r="I573" s="20" t="n">
        <x:f>IF(H573="Hoàn thành",100%,IF(H573="Không áp dụng",100%,IF(H573="Đang thực hiện",50%,IF(H573="Đang chờ phối hợp",25%,0%))))</x:f>
        <x:v>0</x:v>
      </x:c>
      <x:c r="J573" s="58" t="str"/>
      <x:c r="K573" s="14" t="str"/>
      <x:c r="L573" s="14" t="str"/>
      <x:c r="M573" s="14" t="str"/>
      <x:c r="N573" s="14" t="str"/>
      <x:c r="O573" s="14" t="str"/>
      <x:c r="P573" s="58" t="str"/>
      <x:c r="Q573" s="14" t="str"/>
    </x:row>
    <x:row r="574">
      <x:c r="A574" s="14" t="str">
        <x:v>VATM-0573</x:v>
      </x:c>
      <x:c r="B574" s="14" t="str">
        <x:v>Tuân thủ, pháp chế &amp; quản trị</x:v>
      </x:c>
      <x:c r="C574" s="14" t="str">
        <x:v>Thanh tra, kiểm tra, audit tuân thủ</x:v>
      </x:c>
      <x:c r="D574" s="14" t="str">
        <x:v>Thiết lập chương trình kiểm toán nội bộ dựa trên rủi ro để tự đánh giá tuân thủ trước giám sát NCTHK.</x:v>
      </x:c>
      <x:c r="E574" s="14" t="str">
        <x:v>Văn phòng - Pháp chế; Ban An toàn - Chất lượng</x:v>
      </x:c>
      <x:c r="F574" s="14" t="str">
        <x:v>P2</x:v>
      </x:c>
      <x:c r="G574" s="14" t="str">
        <x:v>31/12/2026</x:v>
      </x:c>
      <x:c r="H574" s="14" t="str">
        <x:v>Chưa bắt đầu</x:v>
      </x:c>
      <x:c r="I574" s="20" t="n">
        <x:f>IF(H574="Hoàn thành",100%,IF(H574="Không áp dụng",100%,IF(H574="Đang thực hiện",50%,IF(H574="Đang chờ phối hợp",25%,0%))))</x:f>
        <x:v>0</x:v>
      </x:c>
      <x:c r="J574" s="58" t="str"/>
      <x:c r="K574" s="14" t="str"/>
      <x:c r="L574" s="14" t="str"/>
      <x:c r="M574" s="14" t="str"/>
      <x:c r="N574" s="14" t="str"/>
      <x:c r="O574" s="14" t="str"/>
      <x:c r="P574" s="58" t="str"/>
      <x:c r="Q574" s="14" t="str"/>
    </x:row>
    <x:row r="575">
      <x:c r="A575" s="14" t="str">
        <x:v>VATM-0574</x:v>
      </x:c>
      <x:c r="B575" s="14" t="str">
        <x:v>Tuân thủ, pháp chế &amp; quản trị</x:v>
      </x:c>
      <x:c r="C575" s="14" t="str">
        <x:v>Thanh tra, kiểm tra, audit tuân thủ</x:v>
      </x:c>
      <x:c r="D575" s="14" t="str">
        <x:v>Tổ chức diễn tập tabletop về một sự cố nghiêm trọng liên quan ATS để kiểm tra báo cáo, bảo quản dữ liệu, phối hợp điều tra.</x:v>
      </x:c>
      <x:c r="E575" s="14" t="str">
        <x:v>Văn phòng - Pháp chế; Ban An toàn - Chất lượng</x:v>
      </x:c>
      <x:c r="F575" s="14" t="str">
        <x:v>P1</x:v>
      </x:c>
      <x:c r="G575" s="14" t="str">
        <x:v>30/06/2027</x:v>
      </x:c>
      <x:c r="H575" s="14" t="str">
        <x:v>Chưa bắt đầu</x:v>
      </x:c>
      <x:c r="I575" s="20" t="n">
        <x:f>IF(H575="Hoàn thành",100%,IF(H575="Không áp dụng",100%,IF(H575="Đang thực hiện",50%,IF(H575="Đang chờ phối hợp",25%,0%))))</x:f>
        <x:v>0</x:v>
      </x:c>
      <x:c r="J575" s="58" t="str"/>
      <x:c r="K575" s="14" t="str"/>
      <x:c r="L575" s="14" t="str"/>
      <x:c r="M575" s="14" t="str"/>
      <x:c r="N575" s="14" t="str"/>
      <x:c r="O575" s="14" t="str"/>
      <x:c r="P575" s="58" t="str"/>
      <x:c r="Q575" s="14" t="str"/>
    </x:row>
    <x:row r="576">
      <x:c r="A576" s="14" t="str">
        <x:v>VATM-0575</x:v>
      </x:c>
      <x:c r="B576" s="14" t="str">
        <x:v>Tuân thủ, pháp chế &amp; quản trị</x:v>
      </x:c>
      <x:c r="C576" s="14" t="str">
        <x:v>Quản trị triển khai, RACI và báo cáo</x:v>
      </x:c>
      <x:c r="D576" s="14" t="str">
        <x:v>Cập nhật danh mục tài liệu nội bộ cần sửa: SMS Manual, Safety Reporting, Occurrence Investigation, Data Governance, Licensing, Training, Fatigue, Discipline, Investigation Support.</x:v>
      </x:c>
      <x:c r="E576" s="14" t="str">
        <x:v>Văn phòng - Pháp chế; Ban An toàn - Chất lượng</x:v>
      </x:c>
      <x:c r="F576" s="14" t="str">
        <x:v>P1</x:v>
      </x:c>
      <x:c r="G576" s="14" t="str">
        <x:v>30/09/2026</x:v>
      </x:c>
      <x:c r="H576" s="14" t="str">
        <x:v>Chưa bắt đầu</x:v>
      </x:c>
      <x:c r="I576" s="20" t="n">
        <x:f>IF(H576="Hoàn thành",100%,IF(H576="Không áp dụng",100%,IF(H576="Đang thực hiện",50%,IF(H576="Đang chờ phối hợp",25%,0%))))</x:f>
        <x:v>0</x:v>
      </x:c>
      <x:c r="J576" s="58" t="str"/>
      <x:c r="K576" s="14" t="str"/>
      <x:c r="L576" s="14" t="str"/>
      <x:c r="M576" s="14" t="str"/>
      <x:c r="N576" s="14" t="str"/>
      <x:c r="O576" s="14" t="str"/>
      <x:c r="P576" s="58" t="str"/>
      <x:c r="Q576" s="14" t="str"/>
    </x:row>
    <x:row r="577">
      <x:c r="A577" s="14" t="str">
        <x:v>VATM-0576</x:v>
      </x:c>
      <x:c r="B577" s="14" t="str">
        <x:v>Tuân thủ, pháp chế &amp; quản trị</x:v>
      </x:c>
      <x:c r="C577" s="14" t="str">
        <x:v>Quản trị triển khai, RACI và báo cáo</x:v>
      </x:c>
      <x:c r="D577" s="14" t="str">
        <x:v>Ban hành quy định nội bộ không sử dụng miễn trừ thay cho khắc phục không tuân thủ dài hạn.</x:v>
      </x:c>
      <x:c r="E577" s="14" t="str">
        <x:v>Văn phòng - Pháp chế; Ban An toàn - Chất lượng</x:v>
      </x:c>
      <x:c r="F577" s="14" t="str">
        <x:v>P2</x:v>
      </x:c>
      <x:c r="G577" s="14" t="str">
        <x:v>30/09/2026</x:v>
      </x:c>
      <x:c r="H577" s="14" t="str">
        <x:v>Chưa bắt đầu</x:v>
      </x:c>
      <x:c r="I577" s="20" t="n">
        <x:f>IF(H577="Hoàn thành",100%,IF(H577="Không áp dụng",100%,IF(H577="Đang thực hiện",50%,IF(H577="Đang chờ phối hợp",25%,0%))))</x:f>
        <x:v>0</x:v>
      </x:c>
      <x:c r="J577" s="58" t="str"/>
      <x:c r="K577" s="14" t="str"/>
      <x:c r="L577" s="14" t="str"/>
      <x:c r="M577" s="14" t="str"/>
      <x:c r="N577" s="14" t="str"/>
      <x:c r="O577" s="14" t="str"/>
      <x:c r="P577" s="58" t="str"/>
      <x:c r="Q577" s="14" t="str"/>
    </x:row>
    <x:row r="578">
      <x:c r="A578" s="14" t="str">
        <x:v>VATM-0577</x:v>
      </x:c>
      <x:c r="B578" s="14" t="str">
        <x:v>Tuân thủ, pháp chế &amp; quản trị</x:v>
      </x:c>
      <x:c r="C578" s="14" t="str">
        <x:v>Quản trị triển khai, RACI và báo cáo</x:v>
      </x:c>
      <x:c r="D578" s="14" t="str">
        <x:v>Thiết lập báo cáo lãnh đạo hàng tháng về tiến độ triển khai, rủi ro pháp lý và các P1 quá hạn.</x:v>
      </x:c>
      <x:c r="E578" s="14" t="str">
        <x:v>Văn phòng - Pháp chế</x:v>
      </x:c>
      <x:c r="F578" s="14" t="str">
        <x:v>P1</x:v>
      </x:c>
      <x:c r="G578" s="14" t="str">
        <x:v>Từ 08/2026</x:v>
      </x:c>
      <x:c r="H578" s="14" t="str">
        <x:v>Chưa bắt đầu</x:v>
      </x:c>
      <x:c r="I578" s="20" t="n">
        <x:f>IF(H578="Hoàn thành",100%,IF(H578="Không áp dụng",100%,IF(H578="Đang thực hiện",50%,IF(H578="Đang chờ phối hợp",25%,0%))))</x:f>
        <x:v>0</x:v>
      </x:c>
      <x:c r="J578" s="58" t="str"/>
      <x:c r="K578" s="14" t="str"/>
      <x:c r="L578" s="14" t="str"/>
      <x:c r="M578" s="14" t="str"/>
      <x:c r="N578" s="14" t="str"/>
      <x:c r="O578" s="14" t="str"/>
      <x:c r="P578" s="58" t="str"/>
      <x:c r="Q578" s="14" t="str"/>
    </x:row>
    <x:row r="579">
      <x:c r="A579" s="14" t="str">
        <x:v>VATM-0578</x:v>
      </x:c>
      <x:c r="B579" s="14" t="str">
        <x:v>An toàn hàng không / SMS</x:v>
      </x:c>
      <x:c r="C579" s="14" t="str">
        <x:v>Quản lý rủi ro và thay đổi</x:v>
      </x:c>
      <x:c r="D579" s="14" t="str">
        <x:v>Kiến nghị/ghi chú cơ quan soạn thảo về việc rà soát các NĐ sửa đổi NĐ 92/2016 mới hơn 15/2024 nếu chưa được liệt kê.</x:v>
      </x:c>
      <x:c r="E579" s="14" t="str">
        <x:v>Ban An toàn - Chất lượng; Văn phòng - Pháp chế</x:v>
      </x:c>
      <x:c r="F579" s="14" t="str">
        <x:v>P1</x:v>
      </x:c>
      <x:c r="G579" s="14" t="str">
        <x:v>30/06/2026</x:v>
      </x:c>
      <x:c r="H579" s="14" t="str">
        <x:v>Chưa bắt đầu</x:v>
      </x:c>
      <x:c r="I579" s="20" t="n">
        <x:f>IF(H579="Hoàn thành",100%,IF(H579="Không áp dụng",100%,IF(H579="Đang thực hiện",50%,IF(H579="Đang chờ phối hợp",25%,0%))))</x:f>
        <x:v>0</x:v>
      </x:c>
      <x:c r="J579" s="58" t="str"/>
      <x:c r="K579" s="14" t="str"/>
      <x:c r="L579" s="14" t="str"/>
      <x:c r="M579" s="14" t="str"/>
      <x:c r="N579" s="14" t="str"/>
      <x:c r="O579" s="14" t="str"/>
      <x:c r="P579" s="58" t="str"/>
      <x:c r="Q579" s="14" t="str"/>
    </x:row>
    <x:row r="580">
      <x:c r="A580" s="14" t="str">
        <x:v>VATM-0579</x:v>
      </x:c>
      <x:c r="B580" s="14" t="str">
        <x:v>An toàn hàng không / SMS</x:v>
      </x:c>
      <x:c r="C580" s="14" t="str">
        <x:v>Quản lý rủi ro và thay đổi</x:v>
      </x:c>
      <x:c r="D580" s="14" t="str">
        <x:v>Làm rõ nghĩa vụ phí nhượng quyền của đơn vị cung cấp BĐHĐB đối với hạ tầng tại cảng/sân bay để tránh hiểu khác nhau.</x:v>
      </x:c>
      <x:c r="E580" s="14" t="str">
        <x:v>Ban An toàn - Chất lượng; Văn phòng - Pháp chế; Ban Tài chính</x:v>
      </x:c>
      <x:c r="F580" s="14" t="str">
        <x:v>P2</x:v>
      </x:c>
      <x:c r="G580" s="14" t="str">
        <x:v>30/09/2026</x:v>
      </x:c>
      <x:c r="H580" s="14" t="str">
        <x:v>Chưa bắt đầu</x:v>
      </x:c>
      <x:c r="I580" s="20" t="n">
        <x:f>IF(H580="Hoàn thành",100%,IF(H580="Không áp dụng",100%,IF(H580="Đang thực hiện",50%,IF(H580="Đang chờ phối hợp",25%,0%))))</x:f>
        <x:v>0</x:v>
      </x:c>
      <x:c r="J580" s="58" t="str"/>
      <x:c r="K580" s="14" t="str"/>
      <x:c r="L580" s="14" t="str"/>
      <x:c r="M580" s="14" t="str"/>
      <x:c r="N580" s="14" t="str"/>
      <x:c r="O580" s="14" t="str"/>
      <x:c r="P580" s="58" t="str"/>
      <x:c r="Q580" s="14" t="str"/>
    </x:row>
    <x:row r="581">
      <x:c r="A581" s="14" t="str">
        <x:v>VATM-0580</x:v>
      </x:c>
      <x:c r="B581" s="14" t="str">
        <x:v>An toàn hàng không / SMS</x:v>
      </x:c>
      <x:c r="C581" s="14" t="str">
        <x:v>Quản lý rủi ro và thay đổi</x:v>
      </x:c>
      <x:c r="D581" s="14" t="str">
        <x:v>Rà soát quy định tạm đình chỉ ngay với Bộ luật Lao động và quy chế nhân sự VATM.</x:v>
      </x:c>
      <x:c r="E581" s="14" t="str">
        <x:v>Ban An toàn - Chất lượng; Văn phòng - Pháp chế</x:v>
      </x:c>
      <x:c r="F581" s="14" t="str">
        <x:v>P1</x:v>
      </x:c>
      <x:c r="G581" s="14" t="str">
        <x:v>31/12/2026</x:v>
      </x:c>
      <x:c r="H581" s="14" t="str">
        <x:v>Chưa bắt đầu</x:v>
      </x:c>
      <x:c r="I581" s="20" t="n">
        <x:f>IF(H581="Hoàn thành",100%,IF(H581="Không áp dụng",100%,IF(H581="Đang thực hiện",50%,IF(H581="Đang chờ phối hợp",25%,0%))))</x:f>
        <x:v>0</x:v>
      </x:c>
      <x:c r="J581" s="58" t="str"/>
      <x:c r="K581" s="14" t="str"/>
      <x:c r="L581" s="14" t="str"/>
      <x:c r="M581" s="14" t="str"/>
      <x:c r="N581" s="14" t="str"/>
      <x:c r="O581" s="14" t="str"/>
      <x:c r="P581" s="58" t="str"/>
      <x:c r="Q581" s="14" t="str"/>
    </x:row>
    <x:row r="582">
      <x:c r="A582" s="14" t="str">
        <x:v>VATM-0581</x:v>
      </x:c>
      <x:c r="B582" s="14" t="str">
        <x:v>An toàn hàng không / SMS</x:v>
      </x:c>
      <x:c r="C582" s="14" t="str">
        <x:v>Quản lý rủi ro và thay đổi</x:v>
      </x:c>
      <x:c r="D582" s="14" t="str">
        <x:v>Rà soát việc sử dụng dữ liệu an toàn trong kỷ luật/lao động để bảo vệ văn hóa báo cáo và tuân thủ bảo vệ dữ liệu.</x:v>
      </x:c>
      <x:c r="E582" s="14" t="str">
        <x:v>Ban An toàn - Chất lượng; Văn phòng - Pháp chế</x:v>
      </x:c>
      <x:c r="F582" s="14" t="str">
        <x:v>P1</x:v>
      </x:c>
      <x:c r="G582" s="14" t="str">
        <x:v>31/12/2026</x:v>
      </x:c>
      <x:c r="H582" s="14" t="str">
        <x:v>Chưa bắt đầu</x:v>
      </x:c>
      <x:c r="I582" s="20" t="n">
        <x:f>IF(H582="Hoàn thành",100%,IF(H582="Không áp dụng",100%,IF(H582="Đang thực hiện",50%,IF(H582="Đang chờ phối hợp",25%,0%))))</x:f>
        <x:v>0</x:v>
      </x:c>
      <x:c r="J582" s="58" t="str"/>
      <x:c r="K582" s="14" t="str"/>
      <x:c r="L582" s="14" t="str"/>
      <x:c r="M582" s="14" t="str"/>
      <x:c r="N582" s="14" t="str"/>
      <x:c r="O582" s="14" t="str"/>
      <x:c r="P582" s="58" t="str"/>
      <x:c r="Q582" s="14" t="str"/>
    </x:row>
    <x:row r="583">
      <x:c r="A583" s="14" t="str">
        <x:v>VATM-0582</x:v>
      </x:c>
      <x:c r="B583" s="14" t="str">
        <x:v>An toàn hàng không / SMS</x:v>
      </x:c>
      <x:c r="C583" s="14" t="str">
        <x:v>Quản lý rủi ro và thay đổi</x:v>
      </x:c>
      <x:c r="D583" s="14" t="str">
        <x:v>Rà soát thời hạn lưu trữ dữ liệu ATS/ghi âm/giám sát theo các quy định hiện hành và nhu cầu điều tra lại.</x:v>
      </x:c>
      <x:c r="E583" s="14" t="str">
        <x:v>Ban An toàn - Chất lượng; Văn phòng - Pháp chế; Ban Kế hoạch doanh nghiệp - Chuyển đổi số; Ban Kỹ thuật - CNS/IT/Môi trường</x:v>
      </x:c>
      <x:c r="F583" s="14" t="str">
        <x:v>P2</x:v>
      </x:c>
      <x:c r="G583" s="14" t="str">
        <x:v>31/12/2026</x:v>
      </x:c>
      <x:c r="H583" s="14" t="str">
        <x:v>Chưa bắt đầu</x:v>
      </x:c>
      <x:c r="I583" s="20" t="n">
        <x:f>IF(H583="Hoàn thành",100%,IF(H583="Không áp dụng",100%,IF(H583="Đang thực hiện",50%,IF(H583="Đang chờ phối hợp",25%,0%))))</x:f>
        <x:v>0</x:v>
      </x:c>
      <x:c r="J583" s="58" t="str"/>
      <x:c r="K583" s="14" t="str"/>
      <x:c r="L583" s="14" t="str"/>
      <x:c r="M583" s="14" t="str"/>
      <x:c r="N583" s="14" t="str"/>
      <x:c r="O583" s="14" t="str"/>
      <x:c r="P583" s="58" t="str"/>
      <x:c r="Q583" s="14" t="str"/>
    </x:row>
    <x:row r="584">
      <x:c r="A584" s="14" t="str">
        <x:v>VATM-0583</x:v>
      </x:c>
      <x:c r="B584" s="14" t="str">
        <x:v>Tuân thủ, pháp chế &amp; quản trị</x:v>
      </x:c>
      <x:c r="C584" s="14" t="str">
        <x:v>Quản trị triển khai, RACI và báo cáo</x:v>
      </x:c>
      <x:c r="D584" s="14" t="str">
        <x:v>Thành lập tổ công tác triển khai Luật 130/2025 trong VATM, phân công chủ sở hữu nghĩa vụ theo từng điều/chương.</x:v>
      </x:c>
      <x:c r="E584" s="14" t="str">
        <x:v>Văn phòng - Pháp chế</x:v>
      </x:c>
      <x:c r="F584" s="14" t="str">
        <x:v>Rất cao</x:v>
      </x:c>
      <x:c r="G584" s="14" t="str">
        <x:v>Bắt đầu: 06/2026; Hoàn thành: 07/2026</x:v>
      </x:c>
      <x:c r="H584" s="14" t="str">
        <x:v>Đang thực hiện</x:v>
      </x:c>
      <x:c r="I584" s="20" t="n">
        <x:f>IF(H584="Hoàn thành",100%,IF(H584="Không áp dụng",100%,IF(H584="Đang thực hiện",50%,IF(H584="Đang chờ phối hợp",25%,0%))))</x:f>
        <x:v>0.5</x:v>
      </x:c>
      <x:c r="J584" s="58" t="str"/>
      <x:c r="K584" s="14" t="str"/>
      <x:c r="L584" s="14" t="str"/>
      <x:c r="M584" s="14" t="str"/>
      <x:c r="N584" s="14" t="str"/>
      <x:c r="O584" s="14" t="str"/>
      <x:c r="P584" s="58" t="str"/>
      <x:c r="Q584" s="14" t="str"/>
    </x:row>
    <x:row r="585">
      <x:c r="A585" s="14" t="str">
        <x:v>VATM-0584</x:v>
      </x:c>
      <x:c r="B585" s="14" t="str">
        <x:v>Tuân thủ, pháp chế &amp; quản trị</x:v>
      </x:c>
      <x:c r="C585" s="14" t="str">
        <x:v>Quản trị triển khai, RACI và báo cáo</x:v>
      </x:c>
      <x:c r="D585" s="14" t="str">
        <x:v>Rà soát văn bản nội bộ, quy chế, quy trình, điều lệ, tài liệu khai thác để xác định văn bản cần sửa/ban hành mới.</x:v>
      </x:c>
      <x:c r="E585" s="14" t="str">
        <x:v>Văn phòng - Pháp chế</x:v>
      </x:c>
      <x:c r="F585" s="14" t="str">
        <x:v>Rất cao</x:v>
      </x:c>
      <x:c r="G585" s="14" t="str">
        <x:v>Bắt đầu: 06/2026; Hoàn thành: 09/2026</x:v>
      </x:c>
      <x:c r="H585" s="14" t="str">
        <x:v>Đang thực hiện</x:v>
      </x:c>
      <x:c r="I585" s="20" t="n">
        <x:f>IF(H585="Hoàn thành",100%,IF(H585="Không áp dụng",100%,IF(H585="Đang thực hiện",50%,IF(H585="Đang chờ phối hợp",25%,0%))))</x:f>
        <x:v>0.5</x:v>
      </x:c>
      <x:c r="J585" s="58" t="str"/>
      <x:c r="K585" s="14" t="str"/>
      <x:c r="L585" s="14" t="str"/>
      <x:c r="M585" s="14" t="str"/>
      <x:c r="N585" s="14" t="str"/>
      <x:c r="O585" s="14" t="str"/>
      <x:c r="P585" s="58" t="str"/>
      <x:c r="Q585" s="14" t="str"/>
    </x:row>
    <x:row r="586">
      <x:c r="A586" s="14" t="str">
        <x:v>VATM-0585</x:v>
      </x:c>
      <x:c r="B586" s="14" t="str">
        <x:v>Tuân thủ, pháp chế &amp; quản trị</x:v>
      </x:c>
      <x:c r="C586" s="14" t="str">
        <x:v>Quản trị triển khai, RACI và báo cáo</x:v>
      </x:c>
      <x:c r="D586" s="14" t="str">
        <x:v>Theo dõi 06 Nghị định, 02 Thông tư/11 Thông tư trong chương trình triển khai; tham gia góp ý văn bản có ảnh hưởng đến VATM.</x:v>
      </x:c>
      <x:c r="E586" s="14" t="str">
        <x:v>Văn phòng - Pháp chế</x:v>
      </x:c>
      <x:c r="F586" s="14" t="str">
        <x:v>Rất cao</x:v>
      </x:c>
      <x:c r="G586" s="14" t="str">
        <x:v>Bắt đầu: 06/2026; Hoàn thành: 12/2026</x:v>
      </x:c>
      <x:c r="H586" s="14" t="str">
        <x:v>Đang thực hiện</x:v>
      </x:c>
      <x:c r="I586" s="20" t="n">
        <x:f>IF(H586="Hoàn thành",100%,IF(H586="Không áp dụng",100%,IF(H586="Đang thực hiện",50%,IF(H586="Đang chờ phối hợp",25%,0%))))</x:f>
        <x:v>0.5</x:v>
      </x:c>
      <x:c r="J586" s="58" t="str"/>
      <x:c r="K586" s="14" t="str"/>
      <x:c r="L586" s="14" t="str"/>
      <x:c r="M586" s="14" t="str"/>
      <x:c r="N586" s="14" t="str"/>
      <x:c r="O586" s="14" t="str"/>
      <x:c r="P586" s="58" t="str"/>
      <x:c r="Q586" s="14" t="str"/>
    </x:row>
    <x:row r="587">
      <x:c r="A587" s="14" t="str">
        <x:v>VATM-0586</x:v>
      </x:c>
      <x:c r="B587" s="14" t="str">
        <x:v>Tuân thủ, pháp chế &amp; quản trị</x:v>
      </x:c>
      <x:c r="C587" s="14" t="str">
        <x:v>Quản trị triển khai, RACI và báo cáo</x:v>
      </x:c>
      <x:c r="D587" s="14" t="str">
        <x:v>Chuẩn hóa phạm vi VATM với tư cách doanh nghiệp BĐHĐB/ANSP: dịch vụ, cơ sở, công trình, trang thiết bị, tài liệu, trách nhiệm cung cấp dịch vụ.</x:v>
      </x:c>
      <x:c r="E587" s="14" t="str">
        <x:v>Văn phòng - Pháp chế; Ban An toàn - Chất lượng</x:v>
      </x:c>
      <x:c r="F587" s="14" t="str">
        <x:v>Rất cao</x:v>
      </x:c>
      <x:c r="G587" s="14" t="str">
        <x:v>Bắt đầu: 07/2026; Hoàn thành: 12/2026</x:v>
      </x:c>
      <x:c r="H587" s="14" t="str">
        <x:v>Chưa bắt đầu</x:v>
      </x:c>
      <x:c r="I587" s="20" t="n">
        <x:f>IF(H587="Hoàn thành",100%,IF(H587="Không áp dụng",100%,IF(H587="Đang thực hiện",50%,IF(H587="Đang chờ phối hợp",25%,0%))))</x:f>
        <x:v>0</x:v>
      </x:c>
      <x:c r="J587" s="58" t="str"/>
      <x:c r="K587" s="14" t="str"/>
      <x:c r="L587" s="14" t="str"/>
      <x:c r="M587" s="14" t="str"/>
      <x:c r="N587" s="14" t="str"/>
      <x:c r="O587" s="14" t="str"/>
      <x:c r="P587" s="58" t="str"/>
      <x:c r="Q587" s="14" t="str"/>
    </x:row>
    <x:row r="588">
      <x:c r="A588" s="14" t="str">
        <x:v>VATM-0587</x:v>
      </x:c>
      <x:c r="B588" s="14" t="str">
        <x:v>ANS - ATM/ATS/ATFM</x:v>
      </x:c>
      <x:c r="C588" s="14" t="str">
        <x:v>Cung cấp ATS/điều hành bay</x:v>
      </x:c>
      <x:c r="D588" s="14" t="str">
        <x:v>Rà soát phân định khu vực trách nhiệm ATS, sector, điểm chuyển giao và nguyên tắc một vùng trời chỉ do một cơ sở ATS điều hành.</x:v>
      </x:c>
      <x:c r="E588" s="14" t="str">
        <x:v>Ban Không lưu</x:v>
      </x:c>
      <x:c r="F588" s="14" t="str">
        <x:v>Rất cao</x:v>
      </x:c>
      <x:c r="G588" s="14" t="str">
        <x:v>Bắt đầu: 06/2026; Hoàn thành: 09/2026</x:v>
      </x:c>
      <x:c r="H588" s="14" t="str">
        <x:v>Chưa bắt đầu</x:v>
      </x:c>
      <x:c r="I588" s="20" t="n">
        <x:f>IF(H588="Hoàn thành",100%,IF(H588="Không áp dụng",100%,IF(H588="Đang thực hiện",50%,IF(H588="Đang chờ phối hợp",25%,0%))))</x:f>
        <x:v>0</x:v>
      </x:c>
      <x:c r="J588" s="58" t="str"/>
      <x:c r="K588" s="14" t="str"/>
      <x:c r="L588" s="14" t="str"/>
      <x:c r="M588" s="14" t="str"/>
      <x:c r="N588" s="14" t="str"/>
      <x:c r="O588" s="14" t="str"/>
      <x:c r="P588" s="58" t="str"/>
      <x:c r="Q588" s="14" t="str"/>
    </x:row>
    <x:row r="589">
      <x:c r="A589" s="14" t="str">
        <x:v>VATM-0588</x:v>
      </x:c>
      <x:c r="B589" s="14" t="str">
        <x:v>ANS - ATM/ATS/ATFM</x:v>
      </x:c>
      <x:c r="C589" s="14" t="str">
        <x:v>Cung cấp ATS/điều hành bay</x:v>
      </x:c>
      <x:c r="D589" s="14" t="str">
        <x:v>Cập nhật quy trình phối hợp quản lý hoạt động bay dân dụng - quân sự - công an, bao gồm chia sẻ dữ liệu, liên lạc và phối hợp thời gian thực.</x:v>
      </x:c>
      <x:c r="E589" s="14" t="str">
        <x:v>Ban Không lưu; Trung tâm Quản lý luồng không lưu</x:v>
      </x:c>
      <x:c r="F589" s="14" t="str">
        <x:v>Rất cao</x:v>
      </x:c>
      <x:c r="G589" s="14" t="str">
        <x:v>Bắt đầu: 07/2026; Hoàn thành: 06/2027</x:v>
      </x:c>
      <x:c r="H589" s="14" t="str">
        <x:v>Chưa bắt đầu</x:v>
      </x:c>
      <x:c r="I589" s="20" t="n">
        <x:f>IF(H589="Hoàn thành",100%,IF(H589="Không áp dụng",100%,IF(H589="Đang thực hiện",50%,IF(H589="Đang chờ phối hợp",25%,0%))))</x:f>
        <x:v>0</x:v>
      </x:c>
      <x:c r="J589" s="58" t="str"/>
      <x:c r="K589" s="14" t="str"/>
      <x:c r="L589" s="14" t="str"/>
      <x:c r="M589" s="14" t="str"/>
      <x:c r="N589" s="14" t="str"/>
      <x:c r="O589" s="14" t="str"/>
      <x:c r="P589" s="58" t="str"/>
      <x:c r="Q589" s="14" t="str"/>
    </x:row>
    <x:row r="590">
      <x:c r="A590" s="14" t="str">
        <x:v>VATM-0589</x:v>
      </x:c>
      <x:c r="B590" s="14" t="str">
        <x:v>ANS - ATM/ATS/ATFM</x:v>
      </x:c>
      <x:c r="C590" s="14" t="str">
        <x:v>Cung cấp ATS/điều hành bay</x:v>
      </x:c>
      <x:c r="D590" s="14" t="str">
        <x:v>Triển khai ASM/FUA: lập, nhận, công bố và áp dụng kế hoạch sử dụng vùng trời/kế hoạch cập nhật; xử lý khu vực cấm/hạn chế/nguy hiểm tạm thời.</x:v>
      </x:c>
      <x:c r="E590" s="14" t="str">
        <x:v>Ban Không lưu; Trung tâm Quản lý luồng không lưu</x:v>
      </x:c>
      <x:c r="F590" s="14" t="str">
        <x:v>Rất cao</x:v>
      </x:c>
      <x:c r="G590" s="14" t="str">
        <x:v>Bắt đầu: 07/2026; Hoàn thành: 06/2027</x:v>
      </x:c>
      <x:c r="H590" s="14" t="str">
        <x:v>Chưa bắt đầu</x:v>
      </x:c>
      <x:c r="I590" s="20" t="n">
        <x:f>IF(H590="Hoàn thành",100%,IF(H590="Không áp dụng",100%,IF(H590="Đang thực hiện",50%,IF(H590="Đang chờ phối hợp",25%,0%))))</x:f>
        <x:v>0</x:v>
      </x:c>
      <x:c r="J590" s="58" t="str"/>
      <x:c r="K590" s="14" t="str"/>
      <x:c r="L590" s="14" t="str"/>
      <x:c r="M590" s="14" t="str"/>
      <x:c r="N590" s="14" t="str"/>
      <x:c r="O590" s="14" t="str"/>
      <x:c r="P590" s="58" t="str"/>
      <x:c r="Q590" s="14" t="str"/>
    </x:row>
    <x:row r="591">
      <x:c r="A591" s="14" t="str">
        <x:v>VATM-0590</x:v>
      </x:c>
      <x:c r="B591" s="14" t="str">
        <x:v>ANS - ATM/ATS/ATFM</x:v>
      </x:c>
      <x:c r="C591" s="14" t="str">
        <x:v>Cung cấp ATS/điều hành bay</x:v>
      </x:c>
      <x:c r="D591" s="14" t="str">
        <x:v>Cung cấp năng lực hệ thống BĐHĐB phục vụ cấp phép bay, điều phối giờ đi/đến, lập kế hoạch luồng.</x:v>
      </x:c>
      <x:c r="E591" s="14" t="str">
        <x:v>Ban Không lưu; Trung tâm Quản lý luồng không lưu</x:v>
      </x:c>
      <x:c r="F591" s="14" t="str">
        <x:v>Cao</x:v>
      </x:c>
      <x:c r="G591" s="14" t="str">
        <x:v>Bắt đầu: 06/2026; Hoàn thành: Hằng mùa</x:v>
      </x:c>
      <x:c r="H591" s="14" t="str">
        <x:v>Chưa bắt đầu</x:v>
      </x:c>
      <x:c r="I591" s="20" t="n">
        <x:f>IF(H591="Hoàn thành",100%,IF(H591="Không áp dụng",100%,IF(H591="Đang thực hiện",50%,IF(H591="Đang chờ phối hợp",25%,0%))))</x:f>
        <x:v>0</x:v>
      </x:c>
      <x:c r="J591" s="58" t="str"/>
      <x:c r="K591" s="14" t="str"/>
      <x:c r="L591" s="14" t="str"/>
      <x:c r="M591" s="14" t="str"/>
      <x:c r="N591" s="14" t="str"/>
      <x:c r="O591" s="14" t="str"/>
      <x:c r="P591" s="58" t="str"/>
      <x:c r="Q591" s="14" t="str"/>
    </x:row>
    <x:row r="592">
      <x:c r="A592" s="14" t="str">
        <x:v>VATM-0591</x:v>
      </x:c>
      <x:c r="B592" s="14" t="str">
        <x:v>ANS - ATM/ATS/ATFM</x:v>
      </x:c>
      <x:c r="C592" s="14" t="str">
        <x:v>Cung cấp ATS/điều hành bay</x:v>
      </x:c>
      <x:c r="D592" s="14" t="str">
        <x:v>Chuẩn hóa quy trình xử lý FPL, phản hồi kế hoạch bay, kế hoạch thực hiện chuyến bay trong phần FIR trên biển quốc tế, và các trường hợp được giao xử lý ngoài giờ.</x:v>
      </x:c>
      <x:c r="E592" s="14" t="str">
        <x:v>Ban Không lưu; Trung tâm Quản lý luồng không lưu</x:v>
      </x:c>
      <x:c r="F592" s="14" t="str">
        <x:v>Rất cao</x:v>
      </x:c>
      <x:c r="G592" s="14" t="str">
        <x:v>Bắt đầu: 06/2026; Hoàn thành: 09/2026</x:v>
      </x:c>
      <x:c r="H592" s="14" t="str">
        <x:v>Chưa bắt đầu</x:v>
      </x:c>
      <x:c r="I592" s="20" t="n">
        <x:f>IF(H592="Hoàn thành",100%,IF(H592="Không áp dụng",100%,IF(H592="Đang thực hiện",50%,IF(H592="Đang chờ phối hợp",25%,0%))))</x:f>
        <x:v>0</x:v>
      </x:c>
      <x:c r="J592" s="58" t="str"/>
      <x:c r="K592" s="14" t="str"/>
      <x:c r="L592" s="14" t="str"/>
      <x:c r="M592" s="14" t="str"/>
      <x:c r="N592" s="14" t="str"/>
      <x:c r="O592" s="14" t="str"/>
      <x:c r="P592" s="58" t="str"/>
      <x:c r="Q592" s="14" t="str"/>
    </x:row>
    <x:row r="593">
      <x:c r="A593" s="14" t="str">
        <x:v>VATM-0592</x:v>
      </x:c>
      <x:c r="B593" s="14" t="str">
        <x:v>ANS - ATM/ATS/ATFM</x:v>
      </x:c>
      <x:c r="C593" s="14" t="str">
        <x:v>Cung cấp ATS/điều hành bay</x:v>
      </x:c>
      <x:c r="D593" s="14" t="str">
        <x:v>Huấn luyện và diễn tập tình huống tàu bay vi phạm vùng trời, bay chặn/bay kèm/bay ép, can thiệp bất hợp pháp, khẩn nguy.</x:v>
      </x:c>
      <x:c r="E593" s="14" t="str">
        <x:v>Ban Không lưu; Ban An ninh hàng không</x:v>
      </x:c>
      <x:c r="F593" s="14" t="str">
        <x:v>Rất cao</x:v>
      </x:c>
      <x:c r="G593" s="14" t="str">
        <x:v>Bắt đầu: 07/2026; Hoàn thành: Hằng năm</x:v>
      </x:c>
      <x:c r="H593" s="14" t="str">
        <x:v>Chưa bắt đầu</x:v>
      </x:c>
      <x:c r="I593" s="20" t="n">
        <x:f>IF(H593="Hoàn thành",100%,IF(H593="Không áp dụng",100%,IF(H593="Đang thực hiện",50%,IF(H593="Đang chờ phối hợp",25%,0%))))</x:f>
        <x:v>0</x:v>
      </x:c>
      <x:c r="J593" s="58" t="str"/>
      <x:c r="K593" s="14" t="str"/>
      <x:c r="L593" s="14" t="str"/>
      <x:c r="M593" s="14" t="str"/>
      <x:c r="N593" s="14" t="str"/>
      <x:c r="O593" s="14" t="str"/>
      <x:c r="P593" s="58" t="str"/>
      <x:c r="Q593" s="14" t="str"/>
    </x:row>
    <x:row r="594">
      <x:c r="A594" s="14" t="str">
        <x:v>VATM-0593</x:v>
      </x:c>
      <x:c r="B594" s="14" t="str">
        <x:v>ANS - ATM/ATS/ATFM</x:v>
      </x:c>
      <x:c r="C594" s="14" t="str">
        <x:v>Cung cấp ATS/điều hành bay</x:v>
      </x:c>
      <x:c r="D594" s="14" t="str">
        <x:v>Xác định và quản lý phương thức điều hành khu vực xả nhiên liệu/thả vật thể trong tình huống được phép; công bố AIS và xử lý ATC.</x:v>
      </x:c>
      <x:c r="E594" s="14" t="str">
        <x:v>Ban Không lưu; Trung tâm Thông báo tin tức hàng không</x:v>
      </x:c>
      <x:c r="F594" s="14" t="str">
        <x:v>Cao</x:v>
      </x:c>
      <x:c r="G594" s="14" t="str">
        <x:v>Bắt đầu: 07/2026; Hoàn thành: 12/2026</x:v>
      </x:c>
      <x:c r="H594" s="14" t="str">
        <x:v>Chưa bắt đầu</x:v>
      </x:c>
      <x:c r="I594" s="20" t="n">
        <x:f>IF(H594="Hoàn thành",100%,IF(H594="Không áp dụng",100%,IF(H594="Đang thực hiện",50%,IF(H594="Đang chờ phối hợp",25%,0%))))</x:f>
        <x:v>0</x:v>
      </x:c>
      <x:c r="J594" s="58" t="str"/>
      <x:c r="K594" s="14" t="str"/>
      <x:c r="L594" s="14" t="str"/>
      <x:c r="M594" s="14" t="str"/>
      <x:c r="N594" s="14" t="str"/>
      <x:c r="O594" s="14" t="str"/>
      <x:c r="P594" s="58" t="str"/>
      <x:c r="Q594" s="14" t="str"/>
    </x:row>
    <x:row r="595">
      <x:c r="A595" s="14" t="str">
        <x:v>VATM-0594</x:v>
      </x:c>
      <x:c r="B595" s="14" t="str">
        <x:v>ANS - ATM/ATS/ATFM</x:v>
      </x:c>
      <x:c r="C595" s="14" t="str">
        <x:v>ATFM, năng lực và điều phối luồng</x:v>
      </x:c>
      <x:c r="D595" s="14" t="str">
        <x:v>Hoàn thiện mô hình ATFM/CDM cấp chiến lược, tiền chiến thuật, chiến thuật và sau khai thác.</x:v>
      </x:c>
      <x:c r="E595" s="14" t="str">
        <x:v>Trung tâm Quản lý luồng không lưu; Ban Không lưu</x:v>
      </x:c>
      <x:c r="F595" s="14" t="str">
        <x:v>Cao</x:v>
      </x:c>
      <x:c r="G595" s="14" t="str">
        <x:v>Bắt đầu: 07/2026; Hoàn thành: 2027</x:v>
      </x:c>
      <x:c r="H595" s="14" t="str">
        <x:v>Chưa bắt đầu</x:v>
      </x:c>
      <x:c r="I595" s="20" t="n">
        <x:f>IF(H595="Hoàn thành",100%,IF(H595="Không áp dụng",100%,IF(H595="Đang thực hiện",50%,IF(H595="Đang chờ phối hợp",25%,0%))))</x:f>
        <x:v>0</x:v>
      </x:c>
      <x:c r="J595" s="58" t="str"/>
      <x:c r="K595" s="14" t="str"/>
      <x:c r="L595" s="14" t="str"/>
      <x:c r="M595" s="14" t="str"/>
      <x:c r="N595" s="14" t="str"/>
      <x:c r="O595" s="14" t="str"/>
      <x:c r="P595" s="58" t="str"/>
      <x:c r="Q595" s="14" t="str"/>
    </x:row>
    <x:row r="596">
      <x:c r="A596" s="14" t="str">
        <x:v>VATM-0595</x:v>
      </x:c>
      <x:c r="B596" s="14" t="str">
        <x:v>ANS - ATM/ATS/ATFM</x:v>
      </x:c>
      <x:c r="C596" s="14" t="str">
        <x:v>ATFM, năng lực và điều phối luồng</x:v>
      </x:c>
      <x:c r="D596" s="14" t="str">
        <x:v>Đo lường hiệu quả môi trường của ATFM/PBN/CDO/CCO/đường bay tối ưu bằng các chỉ số vận hành.</x:v>
      </x:c>
      <x:c r="E596" s="14" t="str">
        <x:v>Trung tâm Quản lý luồng không lưu; Ban Không lưu</x:v>
      </x:c>
      <x:c r="F596" s="14" t="str">
        <x:v>Trung bình</x:v>
      </x:c>
      <x:c r="G596" s="14" t="str">
        <x:v>Bắt đầu: 2027; Hoàn thành: 2028</x:v>
      </x:c>
      <x:c r="H596" s="14" t="str">
        <x:v>Chưa bắt đầu</x:v>
      </x:c>
      <x:c r="I596" s="20" t="n">
        <x:f>IF(H596="Hoàn thành",100%,IF(H596="Không áp dụng",100%,IF(H596="Đang thực hiện",50%,IF(H596="Đang chờ phối hợp",25%,0%))))</x:f>
        <x:v>0</x:v>
      </x:c>
      <x:c r="J596" s="58" t="str"/>
      <x:c r="K596" s="14" t="str"/>
      <x:c r="L596" s="14" t="str"/>
      <x:c r="M596" s="14" t="str"/>
      <x:c r="N596" s="14" t="str"/>
      <x:c r="O596" s="14" t="str"/>
      <x:c r="P596" s="58" t="str"/>
      <x:c r="Q596" s="14" t="str"/>
    </x:row>
    <x:row r="597">
      <x:c r="A597" s="14" t="str">
        <x:v>VATM-0596</x:v>
      </x:c>
      <x:c r="B597" s="14" t="str">
        <x:v>ANS - CNS/IT/Kỹ thuật</x:v>
      </x:c>
      <x:c r="C597" s="14" t="str">
        <x:v>CNS, trang thiết bị và bảo trì kỹ thuật</x:v>
      </x:c>
      <x:c r="D597" s="14" t="str">
        <x:v>Kiểm kê toàn bộ hệ thống CNS, tần số, giấy phép tần số, giấy phép/phê chuẩn khai thác, tình trạng dự phòng.</x:v>
      </x:c>
      <x:c r="E597" s="14" t="str">
        <x:v>Ban Kỹ thuật - CNS/IT/Môi trường</x:v>
      </x:c>
      <x:c r="F597" s="14" t="str">
        <x:v>Rất cao</x:v>
      </x:c>
      <x:c r="G597" s="14" t="str">
        <x:v>Bắt đầu: 06/2026; Hoàn thành: 09/2026</x:v>
      </x:c>
      <x:c r="H597" s="14" t="str">
        <x:v>Chưa bắt đầu</x:v>
      </x:c>
      <x:c r="I597" s="20" t="n">
        <x:f>IF(H597="Hoàn thành",100%,IF(H597="Không áp dụng",100%,IF(H597="Đang thực hiện",50%,IF(H597="Đang chờ phối hợp",25%,0%))))</x:f>
        <x:v>0</x:v>
      </x:c>
      <x:c r="J597" s="58" t="str"/>
      <x:c r="K597" s="14" t="str"/>
      <x:c r="L597" s="14" t="str"/>
      <x:c r="M597" s="14" t="str"/>
      <x:c r="N597" s="14" t="str"/>
      <x:c r="O597" s="14" t="str"/>
      <x:c r="P597" s="58" t="str"/>
      <x:c r="Q597" s="14" t="str"/>
    </x:row>
    <x:row r="598">
      <x:c r="A598" s="14" t="str">
        <x:v>VATM-0597</x:v>
      </x:c>
      <x:c r="B598" s="14" t="str">
        <x:v>ANS - CNS/IT/Kỹ thuật</x:v>
      </x:c>
      <x:c r="C598" s="14" t="str">
        <x:v>CNS, trang thiết bị và bảo trì kỹ thuật</x:v>
      </x:c>
      <x:c r="D598" s="14" t="str">
        <x:v>Thiết lập quy trình giám sát và xử lý can nhiễu, mất tín hiệu, tấn công/cản trở hệ thống CNS.</x:v>
      </x:c>
      <x:c r="E598" s="14" t="str">
        <x:v>Ban Kỹ thuật - CNS/IT/Môi trường</x:v>
      </x:c>
      <x:c r="F598" s="14" t="str">
        <x:v>Cao</x:v>
      </x:c>
      <x:c r="G598" s="14" t="str">
        <x:v>Bắt đầu: 07/2026; Hoàn thành: 2027</x:v>
      </x:c>
      <x:c r="H598" s="14" t="str">
        <x:v>Chưa bắt đầu</x:v>
      </x:c>
      <x:c r="I598" s="20" t="n">
        <x:f>IF(H598="Hoàn thành",100%,IF(H598="Không áp dụng",100%,IF(H598="Đang thực hiện",50%,IF(H598="Đang chờ phối hợp",25%,0%))))</x:f>
        <x:v>0</x:v>
      </x:c>
      <x:c r="J598" s="58" t="str"/>
      <x:c r="K598" s="14" t="str"/>
      <x:c r="L598" s="14" t="str"/>
      <x:c r="M598" s="14" t="str"/>
      <x:c r="N598" s="14" t="str"/>
      <x:c r="O598" s="14" t="str"/>
      <x:c r="P598" s="58" t="str"/>
      <x:c r="Q598" s="14" t="str"/>
    </x:row>
    <x:row r="599">
      <x:c r="A599" s="14" t="str">
        <x:v>VATM-0598</x:v>
      </x:c>
      <x:c r="B599" s="14" t="str">
        <x:v>ANS - CNS/IT/Kỹ thuật</x:v>
      </x:c>
      <x:c r="C599" s="14" t="str">
        <x:v>CNS, trang thiết bị và bảo trì kỹ thuật</x:v>
      </x:c>
      <x:c r="D599" s="14" t="str">
        <x:v>Đánh giá ảnh hưởng công trình/chướng ngại vật đến đài/trạm CNS, đặc biệt khu vực bảo đảm hoạt động bình thường của đài vô tuyến điện hàng không.</x:v>
      </x:c>
      <x:c r="E599" s="14" t="str">
        <x:v>Ban Kỹ thuật - CNS/IT/Môi trường</x:v>
      </x:c>
      <x:c r="F599" s="14" t="str">
        <x:v>Rất cao</x:v>
      </x:c>
      <x:c r="G599" s="14" t="str">
        <x:v>Bắt đầu: 07/2026; Hoàn thành: 2028</x:v>
      </x:c>
      <x:c r="H599" s="14" t="str">
        <x:v>Chưa bắt đầu</x:v>
      </x:c>
      <x:c r="I599" s="20" t="n">
        <x:f>IF(H599="Hoàn thành",100%,IF(H599="Không áp dụng",100%,IF(H599="Đang thực hiện",50%,IF(H599="Đang chờ phối hợp",25%,0%))))</x:f>
        <x:v>0</x:v>
      </x:c>
      <x:c r="J599" s="58" t="str"/>
      <x:c r="K599" s="14" t="str"/>
      <x:c r="L599" s="14" t="str"/>
      <x:c r="M599" s="14" t="str"/>
      <x:c r="N599" s="14" t="str"/>
      <x:c r="O599" s="14" t="str"/>
      <x:c r="P599" s="58" t="str"/>
      <x:c r="Q599" s="14" t="str"/>
    </x:row>
    <x:row r="600">
      <x:c r="A600" s="14" t="str">
        <x:v>VATM-0599</x:v>
      </x:c>
      <x:c r="B600" s="14" t="str">
        <x:v>ANS - CNS/IT/Kỹ thuật</x:v>
      </x:c>
      <x:c r="C600" s="14" t="str">
        <x:v>CNS, trang thiết bị và bảo trì kỹ thuật</x:v>
      </x:c>
      <x:c r="D600" s="14" t="str">
        <x:v>Rà soát khả năng dự phòng/continuity của hệ thống CNS/ATM, trung tâm dữ liệu, nguồn điện, truyền dẫn, cybersecurity.</x:v>
      </x:c>
      <x:c r="E600" s="14" t="str">
        <x:v>Ban Kỹ thuật - CNS/IT/Môi trường; Ban Kế hoạch doanh nghiệp - Chuyển đổi số</x:v>
      </x:c>
      <x:c r="F600" s="14" t="str">
        <x:v>Rất cao</x:v>
      </x:c>
      <x:c r="G600" s="14" t="str">
        <x:v>Bắt đầu: 07/2026; Hoàn thành: 2027</x:v>
      </x:c>
      <x:c r="H600" s="14" t="str">
        <x:v>Chưa bắt đầu</x:v>
      </x:c>
      <x:c r="I600" s="20" t="n">
        <x:f>IF(H600="Hoàn thành",100%,IF(H600="Không áp dụng",100%,IF(H600="Đang thực hiện",50%,IF(H600="Đang chờ phối hợp",25%,0%))))</x:f>
        <x:v>0</x:v>
      </x:c>
      <x:c r="J600" s="58" t="str"/>
      <x:c r="K600" s="14" t="str"/>
      <x:c r="L600" s="14" t="str"/>
      <x:c r="M600" s="14" t="str"/>
      <x:c r="N600" s="14" t="str"/>
      <x:c r="O600" s="14" t="str"/>
      <x:c r="P600" s="58" t="str"/>
      <x:c r="Q600" s="14" t="str"/>
    </x:row>
    <x:row r="601">
      <x:c r="A601" s="14" t="str">
        <x:v>VATM-0600</x:v>
      </x:c>
      <x:c r="B601" s="14" t="str">
        <x:v>ANS - AIS/AIM/Tin tức HK</x:v>
      </x:c>
      <x:c r="C601" s="14" t="str">
        <x:v>AIP/NOTAM/dữ liệu hàng không</x:v>
      </x:c>
      <x:c r="D601" s="14" t="str">
        <x:v>Xây dựng dây chuyền dữ liệu hàng không từ người khởi tạo đến kiểm tra, phê chuẩn, công bố và lưu trữ.</x:v>
      </x:c>
      <x:c r="E601" s="14" t="str">
        <x:v>Trung tâm Thông báo tin tức hàng không</x:v>
      </x:c>
      <x:c r="F601" s="14" t="str">
        <x:v>Rất cao</x:v>
      </x:c>
      <x:c r="G601" s="14" t="str">
        <x:v>Bắt đầu: 06/2026; Hoàn thành: 06/2027</x:v>
      </x:c>
      <x:c r="H601" s="14" t="str">
        <x:v>Chưa bắt đầu</x:v>
      </x:c>
      <x:c r="I601" s="20" t="n">
        <x:f>IF(H601="Hoàn thành",100%,IF(H601="Không áp dụng",100%,IF(H601="Đang thực hiện",50%,IF(H601="Đang chờ phối hợp",25%,0%))))</x:f>
        <x:v>0</x:v>
      </x:c>
      <x:c r="J601" s="58" t="str"/>
      <x:c r="K601" s="14" t="str"/>
      <x:c r="L601" s="14" t="str"/>
      <x:c r="M601" s="14" t="str"/>
      <x:c r="N601" s="14" t="str"/>
      <x:c r="O601" s="14" t="str"/>
      <x:c r="P601" s="58" t="str"/>
      <x:c r="Q601" s="14" t="str"/>
    </x:row>
    <x:row r="602">
      <x:c r="A602" s="14" t="str">
        <x:v>VATM-0601</x:v>
      </x:c>
      <x:c r="B602" s="14" t="str">
        <x:v>ANS - AIS/AIM/Tin tức HK</x:v>
      </x:c>
      <x:c r="C602" s="14" t="str">
        <x:v>AIP/NOTAM/dữ liệu hàng không</x:v>
      </x:c>
      <x:c r="D602" s="14" t="str">
        <x:v>Đảm bảo AIP, AIC, NOTAM, AIRAC, sơ đồ/bản đồ và các bộ dữ liệu số được công bố đúng chu kỳ, đúng phê chuẩn.</x:v>
      </x:c>
      <x:c r="E602" s="14" t="str">
        <x:v>Trung tâm Thông báo tin tức hàng không</x:v>
      </x:c>
      <x:c r="F602" s="14" t="str">
        <x:v>Rất cao</x:v>
      </x:c>
      <x:c r="G602" s="14" t="str">
        <x:v>Bắt đầu: 07/2026; Hoàn thành: Duy trì</x:v>
      </x:c>
      <x:c r="H602" s="14" t="str">
        <x:v>Chưa bắt đầu</x:v>
      </x:c>
      <x:c r="I602" s="20" t="n">
        <x:f>IF(H602="Hoàn thành",100%,IF(H602="Không áp dụng",100%,IF(H602="Đang thực hiện",50%,IF(H602="Đang chờ phối hợp",25%,0%))))</x:f>
        <x:v>0</x:v>
      </x:c>
      <x:c r="J602" s="58" t="str"/>
      <x:c r="K602" s="14" t="str"/>
      <x:c r="L602" s="14" t="str"/>
      <x:c r="M602" s="14" t="str"/>
      <x:c r="N602" s="14" t="str"/>
      <x:c r="O602" s="14" t="str"/>
      <x:c r="P602" s="58" t="str"/>
      <x:c r="Q602" s="14" t="str"/>
    </x:row>
    <x:row r="603">
      <x:c r="A603" s="14" t="str">
        <x:v>VATM-0602</x:v>
      </x:c>
      <x:c r="B603" s="14" t="str">
        <x:v>ANS - AIS/AIM/Tin tức HK</x:v>
      </x:c>
      <x:c r="C603" s="14" t="str">
        <x:v>AIP/NOTAM/dữ liệu hàng không</x:v>
      </x:c>
      <x:c r="D603" s="14" t="str">
        <x:v>Thiết lập/cập nhật eTOD và dữ liệu chướng ngại vật phục vụ AIP, thiết kế phương thức bay, đánh giá an toàn.</x:v>
      </x:c>
      <x:c r="E603" s="14" t="str">
        <x:v>Trung tâm Thông báo tin tức hàng không</x:v>
      </x:c>
      <x:c r="F603" s="14" t="str">
        <x:v>Rất cao</x:v>
      </x:c>
      <x:c r="G603" s="14" t="str">
        <x:v>Bắt đầu: 07/2026; Hoàn thành: 06/2028</x:v>
      </x:c>
      <x:c r="H603" s="14" t="str">
        <x:v>Chưa bắt đầu</x:v>
      </x:c>
      <x:c r="I603" s="20" t="n">
        <x:f>IF(H603="Hoàn thành",100%,IF(H603="Không áp dụng",100%,IF(H603="Đang thực hiện",50%,IF(H603="Đang chờ phối hợp",25%,0%))))</x:f>
        <x:v>0</x:v>
      </x:c>
      <x:c r="J603" s="58" t="str"/>
      <x:c r="K603" s="14" t="str"/>
      <x:c r="L603" s="14" t="str"/>
      <x:c r="M603" s="14" t="str"/>
      <x:c r="N603" s="14" t="str"/>
      <x:c r="O603" s="14" t="str"/>
      <x:c r="P603" s="58" t="str"/>
      <x:c r="Q603" s="14" t="str"/>
    </x:row>
    <x:row r="604">
      <x:c r="A604" s="14" t="str">
        <x:v>VATM-0603</x:v>
      </x:c>
      <x:c r="B604" s="14" t="str">
        <x:v>ANS - AIS/AIM/Tin tức HK</x:v>
      </x:c>
      <x:c r="C604" s="14" t="str">
        <x:v>AIP/NOTAM/dữ liệu hàng không</x:v>
      </x:c>
      <x:c r="D604" s="14" t="str">
        <x:v>Kết nối dữ liệu AIM/ANS với cơ sở dữ liệu hàng không dân dụng và trung tâm dữ liệu an toàn khi có nền tảng chính thức.</x:v>
      </x:c>
      <x:c r="E604" s="14" t="str">
        <x:v>Trung tâm Thông báo tin tức hàng không; Ban Kế hoạch doanh nghiệp - Chuyển đổi số; Ban Kỹ thuật - CNS/IT/Môi trường</x:v>
      </x:c>
      <x:c r="F604" s="14" t="str">
        <x:v>Cao</x:v>
      </x:c>
      <x:c r="G604" s="14" t="str">
        <x:v>Bắt đầu: 2026; Hoàn thành: 2028</x:v>
      </x:c>
      <x:c r="H604" s="14" t="str">
        <x:v>Chưa bắt đầu</x:v>
      </x:c>
      <x:c r="I604" s="20" t="n">
        <x:f>IF(H604="Hoàn thành",100%,IF(H604="Không áp dụng",100%,IF(H604="Đang thực hiện",50%,IF(H604="Đang chờ phối hợp",25%,0%))))</x:f>
        <x:v>0</x:v>
      </x:c>
      <x:c r="J604" s="58" t="str"/>
      <x:c r="K604" s="14" t="str"/>
      <x:c r="L604" s="14" t="str"/>
      <x:c r="M604" s="14" t="str"/>
      <x:c r="N604" s="14" t="str"/>
      <x:c r="O604" s="14" t="str"/>
      <x:c r="P604" s="58" t="str"/>
      <x:c r="Q604" s="14" t="str"/>
    </x:row>
    <x:row r="605">
      <x:c r="A605" s="14" t="str">
        <x:v>VATM-0604</x:v>
      </x:c>
      <x:c r="B605" s="14" t="str">
        <x:v>ANS - ATM/ATS/ATFM</x:v>
      </x:c>
      <x:c r="C605" s="14" t="str">
        <x:v>Vùng trời, phương thức bay và ASM</x:v>
      </x:c>
      <x:c r="D605" s="14" t="str">
        <x:v>Rà soát phương thức bay, sơ đồ/bản đồ hàng không, obstacle assessment khi có thay đổi vùng trời, công trình, sân bay, thiết bị CNS.</x:v>
      </x:c>
      <x:c r="E605" s="14" t="str">
        <x:v>Ban Không lưu</x:v>
      </x:c>
      <x:c r="F605" s="14" t="str">
        <x:v>Rất cao</x:v>
      </x:c>
      <x:c r="G605" s="14" t="str">
        <x:v>Bắt đầu: 07/2026; Hoàn thành: Duy trì</x:v>
      </x:c>
      <x:c r="H605" s="14" t="str">
        <x:v>Chưa bắt đầu</x:v>
      </x:c>
      <x:c r="I605" s="20" t="n">
        <x:f>IF(H605="Hoàn thành",100%,IF(H605="Không áp dụng",100%,IF(H605="Đang thực hiện",50%,IF(H605="Đang chờ phối hợp",25%,0%))))</x:f>
        <x:v>0</x:v>
      </x:c>
      <x:c r="J605" s="58" t="str"/>
      <x:c r="K605" s="14" t="str"/>
      <x:c r="L605" s="14" t="str"/>
      <x:c r="M605" s="14" t="str"/>
      <x:c r="N605" s="14" t="str"/>
      <x:c r="O605" s="14" t="str"/>
      <x:c r="P605" s="58" t="str"/>
      <x:c r="Q605" s="14" t="str"/>
    </x:row>
    <x:row r="606">
      <x:c r="A606" s="14" t="str">
        <x:v>VATM-0605</x:v>
      </x:c>
      <x:c r="B606" s="14" t="str">
        <x:v>ANS - MET/Khí tượng hàng không</x:v>
      </x:c>
      <x:c r="C606" s="14" t="str">
        <x:v>Quan trắc, dự báo và cảnh báo MET</x:v>
      </x:c>
      <x:c r="D606" s="14" t="str">
        <x:v>Rà soát dịch vụ khí tượng hàng không VATM/đơn vị cung cấp: sản phẩm, trang thiết bị, giấy phép/phê chuẩn, dữ liệu đầu vào.</x:v>
      </x:c>
      <x:c r="E606" s="14" t="str">
        <x:v>Trung tâm Khí tượng hàng không; Ban Kỹ thuật - CNS/IT/Môi trường</x:v>
      </x:c>
      <x:c r="F606" s="14" t="str">
        <x:v>Cao</x:v>
      </x:c>
      <x:c r="G606" s="14" t="str">
        <x:v>Bắt đầu: 07/2026; Hoàn thành: 2027</x:v>
      </x:c>
      <x:c r="H606" s="14" t="str">
        <x:v>Chưa bắt đầu</x:v>
      </x:c>
      <x:c r="I606" s="20" t="n">
        <x:f>IF(H606="Hoàn thành",100%,IF(H606="Không áp dụng",100%,IF(H606="Đang thực hiện",50%,IF(H606="Đang chờ phối hợp",25%,0%))))</x:f>
        <x:v>0</x:v>
      </x:c>
      <x:c r="J606" s="58" t="str"/>
      <x:c r="K606" s="14" t="str"/>
      <x:c r="L606" s="14" t="str"/>
      <x:c r="M606" s="14" t="str"/>
      <x:c r="N606" s="14" t="str"/>
      <x:c r="O606" s="14" t="str"/>
      <x:c r="P606" s="58" t="str"/>
      <x:c r="Q606" s="14" t="str"/>
    </x:row>
    <x:row r="607">
      <x:c r="A607" s="14" t="str">
        <x:v>VATM-0606</x:v>
      </x:c>
      <x:c r="B607" s="14" t="str">
        <x:v>ANS - MET/Khí tượng hàng không</x:v>
      </x:c>
      <x:c r="C607" s="14" t="str">
        <x:v>Quan trắc, dự báo và cảnh báo MET</x:v>
      </x:c>
      <x:c r="D607" s="14" t="str">
        <x:v>Tích hợp MET vào ATFM/CDM, cảnh báo thời tiết nguy hiểm, năng lực sân bay/vùng trời và giảm chậm trễ.</x:v>
      </x:c>
      <x:c r="E607" s="14" t="str">
        <x:v>Trung tâm Khí tượng hàng không; Trung tâm Quản lý luồng không lưu</x:v>
      </x:c>
      <x:c r="F607" s="14" t="str">
        <x:v>Cao</x:v>
      </x:c>
      <x:c r="G607" s="14" t="str">
        <x:v>Bắt đầu: 2026; Hoàn thành: Duy trì</x:v>
      </x:c>
      <x:c r="H607" s="14" t="str">
        <x:v>Chưa bắt đầu</x:v>
      </x:c>
      <x:c r="I607" s="20" t="n">
        <x:f>IF(H607="Hoàn thành",100%,IF(H607="Không áp dụng",100%,IF(H607="Đang thực hiện",50%,IF(H607="Đang chờ phối hợp",25%,0%))))</x:f>
        <x:v>0</x:v>
      </x:c>
      <x:c r="J607" s="58" t="str"/>
      <x:c r="K607" s="14" t="str"/>
      <x:c r="L607" s="14" t="str"/>
      <x:c r="M607" s="14" t="str"/>
      <x:c r="N607" s="14" t="str"/>
      <x:c r="O607" s="14" t="str"/>
      <x:c r="P607" s="58" t="str"/>
      <x:c r="Q607" s="14" t="str"/>
    </x:row>
    <x:row r="608">
      <x:c r="A608" s="14" t="str">
        <x:v>VATM-0607</x:v>
      </x:c>
      <x:c r="B608" s="14" t="str">
        <x:v>ANS - Tìm kiếm cứu nạn &amp; khẩn nguy</x:v>
      </x:c>
      <x:c r="C608" s="14" t="str">
        <x:v>SAR, khẩn nguy và hiệp đồng</x:v>
      </x:c>
      <x:c r="D608" s="14" t="str">
        <x:v>Rà soát tổ chức, trách nhiệm, vùng trách nhiệm, kênh liên lạc và SOP tìm kiếm cứu nạn hàng không.</x:v>
      </x:c>
      <x:c r="E608" s="14" t="str">
        <x:v>Trung tâm Tìm kiếm cứu nạn hàng không</x:v>
      </x:c>
      <x:c r="F608" s="14" t="str">
        <x:v>Rất cao</x:v>
      </x:c>
      <x:c r="G608" s="14" t="str">
        <x:v>Bắt đầu: 07/2026; Hoàn thành: 12/2026</x:v>
      </x:c>
      <x:c r="H608" s="14" t="str">
        <x:v>Chưa bắt đầu</x:v>
      </x:c>
      <x:c r="I608" s="20" t="n">
        <x:f>IF(H608="Hoàn thành",100%,IF(H608="Không áp dụng",100%,IF(H608="Đang thực hiện",50%,IF(H608="Đang chờ phối hợp",25%,0%))))</x:f>
        <x:v>0</x:v>
      </x:c>
      <x:c r="J608" s="58" t="str"/>
      <x:c r="K608" s="14" t="str"/>
      <x:c r="L608" s="14" t="str"/>
      <x:c r="M608" s="14" t="str"/>
      <x:c r="N608" s="14" t="str"/>
      <x:c r="O608" s="14" t="str"/>
      <x:c r="P608" s="58" t="str"/>
      <x:c r="Q608" s="14" t="str"/>
    </x:row>
    <x:row r="609">
      <x:c r="A609" s="14" t="str">
        <x:v>VATM-0608</x:v>
      </x:c>
      <x:c r="B609" s="14" t="str">
        <x:v>ANS - Tìm kiếm cứu nạn &amp; khẩn nguy</x:v>
      </x:c>
      <x:c r="C609" s="14" t="str">
        <x:v>SAR, khẩn nguy và hiệp đồng</x:v>
      </x:c>
      <x:c r="D609" s="14" t="str">
        <x:v>Diễn tập SAR và bảo toàn dữ liệu liên quan sự cố/tai nạn; huấn luyện phối hợp quốc tế/khu vực khi cần.</x:v>
      </x:c>
      <x:c r="E609" s="14" t="str">
        <x:v>Trung tâm Tìm kiếm cứu nạn hàng không; Ban An toàn - Chất lượng</x:v>
      </x:c>
      <x:c r="F609" s="14" t="str">
        <x:v>Cao</x:v>
      </x:c>
      <x:c r="G609" s="14" t="str">
        <x:v>Bắt đầu: 2026; Hoàn thành: Hằng năm/2 năm</x:v>
      </x:c>
      <x:c r="H609" s="14" t="str">
        <x:v>Chưa bắt đầu</x:v>
      </x:c>
      <x:c r="I609" s="20" t="n">
        <x:f>IF(H609="Hoàn thành",100%,IF(H609="Không áp dụng",100%,IF(H609="Đang thực hiện",50%,IF(H609="Đang chờ phối hợp",25%,0%))))</x:f>
        <x:v>0</x:v>
      </x:c>
      <x:c r="J609" s="58" t="str"/>
      <x:c r="K609" s="14" t="str"/>
      <x:c r="L609" s="14" t="str"/>
      <x:c r="M609" s="14" t="str"/>
      <x:c r="N609" s="14" t="str"/>
      <x:c r="O609" s="14" t="str"/>
      <x:c r="P609" s="58" t="str"/>
      <x:c r="Q609" s="14" t="str"/>
    </x:row>
    <x:row r="610">
      <x:c r="A610" s="14" t="str">
        <x:v>VATM-0609</x:v>
      </x:c>
      <x:c r="B610" s="14" t="str">
        <x:v>An toàn hàng không / SMS</x:v>
      </x:c>
      <x:c r="C610" s="14" t="str">
        <x:v>Khung SMS và quản trị an toàn</x:v>
      </x:c>
      <x:c r="D610" s="14" t="str">
        <x:v>Cập nhật SMS Manual theo Luật 130 và Chương trình an toàn hàng không dân dụng Việt Nam.</x:v>
      </x:c>
      <x:c r="E610" s="14" t="str">
        <x:v>Ban An toàn - Chất lượng</x:v>
      </x:c>
      <x:c r="F610" s="14" t="str">
        <x:v>Rất cao</x:v>
      </x:c>
      <x:c r="G610" s="14" t="str">
        <x:v>Bắt đầu: 06/2026; Hoàn thành: 06/2027</x:v>
      </x:c>
      <x:c r="H610" s="14" t="str">
        <x:v>Chưa bắt đầu</x:v>
      </x:c>
      <x:c r="I610" s="20" t="n">
        <x:f>IF(H610="Hoàn thành",100%,IF(H610="Không áp dụng",100%,IF(H610="Đang thực hiện",50%,IF(H610="Đang chờ phối hợp",25%,0%))))</x:f>
        <x:v>0</x:v>
      </x:c>
      <x:c r="J610" s="58" t="str"/>
      <x:c r="K610" s="14" t="str"/>
      <x:c r="L610" s="14" t="str"/>
      <x:c r="M610" s="14" t="str"/>
      <x:c r="N610" s="14" t="str"/>
      <x:c r="O610" s="14" t="str"/>
      <x:c r="P610" s="58" t="str"/>
      <x:c r="Q610" s="14" t="str"/>
    </x:row>
    <x:row r="611">
      <x:c r="A611" s="14" t="str">
        <x:v>VATM-0610</x:v>
      </x:c>
      <x:c r="B611" s="14" t="str">
        <x:v>An toàn hàng không / SMS</x:v>
      </x:c>
      <x:c r="C611" s="14" t="str">
        <x:v>Khung SMS và quản trị an toàn</x:v>
      </x:c>
      <x:c r="D611" s="14" t="str">
        <x:v>Thiết lập hệ thống báo cáo, thu thập, phân loại, phân tích dữ liệu an toàn và chia sẻ với CAAV.</x:v>
      </x:c>
      <x:c r="E611" s="14" t="str">
        <x:v>Ban An toàn - Chất lượng; Ban Kế hoạch doanh nghiệp - Chuyển đổi số; Ban Kỹ thuật - CNS/IT/Môi trường</x:v>
      </x:c>
      <x:c r="F611" s="14" t="str">
        <x:v>Rất cao</x:v>
      </x:c>
      <x:c r="G611" s="14" t="str">
        <x:v>Bắt đầu: 07/2026; Hoàn thành: 2027</x:v>
      </x:c>
      <x:c r="H611" s="14" t="str">
        <x:v>Chưa bắt đầu</x:v>
      </x:c>
      <x:c r="I611" s="20" t="n">
        <x:f>IF(H611="Hoàn thành",100%,IF(H611="Không áp dụng",100%,IF(H611="Đang thực hiện",50%,IF(H611="Đang chờ phối hợp",25%,0%))))</x:f>
        <x:v>0</x:v>
      </x:c>
      <x:c r="J611" s="58" t="str"/>
      <x:c r="K611" s="14" t="str"/>
      <x:c r="L611" s="14" t="str"/>
      <x:c r="M611" s="14" t="str"/>
      <x:c r="N611" s="14" t="str"/>
      <x:c r="O611" s="14" t="str"/>
      <x:c r="P611" s="58" t="str"/>
      <x:c r="Q611" s="14" t="str"/>
    </x:row>
    <x:row r="612">
      <x:c r="A612" s="14" t="str">
        <x:v>VATM-0611</x:v>
      </x:c>
      <x:c r="B612" s="14" t="str">
        <x:v>An toàn hàng không / SMS</x:v>
      </x:c>
      <x:c r="C612" s="14" t="str">
        <x:v>Khung SMS và quản trị an toàn</x:v>
      </x:c>
      <x:c r="D612" s="14" t="str">
        <x:v>Xây dựng cơ chế chia sẻ thông tin an toàn và văn hóa an toàn trong VATM.</x:v>
      </x:c>
      <x:c r="E612" s="14" t="str">
        <x:v>Ban An toàn - Chất lượng</x:v>
      </x:c>
      <x:c r="F612" s="14" t="str">
        <x:v>Cao</x:v>
      </x:c>
      <x:c r="G612" s="14" t="str">
        <x:v>Bắt đầu: 2026; Hoàn thành: Duy trì</x:v>
      </x:c>
      <x:c r="H612" s="14" t="str">
        <x:v>Chưa bắt đầu</x:v>
      </x:c>
      <x:c r="I612" s="20" t="n">
        <x:f>IF(H612="Hoàn thành",100%,IF(H612="Không áp dụng",100%,IF(H612="Đang thực hiện",50%,IF(H612="Đang chờ phối hợp",25%,0%))))</x:f>
        <x:v>0</x:v>
      </x:c>
      <x:c r="J612" s="58" t="str"/>
      <x:c r="K612" s="14" t="str"/>
      <x:c r="L612" s="14" t="str"/>
      <x:c r="M612" s="14" t="str"/>
      <x:c r="N612" s="14" t="str"/>
      <x:c r="O612" s="14" t="str"/>
      <x:c r="P612" s="58" t="str"/>
      <x:c r="Q612" s="14" t="str"/>
    </x:row>
    <x:row r="613">
      <x:c r="A613" s="14" t="str">
        <x:v>VATM-0612</x:v>
      </x:c>
      <x:c r="B613" s="14" t="str">
        <x:v>An toàn hàng không / SMS</x:v>
      </x:c>
      <x:c r="C613" s="14" t="str">
        <x:v>Khung SMS và quản trị an toàn</x:v>
      </x:c>
      <x:c r="D613" s="14" t="str">
        <x:v>Chuẩn bị năng lực hỗ trợ giám sát viên an toàn: dữ liệu, hồ sơ, cơ sở vật chất, đào tạo/huấn luyện theo thẩm quyền.</x:v>
      </x:c>
      <x:c r="E613" s="14" t="str">
        <x:v>Ban An toàn - Chất lượng</x:v>
      </x:c>
      <x:c r="F613" s="14" t="str">
        <x:v>Trung bình</x:v>
      </x:c>
      <x:c r="G613" s="14" t="str">
        <x:v>Bắt đầu: 2026; Hoàn thành: Duy trì</x:v>
      </x:c>
      <x:c r="H613" s="14" t="str">
        <x:v>Chưa bắt đầu</x:v>
      </x:c>
      <x:c r="I613" s="20" t="n">
        <x:f>IF(H613="Hoàn thành",100%,IF(H613="Không áp dụng",100%,IF(H613="Đang thực hiện",50%,IF(H613="Đang chờ phối hợp",25%,0%))))</x:f>
        <x:v>0</x:v>
      </x:c>
      <x:c r="J613" s="58" t="str"/>
      <x:c r="K613" s="14" t="str"/>
      <x:c r="L613" s="14" t="str"/>
      <x:c r="M613" s="14" t="str"/>
      <x:c r="N613" s="14" t="str"/>
      <x:c r="O613" s="14" t="str"/>
      <x:c r="P613" s="58" t="str"/>
      <x:c r="Q613" s="14" t="str"/>
    </x:row>
    <x:row r="614">
      <x:c r="A614" s="14" t="str">
        <x:v>VATM-0613</x:v>
      </x:c>
      <x:c r="B614" s="14" t="str">
        <x:v>An toàn hàng không / SMS</x:v>
      </x:c>
      <x:c r="C614" s="14" t="str">
        <x:v>Khung SMS và quản trị an toàn</x:v>
      </x:c>
      <x:c r="D614" s="14" t="str">
        <x:v>Xây dựng SOP bảo toàn chứng cứ và cung cấp hồ sơ ATS/CNS/MET/AIS/SAR khi có sự cố nghiêm trọng/tai nạn.</x:v>
      </x:c>
      <x:c r="E614" s="14" t="str">
        <x:v>Ban An toàn - Chất lượng; Văn phòng - Pháp chế; Ban Kế hoạch doanh nghiệp - Chuyển đổi số; Ban Kỹ thuật - CNS/IT/Môi trường</x:v>
      </x:c>
      <x:c r="F614" s="14" t="str">
        <x:v>Rất cao</x:v>
      </x:c>
      <x:c r="G614" s="14" t="str">
        <x:v>Bắt đầu: 06/2026; Hoàn thành: 09/2026</x:v>
      </x:c>
      <x:c r="H614" s="14" t="str">
        <x:v>Chưa bắt đầu</x:v>
      </x:c>
      <x:c r="I614" s="20" t="n">
        <x:f>IF(H614="Hoàn thành",100%,IF(H614="Không áp dụng",100%,IF(H614="Đang thực hiện",50%,IF(H614="Đang chờ phối hợp",25%,0%))))</x:f>
        <x:v>0</x:v>
      </x:c>
      <x:c r="J614" s="58" t="str"/>
      <x:c r="K614" s="14" t="str"/>
      <x:c r="L614" s="14" t="str"/>
      <x:c r="M614" s="14" t="str"/>
      <x:c r="N614" s="14" t="str"/>
      <x:c r="O614" s="14" t="str"/>
      <x:c r="P614" s="58" t="str"/>
      <x:c r="Q614" s="14" t="str"/>
    </x:row>
    <x:row r="615">
      <x:c r="A615" s="14" t="str">
        <x:v>VATM-0614</x:v>
      </x:c>
      <x:c r="B615" s="14" t="str">
        <x:v>An ninh hàng không</x:v>
      </x:c>
      <x:c r="C615" s="14" t="str">
        <x:v>Quản trị, phối hợp và giám sát ANHK</x:v>
      </x:c>
      <x:c r="D615" s="14" t="str">
        <x:v>Rà soát, cập nhật Chương trình an ninh hàng không của VATM/doanh nghiệp cung cấp dịch vụ không lưu theo luật mới và hướng dẫn của Nhà chức trách an ninh.</x:v>
      </x:c>
      <x:c r="E615" s="14" t="str">
        <x:v>Ban An ninh hàng không</x:v>
      </x:c>
      <x:c r="F615" s="14" t="str">
        <x:v>Rất cao</x:v>
      </x:c>
      <x:c r="G615" s="14" t="str">
        <x:v>Bắt đầu: 06/2026; Hoàn thành: Sau khi văn bản hướng dẫn</x:v>
      </x:c>
      <x:c r="H615" s="14" t="str">
        <x:v>Chưa bắt đầu</x:v>
      </x:c>
      <x:c r="I615" s="20" t="n">
        <x:f>IF(H615="Hoàn thành",100%,IF(H615="Không áp dụng",100%,IF(H615="Đang thực hiện",50%,IF(H615="Đang chờ phối hợp",25%,0%))))</x:f>
        <x:v>0</x:v>
      </x:c>
      <x:c r="J615" s="58" t="str"/>
      <x:c r="K615" s="14" t="str"/>
      <x:c r="L615" s="14" t="str"/>
      <x:c r="M615" s="14" t="str"/>
      <x:c r="N615" s="14" t="str"/>
      <x:c r="O615" s="14" t="str"/>
      <x:c r="P615" s="58" t="str"/>
      <x:c r="Q615" s="14" t="str"/>
    </x:row>
    <x:row r="616">
      <x:c r="A616" s="14" t="str">
        <x:v>VATM-0615</x:v>
      </x:c>
      <x:c r="B616" s="14" t="str">
        <x:v>An ninh hàng không</x:v>
      </x:c>
      <x:c r="C616" s="14" t="str">
        <x:v>Quản trị, phối hợp và giám sát ANHK</x:v>
      </x:c>
      <x:c r="D616" s="14" t="str">
        <x:v>Phân vùng bảo vệ công trình/cơ sở ATS/CNS/MET/AIS/SAR, kiểm soát ra vào, nhà thầu, thẻ/giấy phép, tài sản thông tin.</x:v>
      </x:c>
      <x:c r="E616" s="14" t="str">
        <x:v>Ban An ninh hàng không</x:v>
      </x:c>
      <x:c r="F616" s="14" t="str">
        <x:v>Rất cao</x:v>
      </x:c>
      <x:c r="G616" s="14" t="str">
        <x:v>Bắt đầu: 07/2026; Hoàn thành: 12/2026</x:v>
      </x:c>
      <x:c r="H616" s="14" t="str">
        <x:v>Chưa bắt đầu</x:v>
      </x:c>
      <x:c r="I616" s="20" t="n">
        <x:f>IF(H616="Hoàn thành",100%,IF(H616="Không áp dụng",100%,IF(H616="Đang thực hiện",50%,IF(H616="Đang chờ phối hợp",25%,0%))))</x:f>
        <x:v>0</x:v>
      </x:c>
      <x:c r="J616" s="58" t="str"/>
      <x:c r="K616" s="14" t="str"/>
      <x:c r="L616" s="14" t="str"/>
      <x:c r="M616" s="14" t="str"/>
      <x:c r="N616" s="14" t="str"/>
      <x:c r="O616" s="14" t="str"/>
      <x:c r="P616" s="58" t="str"/>
      <x:c r="Q616" s="14" t="str"/>
    </x:row>
    <x:row r="617">
      <x:c r="A617" s="14" t="str">
        <x:v>VATM-0616</x:v>
      </x:c>
      <x:c r="B617" s="14" t="str">
        <x:v>An ninh hàng không</x:v>
      </x:c>
      <x:c r="C617" s="14" t="str">
        <x:v>Quản trị, phối hợp và giám sát ANHK</x:v>
      </x:c>
      <x:c r="D617" s="14" t="str">
        <x:v>Cập nhật quy trình ATC/an ninh đối phó can thiệp bất hợp pháp: ưu tiên điều hành bay, bảo mật thông tin, phối hợp cơ quan chức năng.</x:v>
      </x:c>
      <x:c r="E617" s="14" t="str">
        <x:v>Ban An ninh hàng không; Ban Không lưu</x:v>
      </x:c>
      <x:c r="F617" s="14" t="str">
        <x:v>Rất cao</x:v>
      </x:c>
      <x:c r="G617" s="14" t="str">
        <x:v>Bắt đầu: 07/2026; Hoàn thành: Duy trì</x:v>
      </x:c>
      <x:c r="H617" s="14" t="str">
        <x:v>Chưa bắt đầu</x:v>
      </x:c>
      <x:c r="I617" s="20" t="n">
        <x:f>IF(H617="Hoàn thành",100%,IF(H617="Không áp dụng",100%,IF(H617="Đang thực hiện",50%,IF(H617="Đang chờ phối hợp",25%,0%))))</x:f>
        <x:v>0</x:v>
      </x:c>
      <x:c r="J617" s="58" t="str"/>
      <x:c r="K617" s="14" t="str"/>
      <x:c r="L617" s="14" t="str"/>
      <x:c r="M617" s="14" t="str"/>
      <x:c r="N617" s="14" t="str"/>
      <x:c r="O617" s="14" t="str"/>
      <x:c r="P617" s="58" t="str"/>
      <x:c r="Q617" s="14" t="str"/>
    </x:row>
    <x:row r="618">
      <x:c r="A618" s="14" t="str">
        <x:v>VATM-0617</x:v>
      </x:c>
      <x:c r="B618" s="14" t="str">
        <x:v>An ninh hàng không</x:v>
      </x:c>
      <x:c r="C618" s="14" t="str">
        <x:v>Quản trị, phối hợp và giám sát ANHK</x:v>
      </x:c>
      <x:c r="D618" s="14" t="str">
        <x:v>Thiết lập quy trình hỗ trợ giám sát viên an ninh hàng không và lực lượng kiểm soát an ninh khi kiểm tra cơ sở VATM.</x:v>
      </x:c>
      <x:c r="E618" s="14" t="str">
        <x:v>Ban An ninh hàng không</x:v>
      </x:c>
      <x:c r="F618" s="14" t="str">
        <x:v>Trung bình</x:v>
      </x:c>
      <x:c r="G618" s="14" t="str">
        <x:v>Bắt đầu: 07/2026; Hoàn thành: Duy trì</x:v>
      </x:c>
      <x:c r="H618" s="14" t="str">
        <x:v>Chưa bắt đầu</x:v>
      </x:c>
      <x:c r="I618" s="20" t="n">
        <x:f>IF(H618="Hoàn thành",100%,IF(H618="Không áp dụng",100%,IF(H618="Đang thực hiện",50%,IF(H618="Đang chờ phối hợp",25%,0%))))</x:f>
        <x:v>0</x:v>
      </x:c>
      <x:c r="J618" s="58" t="str"/>
      <x:c r="K618" s="14" t="str"/>
      <x:c r="L618" s="14" t="str"/>
      <x:c r="M618" s="14" t="str"/>
      <x:c r="N618" s="14" t="str"/>
      <x:c r="O618" s="14" t="str"/>
      <x:c r="P618" s="58" t="str"/>
      <x:c r="Q618" s="14" t="str"/>
    </x:row>
    <x:row r="619">
      <x:c r="A619" s="14" t="str">
        <x:v>VATM-0618</x:v>
      </x:c>
      <x:c r="B619" s="14" t="str">
        <x:v>Huấn luyện đào tạo &amp; nhân viên HK</x:v>
      </x:c>
      <x:c r="C619" s="14" t="str">
        <x:v>Quản lý năng lực và hồ sơ đào tạo</x:v>
      </x:c>
      <x:c r="D619" s="14" t="str">
        <x:v>Kiểm kê giấy phép, chứng chỉ, năng định, sức khỏe, tiếng Anh ICAO của KSVKL và nhân viên hàng không VATM.</x:v>
      </x:c>
      <x:c r="E619" s="14" t="str">
        <x:v>Trung tâm Huấn luyện đào tạo; Ban Tổ chức cán bộ</x:v>
      </x:c>
      <x:c r="F619" s="14" t="str">
        <x:v>Rất cao</x:v>
      </x:c>
      <x:c r="G619" s="14" t="str">
        <x:v>Bắt đầu: 06/2026; Hoàn thành: 09/2026</x:v>
      </x:c>
      <x:c r="H619" s="14" t="str">
        <x:v>Chưa bắt đầu</x:v>
      </x:c>
      <x:c r="I619" s="20" t="n">
        <x:f>IF(H619="Hoàn thành",100%,IF(H619="Không áp dụng",100%,IF(H619="Đang thực hiện",50%,IF(H619="Đang chờ phối hợp",25%,0%))))</x:f>
        <x:v>0</x:v>
      </x:c>
      <x:c r="J619" s="58" t="str"/>
      <x:c r="K619" s="14" t="str"/>
      <x:c r="L619" s="14" t="str"/>
      <x:c r="M619" s="14" t="str"/>
      <x:c r="N619" s="14" t="str"/>
      <x:c r="O619" s="14" t="str"/>
      <x:c r="P619" s="58" t="str"/>
      <x:c r="Q619" s="14" t="str"/>
    </x:row>
    <x:row r="620">
      <x:c r="A620" s="14" t="str">
        <x:v>VATM-0619</x:v>
      </x:c>
      <x:c r="B620" s="14" t="str">
        <x:v>Huấn luyện đào tạo &amp; nhân viên HK</x:v>
      </x:c>
      <x:c r="C620" s="14" t="str">
        <x:v>Quản lý năng lực và hồ sơ đào tạo</x:v>
      </x:c>
      <x:c r="D620" s="14" t="str">
        <x:v>Xây dựng chương trình đào tạo lại về Luật 130 và NĐ/TT mới cho KSVKL, ATSEP, AIS, MET, SAR, an ninh, pháp chế.</x:v>
      </x:c>
      <x:c r="E620" s="14" t="str">
        <x:v>Trung tâm Huấn luyện đào tạo; Ban Tổ chức cán bộ</x:v>
      </x:c>
      <x:c r="F620" s="14" t="str">
        <x:v>Cao</x:v>
      </x:c>
      <x:c r="G620" s="14" t="str">
        <x:v>Bắt đầu: 07/2026; Hoàn thành: 06/2027</x:v>
      </x:c>
      <x:c r="H620" s="14" t="str">
        <x:v>Chưa bắt đầu</x:v>
      </x:c>
      <x:c r="I620" s="20" t="n">
        <x:f>IF(H620="Hoàn thành",100%,IF(H620="Không áp dụng",100%,IF(H620="Đang thực hiện",50%,IF(H620="Đang chờ phối hợp",25%,0%))))</x:f>
        <x:v>0</x:v>
      </x:c>
      <x:c r="J620" s="58" t="str"/>
      <x:c r="K620" s="14" t="str"/>
      <x:c r="L620" s="14" t="str"/>
      <x:c r="M620" s="14" t="str"/>
      <x:c r="N620" s="14" t="str"/>
      <x:c r="O620" s="14" t="str"/>
      <x:c r="P620" s="58" t="str"/>
      <x:c r="Q620" s="14" t="str"/>
    </x:row>
    <x:row r="621">
      <x:c r="A621" s="14" t="str">
        <x:v>VATM-0620</x:v>
      </x:c>
      <x:c r="B621" s="14" t="str">
        <x:v>Huấn luyện đào tạo &amp; nhân viên HK</x:v>
      </x:c>
      <x:c r="C621" s="14" t="str">
        <x:v>Quản lý năng lực và hồ sơ đào tạo</x:v>
      </x:c>
      <x:c r="D621" s="14" t="str">
        <x:v>Củng cố hệ thống quản lý mệt mỏi/thời giờ làm việc, nghỉ ngơi đối với KSVKL và vị trí an toàn trọng yếu.</x:v>
      </x:c>
      <x:c r="E621" s="14" t="str">
        <x:v>Trung tâm Huấn luyện đào tạo; Ban Tổ chức cán bộ; Ban Không lưu; Ban An toàn - Chất lượng</x:v>
      </x:c>
      <x:c r="F621" s="14" t="str">
        <x:v>Cao</x:v>
      </x:c>
      <x:c r="G621" s="14" t="str">
        <x:v>Bắt đầu: 2026; Hoàn thành: Duy trì</x:v>
      </x:c>
      <x:c r="H621" s="14" t="str">
        <x:v>Chưa bắt đầu</x:v>
      </x:c>
      <x:c r="I621" s="20" t="n">
        <x:f>IF(H621="Hoàn thành",100%,IF(H621="Không áp dụng",100%,IF(H621="Đang thực hiện",50%,IF(H621="Đang chờ phối hợp",25%,0%))))</x:f>
        <x:v>0</x:v>
      </x:c>
      <x:c r="J621" s="58" t="str"/>
      <x:c r="K621" s="14" t="str"/>
      <x:c r="L621" s="14" t="str"/>
      <x:c r="M621" s="14" t="str"/>
      <x:c r="N621" s="14" t="str"/>
      <x:c r="O621" s="14" t="str"/>
      <x:c r="P621" s="58" t="str"/>
      <x:c r="Q621" s="14" t="str"/>
    </x:row>
    <x:row r="622">
      <x:c r="A622" s="14" t="str">
        <x:v>VATM-0621</x:v>
      </x:c>
      <x:c r="B622" s="14" t="str">
        <x:v>Tài chính - Kế hoạch đầu tư</x:v>
      </x:c>
      <x:c r="C622" s="14" t="str">
        <x:v>Kế hoạch vốn, đầu tư và mua sắm</x:v>
      </x:c>
      <x:c r="D622" s="14" t="str">
        <x:v>Xây dựng phương án sử dụng nguồn phí được giữ lại theo quy định Chính phủ để đào tạo, hợp tác quốc tế, đầu tư hiện đại hóa, an toàn/an ninh.</x:v>
      </x:c>
      <x:c r="E622" s="14" t="str">
        <x:v>Ban Kế hoạch - Đầu tư; Ban Tài chính</x:v>
      </x:c>
      <x:c r="F622" s="14" t="str">
        <x:v>Rất cao</x:v>
      </x:c>
      <x:c r="G622" s="14" t="str">
        <x:v>Bắt đầu: 07/2026; Hoàn thành: Sau NĐ/TT</x:v>
      </x:c>
      <x:c r="H622" s="14" t="str">
        <x:v>Chưa bắt đầu</x:v>
      </x:c>
      <x:c r="I622" s="20" t="n">
        <x:f>IF(H622="Hoàn thành",100%,IF(H622="Không áp dụng",100%,IF(H622="Đang thực hiện",50%,IF(H622="Đang chờ phối hợp",25%,0%))))</x:f>
        <x:v>0</x:v>
      </x:c>
      <x:c r="J622" s="58" t="str"/>
      <x:c r="K622" s="14" t="str"/>
      <x:c r="L622" s="14" t="str"/>
      <x:c r="M622" s="14" t="str"/>
      <x:c r="N622" s="14" t="str"/>
      <x:c r="O622" s="14" t="str"/>
      <x:c r="P622" s="58" t="str"/>
      <x:c r="Q622" s="14" t="str"/>
    </x:row>
    <x:row r="623">
      <x:c r="A623" s="14" t="str">
        <x:v>VATM-0622</x:v>
      </x:c>
      <x:c r="B623" s="14" t="str">
        <x:v>Tài chính - Kế hoạch đầu tư</x:v>
      </x:c>
      <x:c r="C623" s="14" t="str">
        <x:v>Kế hoạch vốn, đầu tư và mua sắm</x:v>
      </x:c>
      <x:c r="D623" s="14" t="str">
        <x:v>Ưu tiên danh mục đầu tư hiện đại hóa ANS: CNS/ATM, AIM số, ATFM, an ninh mạng, trung tâm dự phòng, eTOD/SWIM.</x:v>
      </x:c>
      <x:c r="E623" s="14" t="str">
        <x:v>Ban Kế hoạch - Đầu tư; Ban Tài chính</x:v>
      </x:c>
      <x:c r="F623" s="14" t="str">
        <x:v>Cao</x:v>
      </x:c>
      <x:c r="G623" s="14" t="str">
        <x:v>Bắt đầu: 2026; Hoàn thành: 2030</x:v>
      </x:c>
      <x:c r="H623" s="14" t="str">
        <x:v>Chưa bắt đầu</x:v>
      </x:c>
      <x:c r="I623" s="20" t="n">
        <x:f>IF(H623="Hoàn thành",100%,IF(H623="Không áp dụng",100%,IF(H623="Đang thực hiện",50%,IF(H623="Đang chờ phối hợp",25%,0%))))</x:f>
        <x:v>0</x:v>
      </x:c>
      <x:c r="J623" s="58" t="str"/>
      <x:c r="K623" s="14" t="str"/>
      <x:c r="L623" s="14" t="str"/>
      <x:c r="M623" s="14" t="str"/>
      <x:c r="N623" s="14" t="str"/>
      <x:c r="O623" s="14" t="str"/>
      <x:c r="P623" s="58" t="str"/>
      <x:c r="Q623" s="14" t="str"/>
    </x:row>
    <x:row r="624">
      <x:c r="A624" s="14" t="str">
        <x:v>VATM-0623</x:v>
      </x:c>
      <x:c r="B624" s="14" t="str">
        <x:v>Tài chính - Kế hoạch đầu tư</x:v>
      </x:c>
      <x:c r="C624" s="14" t="str">
        <x:v>Kế hoạch vốn, đầu tư và mua sắm</x:v>
      </x:c>
      <x:c r="D624" s="14" t="str">
        <x:v>Rà soát đất/công trình BĐHĐB tại cảng hàng không và ngoài cảng, hồ sơ chuyển tiếp, thuê đất, đầu tư nâng cấp.</x:v>
      </x:c>
      <x:c r="E624" s="14" t="str">
        <x:v>Ban Kế hoạch - Đầu tư; Ban Tài chính; Văn phòng - Pháp chế</x:v>
      </x:c>
      <x:c r="F624" s="14" t="str">
        <x:v>Rất cao</x:v>
      </x:c>
      <x:c r="G624" s="14" t="str">
        <x:v>Bắt đầu: 06/2026; Hoàn thành: 12/2026</x:v>
      </x:c>
      <x:c r="H624" s="14" t="str">
        <x:v>Chưa bắt đầu</x:v>
      </x:c>
      <x:c r="I624" s="20" t="n">
        <x:f>IF(H624="Hoàn thành",100%,IF(H624="Không áp dụng",100%,IF(H624="Đang thực hiện",50%,IF(H624="Đang chờ phối hợp",25%,0%))))</x:f>
        <x:v>0</x:v>
      </x:c>
      <x:c r="J624" s="58" t="str"/>
      <x:c r="K624" s="14" t="str"/>
      <x:c r="L624" s="14" t="str"/>
      <x:c r="M624" s="14" t="str"/>
      <x:c r="N624" s="14" t="str"/>
      <x:c r="O624" s="14" t="str"/>
      <x:c r="P624" s="58" t="str"/>
      <x:c r="Q624" s="14" t="str"/>
    </x:row>
    <x:row r="625">
      <x:c r="A625" s="14" t="str">
        <x:v>VATM-0624</x:v>
      </x:c>
      <x:c r="B625" s="14" t="str">
        <x:v>Tuân thủ, pháp chế &amp; quản trị</x:v>
      </x:c>
      <x:c r="C625" s="14" t="str">
        <x:v>Quản trị triển khai, RACI và báo cáo</x:v>
      </x:c>
      <x:c r="D625" s="14" t="str">
        <x:v>Theo dõi văn bản Chính phủ về vận tải hàng không tầm thấp/UAV và đánh giá tác động với ATS, vùng trời thấp, sân bay, CNS.</x:v>
      </x:c>
      <x:c r="E625" s="14" t="str">
        <x:v>Văn phòng - Pháp chế; Ban Không lưu; Ban Kỹ thuật - CNS/IT/Môi trường; Ban An toàn - Chất lượng</x:v>
      </x:c>
      <x:c r="F625" s="14" t="str">
        <x:v>Cao</x:v>
      </x:c>
      <x:c r="G625" s="14" t="str">
        <x:v>Bắt đầu: 2026; Hoàn thành: 2028</x:v>
      </x:c>
      <x:c r="H625" s="14" t="str">
        <x:v>Chưa bắt đầu</x:v>
      </x:c>
      <x:c r="I625" s="20" t="n">
        <x:f>IF(H625="Hoàn thành",100%,IF(H625="Không áp dụng",100%,IF(H625="Đang thực hiện",50%,IF(H625="Đang chờ phối hợp",25%,0%))))</x:f>
        <x:v>0</x:v>
      </x:c>
      <x:c r="J625" s="58" t="str"/>
      <x:c r="K625" s="14" t="str"/>
      <x:c r="L625" s="14" t="str"/>
      <x:c r="M625" s="14" t="str"/>
      <x:c r="N625" s="14" t="str"/>
      <x:c r="O625" s="14" t="str"/>
      <x:c r="P625" s="58" t="str"/>
      <x:c r="Q625" s="14" t="str"/>
    </x:row>
    <x:row r="626">
      <x:c r="A626" s="14" t="str">
        <x:v>VATM-0625</x:v>
      </x:c>
      <x:c r="B626" s="14" t="str">
        <x:v>Tuân thủ, pháp chế &amp; quản trị</x:v>
      </x:c>
      <x:c r="C626" s="14" t="str">
        <x:v>Quản trị triển khai, RACI và báo cáo</x:v>
      </x:c>
      <x:c r="D626" s="14" t="str">
        <x:v>Tổ chức phổ biến Luật 130/2025 và nhiệm vụ VATM theo nhóm chức danh, đặc biệt thay đổi từ 01/07/2026.</x:v>
      </x:c>
      <x:c r="E626" s="14" t="str">
        <x:v>Văn phòng - Pháp chế</x:v>
      </x:c>
      <x:c r="F626" s="14" t="str">
        <x:v>Cao</x:v>
      </x:c>
      <x:c r="G626" s="14" t="str">
        <x:v>Bắt đầu: 06/2026; Hoàn thành: 09/2026</x:v>
      </x:c>
      <x:c r="H626" s="14" t="str">
        <x:v>Đang thực hiện</x:v>
      </x:c>
      <x:c r="I626" s="20" t="n">
        <x:f>IF(H626="Hoàn thành",100%,IF(H626="Không áp dụng",100%,IF(H626="Đang thực hiện",50%,IF(H626="Đang chờ phối hợp",25%,0%))))</x:f>
        <x:v>0.5</x:v>
      </x:c>
      <x:c r="J626" s="58" t="str"/>
      <x:c r="K626" s="14" t="str"/>
      <x:c r="L626" s="14" t="str"/>
      <x:c r="M626" s="14" t="str"/>
      <x:c r="N626" s="14" t="str"/>
      <x:c r="O626" s="14" t="str"/>
      <x:c r="P626" s="58" t="str"/>
      <x:c r="Q626" s="14" t="str"/>
    </x:row>
    <x:row r="627">
      <x:c r="A627" s="14" t="str">
        <x:v>VATM-0626</x:v>
      </x:c>
      <x:c r="B627" s="14" t="str">
        <x:v>Tuân thủ, pháp chế &amp; quản trị</x:v>
      </x:c>
      <x:c r="C627" s="14" t="str">
        <x:v>Quản trị triển khai, RACI và báo cáo</x:v>
      </x:c>
      <x:c r="D627" s="14" t="str">
        <x:v>Thiết lập/duy trì hệ thống quản lý chất lượng cho AIS/AIM, MET, CNS maintenance, service delivery và hồ sơ phê chuẩn.</x:v>
      </x:c>
      <x:c r="E627" s="14" t="str">
        <x:v>Văn phòng - Pháp chế; Ban An toàn - Chất lượng</x:v>
      </x:c>
      <x:c r="F627" s="14" t="str">
        <x:v>Cao</x:v>
      </x:c>
      <x:c r="G627" s="14" t="str">
        <x:v>Bắt đầu: 2026; Hoàn thành: Duy trì</x:v>
      </x:c>
      <x:c r="H627" s="14" t="str">
        <x:v>Chưa bắt đầu</x:v>
      </x:c>
      <x:c r="I627" s="20" t="n">
        <x:f>IF(H627="Hoàn thành",100%,IF(H627="Không áp dụng",100%,IF(H627="Đang thực hiện",50%,IF(H627="Đang chờ phối hợp",25%,0%))))</x:f>
        <x:v>0</x:v>
      </x:c>
      <x:c r="J627" s="58" t="str"/>
      <x:c r="K627" s="14" t="str"/>
      <x:c r="L627" s="14" t="str"/>
      <x:c r="M627" s="14" t="str"/>
      <x:c r="N627" s="14" t="str"/>
      <x:c r="O627" s="14" t="str"/>
      <x:c r="P627" s="58" t="str"/>
      <x:c r="Q627" s="14" t="str"/>
    </x:row>
    <x:row r="628">
      <x:c r="A628" s="14" t="str">
        <x:v>VATM-0627</x:v>
      </x:c>
      <x:c r="B628" s="14" t="str">
        <x:v>Tuân thủ, pháp chế &amp; quản trị</x:v>
      </x:c>
      <x:c r="C628" s="14" t="str">
        <x:v>Quản trị triển khai, RACI và báo cáo</x:v>
      </x:c>
      <x:c r="D628" s="14" t="str">
        <x:v>Chuẩn hóa quy trình quản lý thay đổi đối với công trình, hệ thống CNS/ATM, phương thức bay, vùng trời, dữ liệu AIS/MET.</x:v>
      </x:c>
      <x:c r="E628" s="14" t="str">
        <x:v>Văn phòng - Pháp chế; Ban An toàn - Chất lượng</x:v>
      </x:c>
      <x:c r="F628" s="14" t="str">
        <x:v>Rất cao</x:v>
      </x:c>
      <x:c r="G628" s="14" t="str">
        <x:v>Bắt đầu: 07/2026; Hoàn thành: 12/2026</x:v>
      </x:c>
      <x:c r="H628" s="14" t="str">
        <x:v>Chưa bắt đầu</x:v>
      </x:c>
      <x:c r="I628" s="20" t="n">
        <x:f>IF(H628="Hoàn thành",100%,IF(H628="Không áp dụng",100%,IF(H628="Đang thực hiện",50%,IF(H628="Đang chờ phối hợp",25%,0%))))</x:f>
        <x:v>0</x:v>
      </x:c>
      <x:c r="J628" s="58" t="str"/>
      <x:c r="K628" s="14" t="str"/>
      <x:c r="L628" s="14" t="str"/>
      <x:c r="M628" s="14" t="str"/>
      <x:c r="N628" s="14" t="str"/>
      <x:c r="O628" s="14" t="str"/>
      <x:c r="P628" s="58" t="str"/>
      <x:c r="Q628" s="14" t="str"/>
    </x:row>
    <x:row r="629">
      <x:c r="A629" s="14" t="str">
        <x:v>VATM-0628</x:v>
      </x:c>
      <x:c r="B629" s="14" t="str">
        <x:v>An ninh hàng không</x:v>
      </x:c>
      <x:c r="C629" s="14" t="str">
        <x:v>An ninh hệ thống CNS/ATM/CNTT</x:v>
      </x:c>
      <x:c r="D629" s="14" t="str">
        <x:v>Rà soát an ninh mạng đối với hệ thống CNS/ATM, AIM, MET, SAR, dữ liệu an toàn và hạ tầng kết nối.</x:v>
      </x:c>
      <x:c r="E629" s="14" t="str">
        <x:v>Ban An ninh hàng không; Ban Kế hoạch doanh nghiệp - Chuyển đổi số; Ban Kỹ thuật - CNS/IT/Môi trường</x:v>
      </x:c>
      <x:c r="F629" s="14" t="str">
        <x:v>Rất cao</x:v>
      </x:c>
      <x:c r="G629" s="14" t="str">
        <x:v>Bắt đầu: 2026; Hoàn thành: Duy trì</x:v>
      </x:c>
      <x:c r="H629" s="14" t="str">
        <x:v>Chưa bắt đầu</x:v>
      </x:c>
      <x:c r="I629" s="20" t="n">
        <x:f>IF(H629="Hoàn thành",100%,IF(H629="Không áp dụng",100%,IF(H629="Đang thực hiện",50%,IF(H629="Đang chờ phối hợp",25%,0%))))</x:f>
        <x:v>0</x:v>
      </x:c>
      <x:c r="J629" s="58" t="str"/>
      <x:c r="K629" s="14" t="str"/>
      <x:c r="L629" s="14" t="str"/>
      <x:c r="M629" s="14" t="str"/>
      <x:c r="N629" s="14" t="str"/>
      <x:c r="O629" s="14" t="str"/>
      <x:c r="P629" s="58" t="str"/>
      <x:c r="Q629" s="14" t="str"/>
    </x:row>
    <x:row r="630">
      <x:c r="A630" s="14" t="str">
        <x:v>VATM-0629</x:v>
      </x:c>
      <x:c r="B630" s="14" t="str">
        <x:v>An ninh hàng không</x:v>
      </x:c>
      <x:c r="C630" s="14" t="str">
        <x:v>An ninh hệ thống CNS/ATM/CNTT</x:v>
      </x:c>
      <x:c r="D630" s="14" t="str">
        <x:v>Thiết lập phân quyền, logging, sao lưu và khôi phục thảm họa cho dữ liệu ANS/safety/AIM.</x:v>
      </x:c>
      <x:c r="E630" s="14" t="str">
        <x:v>Ban An ninh hàng không; Ban Kế hoạch doanh nghiệp - Chuyển đổi số; Ban Kỹ thuật - CNS/IT/Môi trường</x:v>
      </x:c>
      <x:c r="F630" s="14" t="str">
        <x:v>Cao</x:v>
      </x:c>
      <x:c r="G630" s="14" t="str">
        <x:v>Bắt đầu: 2026; Hoàn thành: Duy trì</x:v>
      </x:c>
      <x:c r="H630" s="14" t="str">
        <x:v>Chưa bắt đầu</x:v>
      </x:c>
      <x:c r="I630" s="20" t="n">
        <x:f>IF(H630="Hoàn thành",100%,IF(H630="Không áp dụng",100%,IF(H630="Đang thực hiện",50%,IF(H630="Đang chờ phối hợp",25%,0%))))</x:f>
        <x:v>0</x:v>
      </x:c>
      <x:c r="J630" s="58" t="str"/>
      <x:c r="K630" s="14" t="str"/>
      <x:c r="L630" s="14" t="str"/>
      <x:c r="M630" s="14" t="str"/>
      <x:c r="N630" s="14" t="str"/>
      <x:c r="O630" s="14" t="str"/>
      <x:c r="P630" s="58" t="str"/>
      <x:c r="Q630" s="14" t="str"/>
    </x:row>
    <x:row r="631">
      <x:c r="A631" s="14" t="str">
        <x:v>VATM-0630</x:v>
      </x:c>
      <x:c r="B631" s="14" t="str">
        <x:v>Tuân thủ, pháp chế &amp; quản trị</x:v>
      </x:c>
      <x:c r="C631" s="14" t="str">
        <x:v>Hợp tác quốc tế/đối ngoại chuyên ngành</x:v>
      </x:c>
      <x:c r="D631" s="14" t="str">
        <x:v>Rà soát thỏa thuận phối hợp ATS/SAR/AIS/ATFM với ANSP và RCC quốc gia lân cận, ICAO khu vực.</x:v>
      </x:c>
      <x:c r="E631" s="14" t="str">
        <x:v>Văn phòng - Pháp chế; Ban Không lưu; Trung tâm Tìm kiếm cứu nạn hàng không</x:v>
      </x:c>
      <x:c r="F631" s="14" t="str">
        <x:v>Cao</x:v>
      </x:c>
      <x:c r="G631" s="14" t="str">
        <x:v>Bắt đầu: 2026; Hoàn thành: Duy trì</x:v>
      </x:c>
      <x:c r="H631" s="14" t="str">
        <x:v>Chưa bắt đầu</x:v>
      </x:c>
      <x:c r="I631" s="20" t="n">
        <x:f>IF(H631="Hoàn thành",100%,IF(H631="Không áp dụng",100%,IF(H631="Đang thực hiện",50%,IF(H631="Đang chờ phối hợp",25%,0%))))</x:f>
        <x:v>0</x:v>
      </x:c>
      <x:c r="J631" s="58" t="str"/>
      <x:c r="K631" s="14" t="str"/>
      <x:c r="L631" s="14" t="str"/>
      <x:c r="M631" s="14" t="str"/>
      <x:c r="N631" s="14" t="str"/>
      <x:c r="O631" s="14" t="str"/>
      <x:c r="P631" s="58" t="str"/>
      <x:c r="Q631" s="14" t="str"/>
    </x:row>
    <x:row r="632">
      <x:c r="A632" s="14" t="str">
        <x:v>VATM-0631</x:v>
      </x:c>
      <x:c r="B632" s="14" t="str">
        <x:v>Tuân thủ, pháp chế &amp; quản trị</x:v>
      </x:c>
      <x:c r="C632" s="14" t="str">
        <x:v>Hợp tác quốc tế/đối ngoại chuyên ngành</x:v>
      </x:c>
      <x:c r="D632" s="14" t="str">
        <x:v>Lựa chọn chương trình hợp tác quốc tế phục vụ hiện đại hóa ANS, đào tạo KSVKL/ATSEP/AIM/MET/SAR và áp dụng ICAO ASBU.</x:v>
      </x:c>
      <x:c r="E632" s="14" t="str">
        <x:v>Văn phòng - Pháp chế</x:v>
      </x:c>
      <x:c r="F632" s="14" t="str">
        <x:v>Trung bình</x:v>
      </x:c>
      <x:c r="G632" s="14" t="str">
        <x:v>Bắt đầu: 2026; Hoàn thành: 2030</x:v>
      </x:c>
      <x:c r="H632" s="14" t="str">
        <x:v>Chưa bắt đầu</x:v>
      </x:c>
      <x:c r="I632" s="20" t="n">
        <x:f>IF(H632="Hoàn thành",100%,IF(H632="Không áp dụng",100%,IF(H632="Đang thực hiện",50%,IF(H632="Đang chờ phối hợp",25%,0%))))</x:f>
        <x:v>0</x:v>
      </x:c>
      <x:c r="J632" s="58" t="str"/>
      <x:c r="K632" s="14" t="str"/>
      <x:c r="L632" s="14" t="str"/>
      <x:c r="M632" s="14" t="str"/>
      <x:c r="N632" s="14" t="str"/>
      <x:c r="O632" s="14" t="str"/>
      <x:c r="P632" s="58" t="str"/>
      <x:c r="Q632" s="14" t="str"/>
    </x:row>
    <x:row r="633">
      <x:c r="A633" s="14" t="str">
        <x:v>VATM-0632</x:v>
      </x:c>
      <x:c r="B633" s="14" t="str">
        <x:v>Quản lý khai thác cảng/sân bay</x:v>
      </x:c>
      <x:c r="C633" s="14" t="str">
        <x:v>Công trình, chướng ngại và thi công</x:v>
      </x:c>
      <x:c r="D633" s="14" t="str">
        <x:v>Lập register tình trạng cấp phép/phê chuẩn cơ sở BĐHĐB, công trình, hệ thống trang thiết bị, tài liệu khai thác, sơ đồ/bản đồ.</x:v>
      </x:c>
      <x:c r="E633" s="14" t="str">
        <x:v>Ban Kế hoạch - Đầu tư; Ban Không lưu; Ban Kỹ thuật - CNS/IT/Môi trường; Văn phòng - Pháp chế; Ban An toàn - Chất lượng</x:v>
      </x:c>
      <x:c r="F633" s="14" t="str">
        <x:v>Rất cao</x:v>
      </x:c>
      <x:c r="G633" s="14" t="str">
        <x:v>Bắt đầu: 06/2026; Hoàn thành: 09/2026</x:v>
      </x:c>
      <x:c r="H633" s="14" t="str">
        <x:v>Chưa bắt đầu</x:v>
      </x:c>
      <x:c r="I633" s="20" t="n">
        <x:f>IF(H633="Hoàn thành",100%,IF(H633="Không áp dụng",100%,IF(H633="Đang thực hiện",50%,IF(H633="Đang chờ phối hợp",25%,0%))))</x:f>
        <x:v>0</x:v>
      </x:c>
      <x:c r="J633" s="58" t="str"/>
      <x:c r="K633" s="14" t="str"/>
      <x:c r="L633" s="14" t="str"/>
      <x:c r="M633" s="14" t="str"/>
      <x:c r="N633" s="14" t="str"/>
      <x:c r="O633" s="14" t="str"/>
      <x:c r="P633" s="58" t="str"/>
      <x:c r="Q633" s="14" t="str"/>
    </x:row>
    <x:row r="634">
      <x:c r="A634" s="14" t="str">
        <x:v>VATM-0633</x:v>
      </x:c>
      <x:c r="B634" s="14" t="str">
        <x:v>Quản lý khai thác cảng/sân bay</x:v>
      </x:c>
      <x:c r="C634" s="14" t="str">
        <x:v>Công trình, chướng ngại và thi công</x:v>
      </x:c>
      <x:c r="D634" s="14" t="str">
        <x:v>Đánh giá hồ sơ chuyển tiếp của công trình BĐHĐB đang đầu tư/xây dựng/khai thác để đảm bảo không gián đoạn pháp lý sau ngày hiệu lực.</x:v>
      </x:c>
      <x:c r="E634" s="14" t="str">
        <x:v>Ban Kế hoạch - Đầu tư; Ban Không lưu; Ban Kỹ thuật - CNS/IT/Môi trường; Văn phòng - Pháp chế</x:v>
      </x:c>
      <x:c r="F634" s="14" t="str">
        <x:v>Rất cao</x:v>
      </x:c>
      <x:c r="G634" s="14" t="str">
        <x:v>Bắt đầu: 06/2026; Hoàn thành: 12/2026</x:v>
      </x:c>
      <x:c r="H634" s="14" t="str">
        <x:v>Chưa bắt đầu</x:v>
      </x:c>
      <x:c r="I634" s="20" t="n">
        <x:f>IF(H634="Hoàn thành",100%,IF(H634="Không áp dụng",100%,IF(H634="Đang thực hiện",50%,IF(H634="Đang chờ phối hợp",25%,0%))))</x:f>
        <x:v>0</x:v>
      </x:c>
      <x:c r="J634" s="58" t="str"/>
      <x:c r="K634" s="14" t="str"/>
      <x:c r="L634" s="14" t="str"/>
      <x:c r="M634" s="14" t="str"/>
      <x:c r="N634" s="14" t="str"/>
      <x:c r="O634" s="14" t="str"/>
      <x:c r="P634" s="58" t="str"/>
      <x:c r="Q634" s="14" t="str"/>
    </x:row>
    <x:row r="635">
      <x:c r="A635" s="14" t="str">
        <x:v>VATM-0634</x:v>
      </x:c>
      <x:c r="B635" s="14" t="str">
        <x:v>Quản lý khai thác cảng/sân bay</x:v>
      </x:c>
      <x:c r="C635" s="14" t="str">
        <x:v>Công trình, chướng ngại và thi công</x:v>
      </x:c>
      <x:c r="D635" s="14" t="str">
        <x:v>Thiết lập quy trình tham gia ý kiến VATM đối với quy hoạch, xây dựng, nâng cấp, dừng khai thác cảng/công trình ảnh hưởng ANS.</x:v>
      </x:c>
      <x:c r="E635" s="14" t="str">
        <x:v>Ban Kế hoạch - Đầu tư; Ban Không lưu; Ban Kỹ thuật - CNS/IT/Môi trường</x:v>
      </x:c>
      <x:c r="F635" s="14" t="str">
        <x:v>Cao</x:v>
      </x:c>
      <x:c r="G635" s="14" t="str">
        <x:v>Bắt đầu: 2026; Hoàn thành: Duy trì</x:v>
      </x:c>
      <x:c r="H635" s="14" t="str">
        <x:v>Chưa bắt đầu</x:v>
      </x:c>
      <x:c r="I635" s="20" t="n">
        <x:f>IF(H635="Hoàn thành",100%,IF(H635="Không áp dụng",100%,IF(H635="Đang thực hiện",50%,IF(H635="Đang chờ phối hợp",25%,0%))))</x:f>
        <x:v>0</x:v>
      </x:c>
      <x:c r="J635" s="58" t="str"/>
      <x:c r="K635" s="14" t="str"/>
      <x:c r="L635" s="14" t="str"/>
      <x:c r="M635" s="14" t="str"/>
      <x:c r="N635" s="14" t="str"/>
      <x:c r="O635" s="14" t="str"/>
      <x:c r="P635" s="58" t="str"/>
      <x:c r="Q635" s="14" t="str"/>
    </x:row>
    <x:row r="636">
      <x:c r="A636" s="14" t="str">
        <x:v>VATM-0635</x:v>
      </x:c>
      <x:c r="B636" s="14" t="str">
        <x:v>Quản lý khai thác cảng/sân bay</x:v>
      </x:c>
      <x:c r="C636" s="14" t="str">
        <x:v>Công trình, chướng ngại và thi công</x:v>
      </x:c>
      <x:c r="D636" s="14" t="str">
        <x:v>Ký/cập nhật cơ chế nhận thông tin chướng ngại vật từ địa phương, cảng hàng không, chủ công trình phục vụ eTOD/AIP/NOTAM.</x:v>
      </x:c>
      <x:c r="E636" s="14" t="str">
        <x:v>Ban Kế hoạch - Đầu tư; Ban Không lưu; Ban Kỹ thuật - CNS/IT/Môi trường; Trung tâm Thông báo tin tức hàng không</x:v>
      </x:c>
      <x:c r="F636" s="14" t="str">
        <x:v>Cao</x:v>
      </x:c>
      <x:c r="G636" s="14" t="str">
        <x:v>Bắt đầu: 2026; Hoàn thành: 2028</x:v>
      </x:c>
      <x:c r="H636" s="14" t="str">
        <x:v>Chưa bắt đầu</x:v>
      </x:c>
      <x:c r="I636" s="20" t="n">
        <x:f>IF(H636="Hoàn thành",100%,IF(H636="Không áp dụng",100%,IF(H636="Đang thực hiện",50%,IF(H636="Đang chờ phối hợp",25%,0%))))</x:f>
        <x:v>0</x:v>
      </x:c>
      <x:c r="J636" s="58" t="str"/>
      <x:c r="K636" s="14" t="str"/>
      <x:c r="L636" s="14" t="str"/>
      <x:c r="M636" s="14" t="str"/>
      <x:c r="N636" s="14" t="str"/>
      <x:c r="O636" s="14" t="str"/>
      <x:c r="P636" s="58" t="str"/>
      <x:c r="Q636" s="14" t="str"/>
    </x:row>
    <x:row r="637">
      <x:c r="A637" s="14" t="str">
        <x:v>VATM-0636</x:v>
      </x:c>
      <x:c r="B637" s="14" t="str">
        <x:v>Tuân thủ, pháp chế &amp; quản trị</x:v>
      </x:c>
      <x:c r="C637" s="14" t="str">
        <x:v>Quản trị triển khai, RACI và báo cáo</x:v>
      </x:c>
      <x:c r="D637" s="14" t="str">
        <x:v>Rà soát hợp đồng dịch vụ, thỏa thuận trao đổi dữ liệu, mua sắm/bảo trì CNS/ATM để cập nhật căn cứ Luật, tiêu chuẩn ICAO, bảo mật, dữ liệu.</x:v>
      </x:c>
      <x:c r="E637" s="14" t="str">
        <x:v>Văn phòng - Pháp chế; Ban Tài chính; Ban Kỹ thuật - CNS/IT/Môi trường</x:v>
      </x:c>
      <x:c r="F637" s="14" t="str">
        <x:v>Trung bình</x:v>
      </x:c>
      <x:c r="G637" s="14" t="str">
        <x:v>Bắt đầu: 2026; Hoàn thành: 2027</x:v>
      </x:c>
      <x:c r="H637" s="14" t="str">
        <x:v>Chưa bắt đầu</x:v>
      </x:c>
      <x:c r="I637" s="20" t="n">
        <x:f>IF(H637="Hoàn thành",100%,IF(H637="Không áp dụng",100%,IF(H637="Đang thực hiện",50%,IF(H637="Đang chờ phối hợp",25%,0%))))</x:f>
        <x:v>0</x:v>
      </x:c>
      <x:c r="J637" s="58" t="str"/>
      <x:c r="K637" s="14" t="str"/>
      <x:c r="L637" s="14" t="str"/>
      <x:c r="M637" s="14" t="str"/>
      <x:c r="N637" s="14" t="str"/>
      <x:c r="O637" s="14" t="str"/>
      <x:c r="P637" s="58" t="str"/>
      <x:c r="Q637" s="14" t="str"/>
    </x:row>
    <x:row r="638">
      <x:c r="A638" s="14" t="str">
        <x:v>VATM-0637</x:v>
      </x:c>
      <x:c r="B638" s="14" t="str">
        <x:v>Tuân thủ, pháp chế &amp; quản trị</x:v>
      </x:c>
      <x:c r="C638" s="14" t="str">
        <x:v>Quản trị triển khai, RACI và báo cáo</x:v>
      </x:c>
      <x:c r="D638" s="14" t="str">
        <x:v>Rà soát quy định nhà thầu/khách đến làm việc tại cơ sở VATM về an ninh, bảo mật, an toàn, truy cập hệ thống.</x:v>
      </x:c>
      <x:c r="E638" s="14" t="str">
        <x:v>Văn phòng - Pháp chế; Ban Kế hoạch doanh nghiệp - Chuyển đổi số; Ban Kỹ thuật - CNS/IT/Môi trường; Ban An ninh hàng không</x:v>
      </x:c>
      <x:c r="F638" s="14" t="str">
        <x:v>Cao</x:v>
      </x:c>
      <x:c r="G638" s="14" t="str">
        <x:v>Bắt đầu: 2026; Hoàn thành: Duy trì</x:v>
      </x:c>
      <x:c r="H638" s="14" t="str">
        <x:v>Chưa bắt đầu</x:v>
      </x:c>
      <x:c r="I638" s="20" t="n">
        <x:f>IF(H638="Hoàn thành",100%,IF(H638="Không áp dụng",100%,IF(H638="Đang thực hiện",50%,IF(H638="Đang chờ phối hợp",25%,0%))))</x:f>
        <x:v>0</x:v>
      </x:c>
      <x:c r="J638" s="58" t="str"/>
      <x:c r="K638" s="14" t="str"/>
      <x:c r="L638" s="14" t="str"/>
      <x:c r="M638" s="14" t="str"/>
      <x:c r="N638" s="14" t="str"/>
      <x:c r="O638" s="14" t="str"/>
      <x:c r="P638" s="58" t="str"/>
      <x:c r="Q638" s="14" t="str"/>
    </x:row>
    <x:row r="639">
      <x:c r="A639" s="14" t="str">
        <x:v>VATM-0638</x:v>
      </x:c>
      <x:c r="B639" s="14" t="str">
        <x:v>Tuân thủ, pháp chế &amp; quản trị</x:v>
      </x:c>
      <x:c r="C639" s="14" t="str">
        <x:v>Quản trị triển khai, RACI và báo cáo</x:v>
      </x:c>
      <x:c r="D639" s="14" t="str">
        <x:v>Thiết kế dashboard điều hành tuân thủ: nghĩa vụ pháp lý, an toàn, giấy phép, dữ liệu, an ninh, đầu tư, đào tạo.</x:v>
      </x:c>
      <x:c r="E639" s="14" t="str">
        <x:v>Văn phòng - Pháp chế; Ban An toàn - Chất lượng</x:v>
      </x:c>
      <x:c r="F639" s="14" t="str">
        <x:v>Cao</x:v>
      </x:c>
      <x:c r="G639" s="14" t="str">
        <x:v>Bắt đầu: 2026; Hoàn thành: Duy trì</x:v>
      </x:c>
      <x:c r="H639" s="14" t="str">
        <x:v>Chưa bắt đầu</x:v>
      </x:c>
      <x:c r="I639" s="20" t="n">
        <x:f>IF(H639="Hoàn thành",100%,IF(H639="Không áp dụng",100%,IF(H639="Đang thực hiện",50%,IF(H639="Đang chờ phối hợp",25%,0%))))</x:f>
        <x:v>0</x:v>
      </x:c>
      <x:c r="J639" s="58" t="str"/>
      <x:c r="K639" s="14" t="str"/>
      <x:c r="L639" s="14" t="str"/>
      <x:c r="M639" s="14" t="str"/>
      <x:c r="N639" s="14" t="str"/>
      <x:c r="O639" s="14" t="str"/>
      <x:c r="P639" s="58" t="str"/>
      <x:c r="Q639" s="14" t="str"/>
    </x:row>
    <x:row r="640">
      <x:c r="A640" s="14" t="str">
        <x:v>VATM-0639</x:v>
      </x:c>
      <x:c r="B640" s="14" t="str">
        <x:v>Tuân thủ, pháp chế &amp; quản trị</x:v>
      </x:c>
      <x:c r="C640" s="14" t="str">
        <x:v>Quản trị triển khai, RACI và báo cáo</x:v>
      </x:c>
      <x:c r="D640" s="14" t="str">
        <x:v>Xây dựng bộ KPI dịch vụ ANS: an toàn, liên tục, điều hòa, hiệu quả, chất lượng dữ liệu, năng lực, tài chính đầu tư.</x:v>
      </x:c>
      <x:c r="E640" s="14" t="str">
        <x:v>Văn phòng - Pháp chế; Ban Tài chính; Ban An toàn - Chất lượng</x:v>
      </x:c>
      <x:c r="F640" s="14" t="str">
        <x:v>Cao</x:v>
      </x:c>
      <x:c r="G640" s="14" t="str">
        <x:v>Bắt đầu: 2026; Hoàn thành: 2027</x:v>
      </x:c>
      <x:c r="H640" s="14" t="str">
        <x:v>Chưa bắt đầu</x:v>
      </x:c>
      <x:c r="I640" s="20" t="n">
        <x:f>IF(H640="Hoàn thành",100%,IF(H640="Không áp dụng",100%,IF(H640="Đang thực hiện",50%,IF(H640="Đang chờ phối hợp",25%,0%))))</x:f>
        <x:v>0</x:v>
      </x:c>
      <x:c r="J640" s="58" t="str"/>
      <x:c r="K640" s="14" t="str"/>
      <x:c r="L640" s="14" t="str"/>
      <x:c r="M640" s="14" t="str"/>
      <x:c r="N640" s="14" t="str"/>
      <x:c r="O640" s="14" t="str"/>
      <x:c r="P640" s="58" t="str"/>
      <x:c r="Q640" s="14" t="str"/>
    </x:row>
    <x:row r="641">
      <x:c r="A641" s="14" t="str">
        <x:v>VATM-0640</x:v>
      </x:c>
      <x:c r="B641" s="14" t="str">
        <x:v>Tuân thủ, pháp chế &amp; quản trị</x:v>
      </x:c>
      <x:c r="C641" s="14" t="str">
        <x:v>Quản trị triển khai, RACI và báo cáo</x:v>
      </x:c>
      <x:c r="D641" s="14" t="str">
        <x:v>Thực hiện kiểm tra sẵn sàng trước ngày hiệu lực: thẩm quyền, quy trình khẩn nguy, giấy phép, đào tạo, thông báo văn bản mới.</x:v>
      </x:c>
      <x:c r="E641" s="14" t="str">
        <x:v>Văn phòng - Pháp chế; Ban An toàn - Chất lượng</x:v>
      </x:c>
      <x:c r="F641" s="14" t="str">
        <x:v>Rất cao</x:v>
      </x:c>
      <x:c r="G641" s="14" t="str">
        <x:v>Bắt đầu: 06/2026; Hoàn thành: 01/07/2026</x:v>
      </x:c>
      <x:c r="H641" s="14" t="str">
        <x:v>Đang thực hiện</x:v>
      </x:c>
      <x:c r="I641" s="20" t="n">
        <x:f>IF(H641="Hoàn thành",100%,IF(H641="Không áp dụng",100%,IF(H641="Đang thực hiện",50%,IF(H641="Đang chờ phối hợp",25%,0%))))</x:f>
        <x:v>0.5</x:v>
      </x:c>
      <x:c r="J641" s="58" t="str"/>
      <x:c r="K641" s="14" t="str"/>
      <x:c r="L641" s="14" t="str"/>
      <x:c r="M641" s="14" t="str"/>
      <x:c r="N641" s="14" t="str"/>
      <x:c r="O641" s="14" t="str"/>
      <x:c r="P641" s="58" t="str"/>
      <x:c r="Q641" s="14" t="str"/>
    </x:row>
    <x:row r="642">
      <x:c r="A642" s="14" t="str">
        <x:v>VATM-0641</x:v>
      </x:c>
      <x:c r="B642" s="14" t="str">
        <x:v>Tuân thủ, pháp chế &amp; quản trị</x:v>
      </x:c>
      <x:c r="C642" s="14" t="str">
        <x:v>Quản trị triển khai, RACI và báo cáo</x:v>
      </x:c>
      <x:c r="D642" s="14" t="str">
        <x:v>Thiết lập kênh hỗ trợ pháp lý-vận hành trong 30 ngày đầu áp dụng Luật mới để xử lý vướng mắc.</x:v>
      </x:c>
      <x:c r="E642" s="14" t="str">
        <x:v>Văn phòng - Pháp chế</x:v>
      </x:c>
      <x:c r="F642" s="14" t="str">
        <x:v>Cao</x:v>
      </x:c>
      <x:c r="G642" s="14" t="str">
        <x:v>Bắt đầu: 01/07/2026; Hoàn thành: 31/07/2026</x:v>
      </x:c>
      <x:c r="H642" s="14" t="str">
        <x:v>Chưa bắt đầu</x:v>
      </x:c>
      <x:c r="I642" s="20" t="n">
        <x:f>IF(H642="Hoàn thành",100%,IF(H642="Không áp dụng",100%,IF(H642="Đang thực hiện",50%,IF(H642="Đang chờ phối hợp",25%,0%))))</x:f>
        <x:v>0</x:v>
      </x:c>
      <x:c r="J642" s="58" t="str"/>
      <x:c r="K642" s="14" t="str"/>
      <x:c r="L642" s="14" t="str"/>
      <x:c r="M642" s="14" t="str"/>
      <x:c r="N642" s="14" t="str"/>
      <x:c r="O642" s="14" t="str"/>
      <x:c r="P642" s="58" t="str"/>
      <x:c r="Q642" s="14" t="str"/>
    </x:row>
  </x:sheetData>
  <x:conditionalFormatting sqref="H2:H642">
    <x:cfRule type="expression" dxfId="0" priority="1">
      <x:formula>H2="Hoàn thành"</x:formula>
    </x:cfRule>
    <x:cfRule type="expression" dxfId="1" priority="2">
      <x:formula>H2="Đang thực hiện"</x:formula>
    </x:cfRule>
    <x:cfRule type="expression" dxfId="2" priority="3">
      <x:formula>H2="Chưa bắt đầu"</x:formula>
    </x:cfRule>
  </x:conditionalFormatting>
  <x:dataValidations count="2">
    <x:dataValidation type="list" sqref="H2:H642">
      <x:formula1>"Chưa bắt đầu,Đang thực hiện,Đang chờ phối hợp,Hoàn thành,Quá hạn,Không áp dụng,Cần rà soát thêm"</x:formula1>
    </x:dataValidation>
    <x:dataValidation type="list" sqref="F2:F642">
      <x:formula1>"P1,P2,P3,Rất cao,Cao,Trung bình,Thấp"</x:formula1>
    </x:dataValidation>
  </x:dataValidations>
  <x:pageMargins left="0.7" right="0.7" top="0.75" bottom="0.75" header="0.3" footer="0.3"/>
  <x:tableParts count="1">
    <x:tablePart xmlns:r="http://schemas.openxmlformats.org/officeDocument/2006/relationships" r:id="Rf800027d4ddb459d"/>
  </x:tableParts>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28" hidden="0" customWidth="1"/>
    <x:col min="4" max="4" width="28" hidden="0" customWidth="1"/>
    <x:col min="5" max="5" width="52" hidden="0" customWidth="1"/>
    <x:col min="6" max="6" width="24" hidden="0" customWidth="1"/>
    <x:col min="7" max="7" width="36" hidden="0" customWidth="1"/>
    <x:col min="8" max="8" width="36" hidden="0" customWidth="1"/>
    <x:col min="9" max="9" width="16" hidden="0" customWidth="1"/>
    <x:col min="10" max="10" width="16" hidden="0" customWidth="1"/>
    <x:col min="11" max="11" width="20" hidden="0" customWidth="1"/>
    <x:col min="12" max="12" width="22" hidden="0" customWidth="1"/>
    <x:col min="13" max="13" width="34" hidden="0" customWidth="1"/>
  </x:cols>
  <x:sheetData>
    <x:row r="1">
      <x:c r="A1" s="6" t="str">
        <x:v>Mã bằng chứng</x:v>
      </x:c>
      <x:c r="B1" s="6" t="str">
        <x:v>Mã tổng hợp</x:v>
      </x:c>
      <x:c r="C1" s="6" t="str">
        <x:v>Nhóm lĩnh vực</x:v>
      </x:c>
      <x:c r="D1" s="6" t="str">
        <x:v>Tiểu nhóm</x:v>
      </x:c>
      <x:c r="E1" s="6" t="str">
        <x:v>Tên/yêu cầu bằng chứng</x:v>
      </x:c>
      <x:c r="F1" s="6" t="str">
        <x:v>Loại bằng chứng</x:v>
      </x:c>
      <x:c r="G1" s="6" t="str">
        <x:v>Đơn vị lưu giữ/chủ trì</x:v>
      </x:c>
      <x:c r="H1" s="6" t="str">
        <x:v>Link/đường dẫn hồ sơ</x:v>
      </x:c>
      <x:c r="I1" s="6" t="str">
        <x:v>Ngày phát hành</x:v>
      </x:c>
      <x:c r="J1" s="6" t="str">
        <x:v>Ngày cập nhật</x:v>
      </x:c>
      <x:c r="K1" s="6" t="str">
        <x:v>Người cập nhật</x:v>
      </x:c>
      <x:c r="L1" s="6" t="str">
        <x:v>Tình trạng bằng chứng</x:v>
      </x:c>
      <x:c r="M1" s="6" t="str">
        <x:v>Ghi chú</x:v>
      </x:c>
    </x:row>
    <x:row r="2">
      <x:c r="A2" s="14" t="str">
        <x:v>EVID-0001</x:v>
      </x:c>
      <x:c r="B2" s="14" t="str">
        <x:v>VATM-0001</x:v>
      </x:c>
      <x:c r="C2" s="14" t="str">
        <x:v>Quản lý khai thác cảng/sân bay</x:v>
      </x:c>
      <x:c r="D2" s="14" t="str">
        <x:v>Công trình, chướng ngại và thi công</x:v>
      </x:c>
      <x:c r="E2" s="14" t="str">
        <x:v>Danh mục tài sản/công trình ANS; sơ đồ vị trí; biên bản đối chiếu với cảng và Cảng vụ</x:v>
      </x:c>
      <x:c r="F2" s="14" t="str">
        <x:v>Biên bản/nhật ký/log</x:v>
      </x:c>
      <x:c r="G2" s="14" t="str">
        <x:v>Ban Kế hoạch - Đầu tư; Ban Không lưu; Ban Kỹ thuật - CNS/IT/Môi trường; Văn phòng - Pháp chế</x:v>
      </x:c>
      <x:c r="H2" s="14" t="str"/>
      <x:c r="I2" s="58" t="str"/>
      <x:c r="J2" s="58" t="str"/>
      <x:c r="K2" s="14" t="str"/>
      <x:c r="L2" s="14" t="str">
        <x:v>Chưa có</x:v>
      </x:c>
      <x:c r="M2" s="14" t="str">
        <x:v>Theo dõi và cập nhật link/chỉ dẫn hồ sơ sau khi có bằng chứng.</x:v>
      </x:c>
    </x:row>
    <x:row r="3">
      <x:c r="A3" s="14" t="str">
        <x:v>EVID-0002</x:v>
      </x:c>
      <x:c r="B3" s="14" t="str">
        <x:v>VATM-0002</x:v>
      </x:c>
      <x:c r="C3" s="14" t="str">
        <x:v>Tuân thủ, pháp chế &amp; quản trị</x:v>
      </x:c>
      <x:c r="D3" s="14" t="str">
        <x:v>Rà soát văn bản, quy trình và GAP</x:v>
      </x:c>
      <x:c r="E3" s="14" t="str">
        <x:v>Bản nộp điện tử; văn bản góp ý; nhật ký luân chuyển hồ sơ</x:v>
      </x:c>
      <x:c r="F3" s="14" t="str">
        <x:v>Biểu mẫu/Checklist</x:v>
      </x:c>
      <x:c r="G3" s="14" t="str">
        <x:v>Văn phòng - Pháp chế</x:v>
      </x:c>
      <x:c r="H3" s="14" t="str"/>
      <x:c r="I3" s="58" t="str"/>
      <x:c r="J3" s="58" t="str"/>
      <x:c r="K3" s="14" t="str"/>
      <x:c r="L3" s="14" t="str">
        <x:v>Chưa có</x:v>
      </x:c>
      <x:c r="M3" s="14" t="str">
        <x:v>Theo dõi và cập nhật link/chỉ dẫn hồ sơ sau khi có bằng chứng.</x:v>
      </x:c>
    </x:row>
    <x:row r="4">
      <x:c r="A4" s="14" t="str">
        <x:v>EVID-0003</x:v>
      </x:c>
      <x:c r="B4" s="14" t="str">
        <x:v>VATM-0003</x:v>
      </x:c>
      <x:c r="C4" s="14" t="str">
        <x:v>Tài chính - Kế hoạch đầu tư</x:v>
      </x:c>
      <x:c r="D4" s="14" t="str">
        <x:v>Phí, thanh toán, hợp đồng và billing</x:v>
      </x:c>
      <x:c r="E4" s="14" t="str">
        <x:v>Hợp đồng; hồ sơ điều kiện kinh doanh; ý kiến pháp chế</x:v>
      </x:c>
      <x:c r="F4" s="14" t="str">
        <x:v>Hồ sơ phê duyệt</x:v>
      </x:c>
      <x:c r="G4" s="14" t="str">
        <x:v>Ban Tài chính; Văn phòng - Pháp chế</x:v>
      </x:c>
      <x:c r="H4" s="14" t="str"/>
      <x:c r="I4" s="58" t="str"/>
      <x:c r="J4" s="58" t="str"/>
      <x:c r="K4" s="14" t="str"/>
      <x:c r="L4" s="14" t="str">
        <x:v>Chưa có</x:v>
      </x:c>
      <x:c r="M4" s="14" t="str">
        <x:v>Theo dõi và cập nhật link/chỉ dẫn hồ sơ sau khi có bằng chứng.</x:v>
      </x:c>
    </x:row>
    <x:row r="5">
      <x:c r="A5" s="14" t="str">
        <x:v>EVID-0004</x:v>
      </x:c>
      <x:c r="B5" s="14" t="str">
        <x:v>VATM-0004</x:v>
      </x:c>
      <x:c r="C5" s="14" t="str">
        <x:v>Quản lý khai thác cảng/sân bay</x:v>
      </x:c>
      <x:c r="D5" s="14" t="str">
        <x:v>Điều phối năng lực khai thác cảng</x:v>
      </x:c>
      <x:c r="E5" s="14" t="str">
        <x:v>Biên bản họp điều phối; dữ liệu năng lực đường bay/sân bay; báo cáo ATFM</x:v>
      </x:c>
      <x:c r="F5" s="14" t="str">
        <x:v>Báo cáo</x:v>
      </x:c>
      <x:c r="G5" s="14" t="str">
        <x:v>Ban Kế hoạch - Đầu tư; Ban Không lưu; Ban Kỹ thuật - CNS/IT/Môi trường; Ban An toàn - Chất lượng</x:v>
      </x:c>
      <x:c r="H5" s="14" t="str"/>
      <x:c r="I5" s="58" t="str"/>
      <x:c r="J5" s="58" t="str"/>
      <x:c r="K5" s="14" t="str"/>
      <x:c r="L5" s="14" t="str">
        <x:v>Chưa có</x:v>
      </x:c>
      <x:c r="M5" s="14" t="str">
        <x:v>Theo dõi và cập nhật link/chỉ dẫn hồ sơ sau khi có bằng chứng.</x:v>
      </x:c>
    </x:row>
    <x:row r="6">
      <x:c r="A6" s="14" t="str">
        <x:v>EVID-0005</x:v>
      </x:c>
      <x:c r="B6" s="14" t="str">
        <x:v>VATM-0005</x:v>
      </x:c>
      <x:c r="C6" s="14" t="str">
        <x:v>Quản lý khai thác cảng/sân bay</x:v>
      </x:c>
      <x:c r="D6" s="14" t="str">
        <x:v>Quy hoạch, mặt bằng và phối hợp cảng</x:v>
      </x:c>
      <x:c r="E6" s="14" t="str">
        <x:v>Văn bản góp ý; bản đồ/số liệu; biên bản họp; danh mục kiến nghị</x:v>
      </x:c>
      <x:c r="F6" s="14" t="str">
        <x:v>Biên bản/nhật ký/log</x:v>
      </x:c>
      <x:c r="G6" s="14" t="str">
        <x:v>Ban Kế hoạch - Đầu tư; Ban Không lưu; Ban Kỹ thuật - CNS/IT/Môi trường; Trung tâm Thông báo tin tức hàng không</x:v>
      </x:c>
      <x:c r="H6" s="14" t="str"/>
      <x:c r="I6" s="58" t="str"/>
      <x:c r="J6" s="58" t="str"/>
      <x:c r="K6" s="14" t="str"/>
      <x:c r="L6" s="14" t="str">
        <x:v>Chưa có</x:v>
      </x:c>
      <x:c r="M6" s="14" t="str">
        <x:v>Theo dõi và cập nhật link/chỉ dẫn hồ sơ sau khi có bằng chứng.</x:v>
      </x:c>
    </x:row>
    <x:row r="7">
      <x:c r="A7" s="14" t="str">
        <x:v>EVID-0006</x:v>
      </x:c>
      <x:c r="B7" s="14" t="str">
        <x:v>VATM-0006</x:v>
      </x:c>
      <x:c r="C7" s="14" t="str">
        <x:v>Quản lý khai thác cảng/sân bay</x:v>
      </x:c>
      <x:c r="D7" s="14" t="str">
        <x:v>Quy hoạch, mặt bằng và phối hợp cảng</x:v>
      </x:c>
      <x:c r="E7" s="14" t="str">
        <x:v>Văn bản góp ý; bản đồ/số liệu; biên bản họp; danh mục kiến nghị</x:v>
      </x:c>
      <x:c r="F7" s="14" t="str">
        <x:v>Biên bản/nhật ký/log</x:v>
      </x:c>
      <x:c r="G7" s="14" t="str">
        <x:v>Ban Kế hoạch - Đầu tư; Ban Không lưu; Ban Kỹ thuật - CNS/IT/Môi trường; Trung tâm Thông báo tin tức hàng không</x:v>
      </x:c>
      <x:c r="H7" s="14" t="str"/>
      <x:c r="I7" s="58" t="str"/>
      <x:c r="J7" s="58" t="str"/>
      <x:c r="K7" s="14" t="str"/>
      <x:c r="L7" s="14" t="str">
        <x:v>Chưa có</x:v>
      </x:c>
      <x:c r="M7" s="14" t="str">
        <x:v>Theo dõi và cập nhật link/chỉ dẫn hồ sơ sau khi có bằng chứng.</x:v>
      </x:c>
    </x:row>
    <x:row r="8">
      <x:c r="A8" s="14" t="str">
        <x:v>EVID-0007</x:v>
      </x:c>
      <x:c r="B8" s="14" t="str">
        <x:v>VATM-0007</x:v>
      </x:c>
      <x:c r="C8" s="14" t="str">
        <x:v>Quản lý khai thác cảng/sân bay</x:v>
      </x:c>
      <x:c r="D8" s="14" t="str">
        <x:v>Quy hoạch, mặt bằng và phối hợp cảng</x:v>
      </x:c>
      <x:c r="E8" s="14" t="str">
        <x:v>Văn bản góp ý; bản đồ/số liệu; biên bản họp; danh mục kiến nghị</x:v>
      </x:c>
      <x:c r="F8" s="14" t="str">
        <x:v>Biên bản/nhật ký/log</x:v>
      </x:c>
      <x:c r="G8" s="14" t="str">
        <x:v>Ban Kế hoạch - Đầu tư; Ban Không lưu; Ban Kỹ thuật - CNS/IT/Môi trường; Trung tâm Thông báo tin tức hàng không</x:v>
      </x:c>
      <x:c r="H8" s="14" t="str"/>
      <x:c r="I8" s="58" t="str"/>
      <x:c r="J8" s="58" t="str"/>
      <x:c r="K8" s="14" t="str"/>
      <x:c r="L8" s="14" t="str">
        <x:v>Chưa có</x:v>
      </x:c>
      <x:c r="M8" s="14" t="str">
        <x:v>Theo dõi và cập nhật link/chỉ dẫn hồ sơ sau khi có bằng chứng.</x:v>
      </x:c>
    </x:row>
    <x:row r="9">
      <x:c r="A9" s="14" t="str">
        <x:v>EVID-0008</x:v>
      </x:c>
      <x:c r="B9" s="14" t="str">
        <x:v>VATM-0008</x:v>
      </x:c>
      <x:c r="C9" s="14" t="str">
        <x:v>Quản lý khai thác cảng/sân bay</x:v>
      </x:c>
      <x:c r="D9" s="14" t="str">
        <x:v>Quy hoạch, mặt bằng và phối hợp cảng</x:v>
      </x:c>
      <x:c r="E9" s="14" t="str">
        <x:v>Văn bản góp ý; bản đồ/số liệu; biên bản họp; danh mục kiến nghị</x:v>
      </x:c>
      <x:c r="F9" s="14" t="str">
        <x:v>Biên bản/nhật ký/log</x:v>
      </x:c>
      <x:c r="G9" s="14" t="str">
        <x:v>Ban Kế hoạch - Đầu tư; Ban Không lưu; Ban Kỹ thuật - CNS/IT/Môi trường; Trung tâm Thông báo tin tức hàng không</x:v>
      </x:c>
      <x:c r="H9" s="14" t="str"/>
      <x:c r="I9" s="58" t="str"/>
      <x:c r="J9" s="58" t="str"/>
      <x:c r="K9" s="14" t="str"/>
      <x:c r="L9" s="14" t="str">
        <x:v>Chưa có</x:v>
      </x:c>
      <x:c r="M9" s="14" t="str">
        <x:v>Theo dõi và cập nhật link/chỉ dẫn hồ sơ sau khi có bằng chứng.</x:v>
      </x:c>
    </x:row>
    <x:row r="10">
      <x:c r="A10" s="14" t="str">
        <x:v>EVID-0009</x:v>
      </x:c>
      <x:c r="B10" s="14" t="str">
        <x:v>VATM-0009</x:v>
      </x:c>
      <x:c r="C10" s="14" t="str">
        <x:v>Quản lý khai thác cảng/sân bay</x:v>
      </x:c>
      <x:c r="D10" s="14" t="str">
        <x:v>Quy hoạch, mặt bằng và phối hợp cảng</x:v>
      </x:c>
      <x:c r="E10" s="14" t="str">
        <x:v>Văn bản góp ý; bản đồ/số liệu; biên bản họp; danh mục kiến nghị</x:v>
      </x:c>
      <x:c r="F10" s="14" t="str">
        <x:v>Biên bản/nhật ký/log</x:v>
      </x:c>
      <x:c r="G10" s="14" t="str">
        <x:v>Ban Kế hoạch - Đầu tư; Ban Không lưu; Ban Kỹ thuật - CNS/IT/Môi trường; Trung tâm Thông báo tin tức hàng không</x:v>
      </x:c>
      <x:c r="H10" s="14" t="str"/>
      <x:c r="I10" s="58" t="str"/>
      <x:c r="J10" s="58" t="str"/>
      <x:c r="K10" s="14" t="str"/>
      <x:c r="L10" s="14" t="str">
        <x:v>Chưa có</x:v>
      </x:c>
      <x:c r="M10" s="14" t="str">
        <x:v>Theo dõi và cập nhật link/chỉ dẫn hồ sơ sau khi có bằng chứng.</x:v>
      </x:c>
    </x:row>
    <x:row r="11">
      <x:c r="A11" s="14" t="str">
        <x:v>EVID-0010</x:v>
      </x:c>
      <x:c r="B11" s="14" t="str">
        <x:v>VATM-0010</x:v>
      </x:c>
      <x:c r="C11" s="14" t="str">
        <x:v>Quản lý khai thác cảng/sân bay</x:v>
      </x:c>
      <x:c r="D11" s="14" t="str">
        <x:v>Quy hoạch, mặt bằng và phối hợp cảng</x:v>
      </x:c>
      <x:c r="E11" s="14" t="str">
        <x:v>Văn bản góp ý; bản đồ/số liệu; biên bản họp; danh mục kiến nghị</x:v>
      </x:c>
      <x:c r="F11" s="14" t="str">
        <x:v>Biên bản/nhật ký/log</x:v>
      </x:c>
      <x:c r="G11" s="14" t="str">
        <x:v>Ban Kế hoạch - Đầu tư; Ban Không lưu; Ban Kỹ thuật - CNS/IT/Môi trường; Trung tâm Thông báo tin tức hàng không</x:v>
      </x:c>
      <x:c r="H11" s="14" t="str"/>
      <x:c r="I11" s="58" t="str"/>
      <x:c r="J11" s="58" t="str"/>
      <x:c r="K11" s="14" t="str"/>
      <x:c r="L11" s="14" t="str">
        <x:v>Chưa có</x:v>
      </x:c>
      <x:c r="M11" s="14" t="str">
        <x:v>Theo dõi và cập nhật link/chỉ dẫn hồ sơ sau khi có bằng chứng.</x:v>
      </x:c>
    </x:row>
    <x:row r="12">
      <x:c r="A12" s="14" t="str">
        <x:v>EVID-0011</x:v>
      </x:c>
      <x:c r="B12" s="14" t="str">
        <x:v>VATM-0011</x:v>
      </x:c>
      <x:c r="C12" s="14" t="str">
        <x:v>Quản lý khai thác cảng/sân bay</x:v>
      </x:c>
      <x:c r="D12" s="14" t="str">
        <x:v>Công trình, chướng ngại và thi công</x:v>
      </x:c>
      <x:c r="E12" s="14" t="str">
        <x:v>Báo cáo đánh giá tác động; văn bản ý kiến VATM; bản vẽ, tọa độ, cao độ; biên bản phối hợp</x:v>
      </x:c>
      <x:c r="F12" s="14" t="str">
        <x:v>Báo cáo</x:v>
      </x:c>
      <x:c r="G12" s="14" t="str">
        <x:v>Ban Kế hoạch - Đầu tư; Ban Không lưu; Ban Kỹ thuật - CNS/IT/Môi trường; Văn phòng - Pháp chế</x:v>
      </x:c>
      <x:c r="H12" s="14" t="str"/>
      <x:c r="I12" s="58" t="str"/>
      <x:c r="J12" s="58" t="str"/>
      <x:c r="K12" s="14" t="str"/>
      <x:c r="L12" s="14" t="str">
        <x:v>Chưa có</x:v>
      </x:c>
      <x:c r="M12" s="14" t="str">
        <x:v>Theo dõi và cập nhật link/chỉ dẫn hồ sơ sau khi có bằng chứng.</x:v>
      </x:c>
    </x:row>
    <x:row r="13">
      <x:c r="A13" s="14" t="str">
        <x:v>EVID-0012</x:v>
      </x:c>
      <x:c r="B13" s="14" t="str">
        <x:v>VATM-0012</x:v>
      </x:c>
      <x:c r="C13" s="14" t="str">
        <x:v>Quản lý khai thác cảng/sân bay</x:v>
      </x:c>
      <x:c r="D13" s="14" t="str">
        <x:v>Công trình, chướng ngại và thi công</x:v>
      </x:c>
      <x:c r="E13" s="14" t="str">
        <x:v>Báo cáo đánh giá tác động; văn bản ý kiến VATM; bản vẽ, tọa độ, cao độ; biên bản phối hợp</x:v>
      </x:c>
      <x:c r="F13" s="14" t="str">
        <x:v>Báo cáo</x:v>
      </x:c>
      <x:c r="G13" s="14" t="str">
        <x:v>Ban Kế hoạch - Đầu tư; Ban Không lưu; Ban Kỹ thuật - CNS/IT/Môi trường; Văn phòng - Pháp chế</x:v>
      </x:c>
      <x:c r="H13" s="14" t="str"/>
      <x:c r="I13" s="58" t="str"/>
      <x:c r="J13" s="58" t="str"/>
      <x:c r="K13" s="14" t="str"/>
      <x:c r="L13" s="14" t="str">
        <x:v>Chưa có</x:v>
      </x:c>
      <x:c r="M13" s="14" t="str">
        <x:v>Theo dõi và cập nhật link/chỉ dẫn hồ sơ sau khi có bằng chứng.</x:v>
      </x:c>
    </x:row>
    <x:row r="14">
      <x:c r="A14" s="14" t="str">
        <x:v>EVID-0013</x:v>
      </x:c>
      <x:c r="B14" s="14" t="str">
        <x:v>VATM-0013</x:v>
      </x:c>
      <x:c r="C14" s="14" t="str">
        <x:v>Quản lý khai thác cảng/sân bay</x:v>
      </x:c>
      <x:c r="D14" s="14" t="str">
        <x:v>Công trình, chướng ngại và thi công</x:v>
      </x:c>
      <x:c r="E14" s="14" t="str">
        <x:v>Báo cáo đánh giá tác động; văn bản ý kiến VATM; bản vẽ, tọa độ, cao độ; biên bản phối hợp</x:v>
      </x:c>
      <x:c r="F14" s="14" t="str">
        <x:v>Báo cáo</x:v>
      </x:c>
      <x:c r="G14" s="14" t="str">
        <x:v>Ban Kế hoạch - Đầu tư; Ban Không lưu; Ban Kỹ thuật - CNS/IT/Môi trường; Văn phòng - Pháp chế</x:v>
      </x:c>
      <x:c r="H14" s="14" t="str"/>
      <x:c r="I14" s="58" t="str"/>
      <x:c r="J14" s="58" t="str"/>
      <x:c r="K14" s="14" t="str"/>
      <x:c r="L14" s="14" t="str">
        <x:v>Chưa có</x:v>
      </x:c>
      <x:c r="M14" s="14" t="str">
        <x:v>Theo dõi và cập nhật link/chỉ dẫn hồ sơ sau khi có bằng chứng.</x:v>
      </x:c>
    </x:row>
    <x:row r="15">
      <x:c r="A15" s="14" t="str">
        <x:v>EVID-0014</x:v>
      </x:c>
      <x:c r="B15" s="14" t="str">
        <x:v>VATM-0014</x:v>
      </x:c>
      <x:c r="C15" s="14" t="str">
        <x:v>Quản lý khai thác cảng/sân bay</x:v>
      </x:c>
      <x:c r="D15" s="14" t="str">
        <x:v>Công trình, chướng ngại và thi công</x:v>
      </x:c>
      <x:c r="E15" s="14" t="str">
        <x:v>Báo cáo đánh giá tác động; văn bản ý kiến VATM; bản vẽ, tọa độ, cao độ; biên bản phối hợp</x:v>
      </x:c>
      <x:c r="F15" s="14" t="str">
        <x:v>Báo cáo</x:v>
      </x:c>
      <x:c r="G15" s="14" t="str">
        <x:v>Ban Kế hoạch - Đầu tư; Ban Không lưu; Ban Kỹ thuật - CNS/IT/Môi trường; Văn phòng - Pháp chế</x:v>
      </x:c>
      <x:c r="H15" s="14" t="str"/>
      <x:c r="I15" s="58" t="str"/>
      <x:c r="J15" s="58" t="str"/>
      <x:c r="K15" s="14" t="str"/>
      <x:c r="L15" s="14" t="str">
        <x:v>Chưa có</x:v>
      </x:c>
      <x:c r="M15" s="14" t="str">
        <x:v>Theo dõi và cập nhật link/chỉ dẫn hồ sơ sau khi có bằng chứng.</x:v>
      </x:c>
    </x:row>
    <x:row r="16">
      <x:c r="A16" s="14" t="str">
        <x:v>EVID-0015</x:v>
      </x:c>
      <x:c r="B16" s="14" t="str">
        <x:v>VATM-0015</x:v>
      </x:c>
      <x:c r="C16" s="14" t="str">
        <x:v>Quản lý khai thác cảng/sân bay</x:v>
      </x:c>
      <x:c r="D16" s="14" t="str">
        <x:v>Công trình, chướng ngại và thi công</x:v>
      </x:c>
      <x:c r="E16" s="14" t="str">
        <x:v>Báo cáo đánh giá tác động; văn bản ý kiến VATM; bản vẽ, tọa độ, cao độ; biên bản phối hợp</x:v>
      </x:c>
      <x:c r="F16" s="14" t="str">
        <x:v>Báo cáo</x:v>
      </x:c>
      <x:c r="G16" s="14" t="str">
        <x:v>Ban Kế hoạch - Đầu tư; Ban Không lưu; Ban Kỹ thuật - CNS/IT/Môi trường; Văn phòng - Pháp chế</x:v>
      </x:c>
      <x:c r="H16" s="14" t="str"/>
      <x:c r="I16" s="58" t="str"/>
      <x:c r="J16" s="58" t="str"/>
      <x:c r="K16" s="14" t="str"/>
      <x:c r="L16" s="14" t="str">
        <x:v>Chưa có</x:v>
      </x:c>
      <x:c r="M16" s="14" t="str">
        <x:v>Theo dõi và cập nhật link/chỉ dẫn hồ sơ sau khi có bằng chứng.</x:v>
      </x:c>
    </x:row>
    <x:row r="17">
      <x:c r="A17" s="14" t="str">
        <x:v>EVID-0016</x:v>
      </x:c>
      <x:c r="B17" s="14" t="str">
        <x:v>VATM-0016</x:v>
      </x:c>
      <x:c r="C17" s="14" t="str">
        <x:v>Quản lý khai thác cảng/sân bay</x:v>
      </x:c>
      <x:c r="D17" s="14" t="str">
        <x:v>Công trình, chướng ngại và thi công</x:v>
      </x:c>
      <x:c r="E17" s="14" t="str">
        <x:v>Báo cáo đánh giá tác động; văn bản ý kiến VATM; bản vẽ, tọa độ, cao độ; biên bản phối hợp</x:v>
      </x:c>
      <x:c r="F17" s="14" t="str">
        <x:v>Báo cáo</x:v>
      </x:c>
      <x:c r="G17" s="14" t="str">
        <x:v>Ban Kế hoạch - Đầu tư; Ban Không lưu; Ban Kỹ thuật - CNS/IT/Môi trường; Văn phòng - Pháp chế</x:v>
      </x:c>
      <x:c r="H17" s="14" t="str"/>
      <x:c r="I17" s="58" t="str"/>
      <x:c r="J17" s="58" t="str"/>
      <x:c r="K17" s="14" t="str"/>
      <x:c r="L17" s="14" t="str">
        <x:v>Chưa có</x:v>
      </x:c>
      <x:c r="M17" s="14" t="str">
        <x:v>Theo dõi và cập nhật link/chỉ dẫn hồ sơ sau khi có bằng chứng.</x:v>
      </x:c>
    </x:row>
    <x:row r="18">
      <x:c r="A18" s="14" t="str">
        <x:v>EVID-0017</x:v>
      </x:c>
      <x:c r="B18" s="14" t="str">
        <x:v>VATM-0017</x:v>
      </x:c>
      <x:c r="C18" s="14" t="str">
        <x:v>Quản lý khai thác cảng/sân bay</x:v>
      </x:c>
      <x:c r="D18" s="14" t="str">
        <x:v>Công trình, chướng ngại và thi công</x:v>
      </x:c>
      <x:c r="E18" s="14" t="str">
        <x:v>Báo cáo đánh giá tác động; văn bản ý kiến VATM; bản vẽ, tọa độ, cao độ; biên bản phối hợp</x:v>
      </x:c>
      <x:c r="F18" s="14" t="str">
        <x:v>Báo cáo</x:v>
      </x:c>
      <x:c r="G18" s="14" t="str">
        <x:v>Ban Kế hoạch - Đầu tư; Ban Không lưu; Ban Kỹ thuật - CNS/IT/Môi trường; Văn phòng - Pháp chế</x:v>
      </x:c>
      <x:c r="H18" s="14" t="str"/>
      <x:c r="I18" s="58" t="str"/>
      <x:c r="J18" s="58" t="str"/>
      <x:c r="K18" s="14" t="str"/>
      <x:c r="L18" s="14" t="str">
        <x:v>Chưa có</x:v>
      </x:c>
      <x:c r="M18" s="14" t="str">
        <x:v>Theo dõi và cập nhật link/chỉ dẫn hồ sơ sau khi có bằng chứng.</x:v>
      </x:c>
    </x:row>
    <x:row r="19">
      <x:c r="A19" s="14" t="str">
        <x:v>EVID-0018</x:v>
      </x:c>
      <x:c r="B19" s="14" t="str">
        <x:v>VATM-0018</x:v>
      </x:c>
      <x:c r="C19" s="14" t="str">
        <x:v>Tài chính - Kế hoạch đầu tư</x:v>
      </x:c>
      <x:c r="D19" s="14" t="str">
        <x:v>Phí, thanh toán, hợp đồng và billing</x:v>
      </x:c>
      <x:c r="E19" s="14" t="str">
        <x:v>Quy chế phối hợp; biên bản hiệp đồng; báo cáo sự kiện; văn bản cảnh báo; NOTAM/AIP nếu có</x:v>
      </x:c>
      <x:c r="F19" s="14" t="str">
        <x:v>Quy trình/SOP</x:v>
      </x:c>
      <x:c r="G19" s="14" t="str">
        <x:v>Ban Tài chính; Văn phòng - Pháp chế; Ban Không lưu; Ban Kỹ thuật - CNS/IT/Môi trường; Các Công ty Quản lý bay khu vực Bắc/Trung/Nam</x:v>
      </x:c>
      <x:c r="H19" s="14" t="str"/>
      <x:c r="I19" s="58" t="str"/>
      <x:c r="J19" s="58" t="str"/>
      <x:c r="K19" s="14" t="str"/>
      <x:c r="L19" s="14" t="str">
        <x:v>Chưa có</x:v>
      </x:c>
      <x:c r="M19" s="14" t="str">
        <x:v>Theo dõi và cập nhật link/chỉ dẫn hồ sơ sau khi có bằng chứng.</x:v>
      </x:c>
    </x:row>
    <x:row r="20">
      <x:c r="A20" s="14" t="str">
        <x:v>EVID-0019</x:v>
      </x:c>
      <x:c r="B20" s="14" t="str">
        <x:v>VATM-0019</x:v>
      </x:c>
      <x:c r="C20" s="14" t="str">
        <x:v>Tài chính - Kế hoạch đầu tư</x:v>
      </x:c>
      <x:c r="D20" s="14" t="str">
        <x:v>Phí, thanh toán, hợp đồng và billing</x:v>
      </x:c>
      <x:c r="E20" s="14" t="str">
        <x:v>Quy chế phối hợp; biên bản hiệp đồng; báo cáo sự kiện; văn bản cảnh báo; NOTAM/AIP nếu có</x:v>
      </x:c>
      <x:c r="F20" s="14" t="str">
        <x:v>Quy trình/SOP</x:v>
      </x:c>
      <x:c r="G20" s="14" t="str">
        <x:v>Ban Tài chính; Văn phòng - Pháp chế; Ban Không lưu; Ban Kỹ thuật - CNS/IT/Môi trường; Các Công ty Quản lý bay khu vực Bắc/Trung/Nam</x:v>
      </x:c>
      <x:c r="H20" s="14" t="str"/>
      <x:c r="I20" s="58" t="str"/>
      <x:c r="J20" s="58" t="str"/>
      <x:c r="K20" s="14" t="str"/>
      <x:c r="L20" s="14" t="str">
        <x:v>Chưa có</x:v>
      </x:c>
      <x:c r="M20" s="14" t="str">
        <x:v>Theo dõi và cập nhật link/chỉ dẫn hồ sơ sau khi có bằng chứng.</x:v>
      </x:c>
    </x:row>
    <x:row r="21">
      <x:c r="A21" s="14" t="str">
        <x:v>EVID-0020</x:v>
      </x:c>
      <x:c r="B21" s="14" t="str">
        <x:v>VATM-0020</x:v>
      </x:c>
      <x:c r="C21" s="14" t="str">
        <x:v>Tài chính - Kế hoạch đầu tư</x:v>
      </x:c>
      <x:c r="D21" s="14" t="str">
        <x:v>Phí, thanh toán, hợp đồng và billing</x:v>
      </x:c>
      <x:c r="E21" s="14" t="str">
        <x:v>Quy chế phối hợp; biên bản hiệp đồng; báo cáo sự kiện; văn bản cảnh báo; NOTAM/AIP nếu có</x:v>
      </x:c>
      <x:c r="F21" s="14" t="str">
        <x:v>Quy trình/SOP</x:v>
      </x:c>
      <x:c r="G21" s="14" t="str">
        <x:v>Ban Tài chính; Văn phòng - Pháp chế; Ban Không lưu; Ban Kỹ thuật - CNS/IT/Môi trường; Các Công ty Quản lý bay khu vực Bắc/Trung/Nam</x:v>
      </x:c>
      <x:c r="H21" s="14" t="str"/>
      <x:c r="I21" s="58" t="str"/>
      <x:c r="J21" s="58" t="str"/>
      <x:c r="K21" s="14" t="str"/>
      <x:c r="L21" s="14" t="str">
        <x:v>Chưa có</x:v>
      </x:c>
      <x:c r="M21" s="14" t="str">
        <x:v>Theo dõi và cập nhật link/chỉ dẫn hồ sơ sau khi có bằng chứng.</x:v>
      </x:c>
    </x:row>
    <x:row r="22">
      <x:c r="A22" s="14" t="str">
        <x:v>EVID-0021</x:v>
      </x:c>
      <x:c r="B22" s="14" t="str">
        <x:v>VATM-0021</x:v>
      </x:c>
      <x:c r="C22" s="14" t="str">
        <x:v>Tài chính - Kế hoạch đầu tư</x:v>
      </x:c>
      <x:c r="D22" s="14" t="str">
        <x:v>Phí, thanh toán, hợp đồng và billing</x:v>
      </x:c>
      <x:c r="E22" s="14" t="str">
        <x:v>Quy chế phối hợp; biên bản hiệp đồng; báo cáo sự kiện; văn bản cảnh báo; NOTAM/AIP nếu có</x:v>
      </x:c>
      <x:c r="F22" s="14" t="str">
        <x:v>Quy trình/SOP</x:v>
      </x:c>
      <x:c r="G22" s="14" t="str">
        <x:v>Ban Tài chính; Văn phòng - Pháp chế; Ban Không lưu; Ban Kỹ thuật - CNS/IT/Môi trường; Các Công ty Quản lý bay khu vực Bắc/Trung/Nam</x:v>
      </x:c>
      <x:c r="H22" s="14" t="str"/>
      <x:c r="I22" s="58" t="str"/>
      <x:c r="J22" s="58" t="str"/>
      <x:c r="K22" s="14" t="str"/>
      <x:c r="L22" s="14" t="str">
        <x:v>Chưa có</x:v>
      </x:c>
      <x:c r="M22" s="14" t="str">
        <x:v>Theo dõi và cập nhật link/chỉ dẫn hồ sơ sau khi có bằng chứng.</x:v>
      </x:c>
    </x:row>
    <x:row r="23">
      <x:c r="A23" s="14" t="str">
        <x:v>EVID-0022</x:v>
      </x:c>
      <x:c r="B23" s="14" t="str">
        <x:v>VATM-0022</x:v>
      </x:c>
      <x:c r="C23" s="14" t="str">
        <x:v>Quản lý khai thác cảng/sân bay</x:v>
      </x:c>
      <x:c r="D23" s="14" t="str">
        <x:v>Công trình, chướng ngại và thi công</x:v>
      </x:c>
      <x:c r="E23" s="14" t="str">
        <x:v>Quy chế phối hợp; biên bản hiệp đồng; báo cáo sự kiện; văn bản cảnh báo; NOTAM/AIP nếu có</x:v>
      </x:c>
      <x:c r="F23" s="14" t="str">
        <x:v>Quy trình/SOP</x:v>
      </x:c>
      <x:c r="G23" s="14" t="str">
        <x:v>Ban Kế hoạch - Đầu tư; Ban Không lưu; Ban Kỹ thuật - CNS/IT/Môi trường; Văn phòng - Pháp chế; Các Công ty Quản lý bay khu vực Bắc/Trung/Nam</x:v>
      </x:c>
      <x:c r="H23" s="14" t="str"/>
      <x:c r="I23" s="58" t="str"/>
      <x:c r="J23" s="58" t="str"/>
      <x:c r="K23" s="14" t="str"/>
      <x:c r="L23" s="14" t="str">
        <x:v>Chưa có</x:v>
      </x:c>
      <x:c r="M23" s="14" t="str">
        <x:v>Theo dõi và cập nhật link/chỉ dẫn hồ sơ sau khi có bằng chứng.</x:v>
      </x:c>
    </x:row>
    <x:row r="24">
      <x:c r="A24" s="14" t="str">
        <x:v>EVID-0023</x:v>
      </x:c>
      <x:c r="B24" s="14" t="str">
        <x:v>VATM-0023</x:v>
      </x:c>
      <x:c r="C24" s="14" t="str">
        <x:v>Quản lý khai thác cảng/sân bay</x:v>
      </x:c>
      <x:c r="D24" s="14" t="str">
        <x:v>Công trình, chướng ngại và thi công</x:v>
      </x:c>
      <x:c r="E24" s="14" t="str">
        <x:v>Văn bản ý kiến VATM; safety assessment; phương án giảm thiểu; NOTAM/AIP/AIC; biên bản họp; nhật ký giám sát; tài liệu khai thác công trình</x:v>
      </x:c>
      <x:c r="F24" s="14" t="str">
        <x:v>Biên bản/nhật ký/log</x:v>
      </x:c>
      <x:c r="G24" s="14" t="str">
        <x:v>Ban Kế hoạch - Đầu tư; Ban Không lưu; Ban Kỹ thuật - CNS/IT/Môi trường; Ban An toàn - Chất lượng; Trung tâm Thông báo tin tức hàng không; Các Công ty Quản lý bay khu vực Bắc/Trung/Nam</x:v>
      </x:c>
      <x:c r="H24" s="14" t="str"/>
      <x:c r="I24" s="58" t="str"/>
      <x:c r="J24" s="58" t="str"/>
      <x:c r="K24" s="14" t="str"/>
      <x:c r="L24" s="14" t="str">
        <x:v>Chưa có</x:v>
      </x:c>
      <x:c r="M24" s="14" t="str">
        <x:v>Theo dõi và cập nhật link/chỉ dẫn hồ sơ sau khi có bằng chứng.</x:v>
      </x:c>
    </x:row>
    <x:row r="25">
      <x:c r="A25" s="14" t="str">
        <x:v>EVID-0024</x:v>
      </x:c>
      <x:c r="B25" s="14" t="str">
        <x:v>VATM-0024</x:v>
      </x:c>
      <x:c r="C25" s="14" t="str">
        <x:v>Quản lý khai thác cảng/sân bay</x:v>
      </x:c>
      <x:c r="D25" s="14" t="str">
        <x:v>Công trình, chướng ngại và thi công</x:v>
      </x:c>
      <x:c r="E25" s="14" t="str">
        <x:v>Văn bản ý kiến VATM; safety assessment; phương án giảm thiểu; NOTAM/AIP/AIC; biên bản họp; nhật ký giám sát; tài liệu khai thác công trình</x:v>
      </x:c>
      <x:c r="F25" s="14" t="str">
        <x:v>Biên bản/nhật ký/log</x:v>
      </x:c>
      <x:c r="G25" s="14" t="str">
        <x:v>Ban Kế hoạch - Đầu tư; Ban Không lưu; Ban Kỹ thuật - CNS/IT/Môi trường; Ban An toàn - Chất lượng; Trung tâm Thông báo tin tức hàng không; Các Công ty Quản lý bay khu vực Bắc/Trung/Nam</x:v>
      </x:c>
      <x:c r="H25" s="14" t="str"/>
      <x:c r="I25" s="58" t="str"/>
      <x:c r="J25" s="58" t="str"/>
      <x:c r="K25" s="14" t="str"/>
      <x:c r="L25" s="14" t="str">
        <x:v>Chưa có</x:v>
      </x:c>
      <x:c r="M25" s="14" t="str">
        <x:v>Theo dõi và cập nhật link/chỉ dẫn hồ sơ sau khi có bằng chứng.</x:v>
      </x:c>
    </x:row>
    <x:row r="26">
      <x:c r="A26" s="14" t="str">
        <x:v>EVID-0025</x:v>
      </x:c>
      <x:c r="B26" s="14" t="str">
        <x:v>VATM-0025</x:v>
      </x:c>
      <x:c r="C26" s="14" t="str">
        <x:v>Quản lý khai thác cảng/sân bay</x:v>
      </x:c>
      <x:c r="D26" s="14" t="str">
        <x:v>Công trình, chướng ngại và thi công</x:v>
      </x:c>
      <x:c r="E26" s="14" t="str">
        <x:v>Văn bản ý kiến VATM; safety assessment; phương án giảm thiểu; NOTAM/AIP/AIC; biên bản họp; nhật ký giám sát; tài liệu khai thác công trình</x:v>
      </x:c>
      <x:c r="F26" s="14" t="str">
        <x:v>Biên bản/nhật ký/log</x:v>
      </x:c>
      <x:c r="G26" s="14" t="str">
        <x:v>Ban Kế hoạch - Đầu tư; Ban Không lưu; Ban Kỹ thuật - CNS/IT/Môi trường; Ban An toàn - Chất lượng; Trung tâm Thông báo tin tức hàng không; Các Công ty Quản lý bay khu vực Bắc/Trung/Nam</x:v>
      </x:c>
      <x:c r="H26" s="14" t="str"/>
      <x:c r="I26" s="58" t="str"/>
      <x:c r="J26" s="58" t="str"/>
      <x:c r="K26" s="14" t="str"/>
      <x:c r="L26" s="14" t="str">
        <x:v>Chưa có</x:v>
      </x:c>
      <x:c r="M26" s="14" t="str">
        <x:v>Theo dõi và cập nhật link/chỉ dẫn hồ sơ sau khi có bằng chứng.</x:v>
      </x:c>
    </x:row>
    <x:row r="27">
      <x:c r="A27" s="14" t="str">
        <x:v>EVID-0026</x:v>
      </x:c>
      <x:c r="B27" s="14" t="str">
        <x:v>VATM-0026</x:v>
      </x:c>
      <x:c r="C27" s="14" t="str">
        <x:v>Quản lý khai thác cảng/sân bay</x:v>
      </x:c>
      <x:c r="D27" s="14" t="str">
        <x:v>Công trình, chướng ngại và thi công</x:v>
      </x:c>
      <x:c r="E27" s="14" t="str">
        <x:v>Văn bản ý kiến VATM; safety assessment; phương án giảm thiểu; NOTAM/AIP/AIC; biên bản họp; nhật ký giám sát; tài liệu khai thác công trình</x:v>
      </x:c>
      <x:c r="F27" s="14" t="str">
        <x:v>Biên bản/nhật ký/log</x:v>
      </x:c>
      <x:c r="G27" s="14" t="str">
        <x:v>Ban Kế hoạch - Đầu tư; Ban Không lưu; Ban Kỹ thuật - CNS/IT/Môi trường; Ban An toàn - Chất lượng; Trung tâm Thông báo tin tức hàng không; Các Công ty Quản lý bay khu vực Bắc/Trung/Nam</x:v>
      </x:c>
      <x:c r="H27" s="14" t="str"/>
      <x:c r="I27" s="58" t="str"/>
      <x:c r="J27" s="58" t="str"/>
      <x:c r="K27" s="14" t="str"/>
      <x:c r="L27" s="14" t="str">
        <x:v>Chưa có</x:v>
      </x:c>
      <x:c r="M27" s="14" t="str">
        <x:v>Theo dõi và cập nhật link/chỉ dẫn hồ sơ sau khi có bằng chứng.</x:v>
      </x:c>
    </x:row>
    <x:row r="28">
      <x:c r="A28" s="14" t="str">
        <x:v>EVID-0027</x:v>
      </x:c>
      <x:c r="B28" s="14" t="str">
        <x:v>VATM-0027</x:v>
      </x:c>
      <x:c r="C28" s="14" t="str">
        <x:v>Quản lý khai thác cảng/sân bay</x:v>
      </x:c>
      <x:c r="D28" s="14" t="str">
        <x:v>Công trình, chướng ngại và thi công</x:v>
      </x:c>
      <x:c r="E28" s="14" t="str">
        <x:v>Văn bản ý kiến VATM; safety assessment; phương án giảm thiểu; NOTAM/AIP/AIC; biên bản họp; nhật ký giám sát; tài liệu khai thác công trình</x:v>
      </x:c>
      <x:c r="F28" s="14" t="str">
        <x:v>Biên bản/nhật ký/log</x:v>
      </x:c>
      <x:c r="G28" s="14" t="str">
        <x:v>Ban Kế hoạch - Đầu tư; Ban Không lưu; Ban Kỹ thuật - CNS/IT/Môi trường; Ban An toàn - Chất lượng; Trung tâm Thông báo tin tức hàng không; Các Công ty Quản lý bay khu vực Bắc/Trung/Nam</x:v>
      </x:c>
      <x:c r="H28" s="14" t="str"/>
      <x:c r="I28" s="58" t="str"/>
      <x:c r="J28" s="58" t="str"/>
      <x:c r="K28" s="14" t="str"/>
      <x:c r="L28" s="14" t="str">
        <x:v>Chưa có</x:v>
      </x:c>
      <x:c r="M28" s="14" t="str">
        <x:v>Theo dõi và cập nhật link/chỉ dẫn hồ sơ sau khi có bằng chứng.</x:v>
      </x:c>
    </x:row>
    <x:row r="29">
      <x:c r="A29" s="14" t="str">
        <x:v>EVID-0028</x:v>
      </x:c>
      <x:c r="B29" s="14" t="str">
        <x:v>VATM-0028</x:v>
      </x:c>
      <x:c r="C29" s="14" t="str">
        <x:v>Quản lý khai thác cảng/sân bay</x:v>
      </x:c>
      <x:c r="D29" s="14" t="str">
        <x:v>Công trình, chướng ngại và thi công</x:v>
      </x:c>
      <x:c r="E29" s="14" t="str">
        <x:v>Văn bản ý kiến VATM; safety assessment; phương án giảm thiểu; NOTAM/AIP/AIC; biên bản họp; nhật ký giám sát; tài liệu khai thác công trình</x:v>
      </x:c>
      <x:c r="F29" s="14" t="str">
        <x:v>Biên bản/nhật ký/log</x:v>
      </x:c>
      <x:c r="G29" s="14" t="str">
        <x:v>Ban Kế hoạch - Đầu tư; Ban Không lưu; Ban Kỹ thuật - CNS/IT/Môi trường; Ban An toàn - Chất lượng; Trung tâm Thông báo tin tức hàng không; Các Công ty Quản lý bay khu vực Bắc/Trung/Nam</x:v>
      </x:c>
      <x:c r="H29" s="14" t="str"/>
      <x:c r="I29" s="58" t="str"/>
      <x:c r="J29" s="58" t="str"/>
      <x:c r="K29" s="14" t="str"/>
      <x:c r="L29" s="14" t="str">
        <x:v>Chưa có</x:v>
      </x:c>
      <x:c r="M29" s="14" t="str">
        <x:v>Theo dõi và cập nhật link/chỉ dẫn hồ sơ sau khi có bằng chứng.</x:v>
      </x:c>
    </x:row>
    <x:row r="30">
      <x:c r="A30" s="14" t="str">
        <x:v>EVID-0029</x:v>
      </x:c>
      <x:c r="B30" s="14" t="str">
        <x:v>VATM-0029</x:v>
      </x:c>
      <x:c r="C30" s="14" t="str">
        <x:v>Quản lý khai thác cảng/sân bay</x:v>
      </x:c>
      <x:c r="D30" s="14" t="str">
        <x:v>Công trình, chướng ngại và thi công</x:v>
      </x:c>
      <x:c r="E30" s="14" t="str">
        <x:v>Văn bản ý kiến VATM; safety assessment; phương án giảm thiểu; NOTAM/AIP/AIC; biên bản họp; nhật ký giám sát; tài liệu khai thác công trình</x:v>
      </x:c>
      <x:c r="F30" s="14" t="str">
        <x:v>Biên bản/nhật ký/log</x:v>
      </x:c>
      <x:c r="G30" s="14" t="str">
        <x:v>Ban Kế hoạch - Đầu tư; Ban Không lưu; Ban Kỹ thuật - CNS/IT/Môi trường; Ban An toàn - Chất lượng; Trung tâm Thông báo tin tức hàng không; Các Công ty Quản lý bay khu vực Bắc/Trung/Nam</x:v>
      </x:c>
      <x:c r="H30" s="14" t="str"/>
      <x:c r="I30" s="58" t="str"/>
      <x:c r="J30" s="58" t="str"/>
      <x:c r="K30" s="14" t="str"/>
      <x:c r="L30" s="14" t="str">
        <x:v>Chưa có</x:v>
      </x:c>
      <x:c r="M30" s="14" t="str">
        <x:v>Theo dõi và cập nhật link/chỉ dẫn hồ sơ sau khi có bằng chứng.</x:v>
      </x:c>
    </x:row>
    <x:row r="31">
      <x:c r="A31" s="14" t="str">
        <x:v>EVID-0030</x:v>
      </x:c>
      <x:c r="B31" s="14" t="str">
        <x:v>VATM-0030</x:v>
      </x:c>
      <x:c r="C31" s="14" t="str">
        <x:v>Quản lý khai thác cảng/sân bay</x:v>
      </x:c>
      <x:c r="D31" s="14" t="str">
        <x:v>Công trình, chướng ngại và thi công</x:v>
      </x:c>
      <x:c r="E31" s="14" t="str">
        <x:v>Văn bản ý kiến VATM; safety assessment; phương án giảm thiểu; NOTAM/AIP/AIC; biên bản họp; nhật ký giám sát; tài liệu khai thác công trình</x:v>
      </x:c>
      <x:c r="F31" s="14" t="str">
        <x:v>Biên bản/nhật ký/log</x:v>
      </x:c>
      <x:c r="G31" s="14" t="str">
        <x:v>Ban Kế hoạch - Đầu tư; Ban Không lưu; Ban Kỹ thuật - CNS/IT/Môi trường; Ban An toàn - Chất lượng; Trung tâm Thông báo tin tức hàng không; Các Công ty Quản lý bay khu vực Bắc/Trung/Nam</x:v>
      </x:c>
      <x:c r="H31" s="14" t="str"/>
      <x:c r="I31" s="58" t="str"/>
      <x:c r="J31" s="58" t="str"/>
      <x:c r="K31" s="14" t="str"/>
      <x:c r="L31" s="14" t="str">
        <x:v>Chưa có</x:v>
      </x:c>
      <x:c r="M31" s="14" t="str">
        <x:v>Theo dõi và cập nhật link/chỉ dẫn hồ sơ sau khi có bằng chứng.</x:v>
      </x:c>
    </x:row>
    <x:row r="32">
      <x:c r="A32" s="14" t="str">
        <x:v>EVID-0031</x:v>
      </x:c>
      <x:c r="B32" s="14" t="str">
        <x:v>VATM-0031</x:v>
      </x:c>
      <x:c r="C32" s="14" t="str">
        <x:v>Quản lý khai thác cảng/sân bay</x:v>
      </x:c>
      <x:c r="D32" s="14" t="str">
        <x:v>Công trình, chướng ngại và thi công</x:v>
      </x:c>
      <x:c r="E32" s="14" t="str">
        <x:v>Văn bản ý kiến VATM; safety assessment; phương án giảm thiểu; NOTAM/AIP/AIC; biên bản họp; nhật ký giám sát; tài liệu khai thác công trình</x:v>
      </x:c>
      <x:c r="F32" s="14" t="str">
        <x:v>Biên bản/nhật ký/log</x:v>
      </x:c>
      <x:c r="G32" s="14" t="str">
        <x:v>Ban Kế hoạch - Đầu tư; Ban Không lưu; Ban Kỹ thuật - CNS/IT/Môi trường; Ban An toàn - Chất lượng; Trung tâm Thông báo tin tức hàng không; Các Công ty Quản lý bay khu vực Bắc/Trung/Nam</x:v>
      </x:c>
      <x:c r="H32" s="14" t="str"/>
      <x:c r="I32" s="58" t="str"/>
      <x:c r="J32" s="58" t="str"/>
      <x:c r="K32" s="14" t="str"/>
      <x:c r="L32" s="14" t="str">
        <x:v>Chưa có</x:v>
      </x:c>
      <x:c r="M32" s="14" t="str">
        <x:v>Theo dõi và cập nhật link/chỉ dẫn hồ sơ sau khi có bằng chứng.</x:v>
      </x:c>
    </x:row>
    <x:row r="33">
      <x:c r="A33" s="14" t="str">
        <x:v>EVID-0032</x:v>
      </x:c>
      <x:c r="B33" s="14" t="str">
        <x:v>VATM-0032</x:v>
      </x:c>
      <x:c r="C33" s="14" t="str">
        <x:v>Quản lý khai thác cảng/sân bay</x:v>
      </x:c>
      <x:c r="D33" s="14" t="str">
        <x:v>Công trình, chướng ngại và thi công</x:v>
      </x:c>
      <x:c r="E33" s="14" t="str">
        <x:v>Văn bản ý kiến VATM; safety assessment; phương án giảm thiểu; NOTAM/AIP/AIC; biên bản họp; nhật ký giám sát; tài liệu khai thác công trình</x:v>
      </x:c>
      <x:c r="F33" s="14" t="str">
        <x:v>Biên bản/nhật ký/log</x:v>
      </x:c>
      <x:c r="G33" s="14" t="str">
        <x:v>Ban Kế hoạch - Đầu tư; Ban Không lưu; Ban Kỹ thuật - CNS/IT/Môi trường; Ban An toàn - Chất lượng; Trung tâm Thông báo tin tức hàng không; Các Công ty Quản lý bay khu vực Bắc/Trung/Nam</x:v>
      </x:c>
      <x:c r="H33" s="14" t="str"/>
      <x:c r="I33" s="58" t="str"/>
      <x:c r="J33" s="58" t="str"/>
      <x:c r="K33" s="14" t="str"/>
      <x:c r="L33" s="14" t="str">
        <x:v>Chưa có</x:v>
      </x:c>
      <x:c r="M33" s="14" t="str">
        <x:v>Theo dõi và cập nhật link/chỉ dẫn hồ sơ sau khi có bằng chứng.</x:v>
      </x:c>
    </x:row>
    <x:row r="34">
      <x:c r="A34" s="14" t="str">
        <x:v>EVID-0033</x:v>
      </x:c>
      <x:c r="B34" s="14" t="str">
        <x:v>VATM-0033</x:v>
      </x:c>
      <x:c r="C34" s="14" t="str">
        <x:v>Quản lý khai thác cảng/sân bay</x:v>
      </x:c>
      <x:c r="D34" s="14" t="str">
        <x:v>Công trình, chướng ngại và thi công</x:v>
      </x:c>
      <x:c r="E34" s="14" t="str">
        <x:v>Văn bản ý kiến VATM; safety assessment; phương án giảm thiểu; NOTAM/AIP/AIC; biên bản họp; nhật ký giám sát; tài liệu khai thác công trình</x:v>
      </x:c>
      <x:c r="F34" s="14" t="str">
        <x:v>Biên bản/nhật ký/log</x:v>
      </x:c>
      <x:c r="G34" s="14" t="str">
        <x:v>Ban Kế hoạch - Đầu tư; Ban Không lưu; Ban Kỹ thuật - CNS/IT/Môi trường; Ban An toàn - Chất lượng; Trung tâm Thông báo tin tức hàng không; Các Công ty Quản lý bay khu vực Bắc/Trung/Nam</x:v>
      </x:c>
      <x:c r="H34" s="14" t="str"/>
      <x:c r="I34" s="58" t="str"/>
      <x:c r="J34" s="58" t="str"/>
      <x:c r="K34" s="14" t="str"/>
      <x:c r="L34" s="14" t="str">
        <x:v>Chưa có</x:v>
      </x:c>
      <x:c r="M34" s="14" t="str">
        <x:v>Theo dõi và cập nhật link/chỉ dẫn hồ sơ sau khi có bằng chứng.</x:v>
      </x:c>
    </x:row>
    <x:row r="35">
      <x:c r="A35" s="14" t="str">
        <x:v>EVID-0034</x:v>
      </x:c>
      <x:c r="B35" s="14" t="str">
        <x:v>VATM-0034</x:v>
      </x:c>
      <x:c r="C35" s="14" t="str">
        <x:v>Quản lý khai thác cảng/sân bay</x:v>
      </x:c>
      <x:c r="D35" s="14" t="str">
        <x:v>Công trình, chướng ngại và thi công</x:v>
      </x:c>
      <x:c r="E35" s="14" t="str">
        <x:v>Văn bản ý kiến VATM; safety assessment; phương án giảm thiểu; NOTAM/AIP/AIC; biên bản họp; nhật ký giám sát; tài liệu khai thác công trình</x:v>
      </x:c>
      <x:c r="F35" s="14" t="str">
        <x:v>Biên bản/nhật ký/log</x:v>
      </x:c>
      <x:c r="G35" s="14" t="str">
        <x:v>Ban Kế hoạch - Đầu tư; Ban Không lưu; Ban Kỹ thuật - CNS/IT/Môi trường; Ban An toàn - Chất lượng; Trung tâm Thông báo tin tức hàng không; Các Công ty Quản lý bay khu vực Bắc/Trung/Nam</x:v>
      </x:c>
      <x:c r="H35" s="14" t="str"/>
      <x:c r="I35" s="58" t="str"/>
      <x:c r="J35" s="58" t="str"/>
      <x:c r="K35" s="14" t="str"/>
      <x:c r="L35" s="14" t="str">
        <x:v>Chưa có</x:v>
      </x:c>
      <x:c r="M35" s="14" t="str">
        <x:v>Theo dõi và cập nhật link/chỉ dẫn hồ sơ sau khi có bằng chứng.</x:v>
      </x:c>
    </x:row>
    <x:row r="36">
      <x:c r="A36" s="14" t="str">
        <x:v>EVID-0035</x:v>
      </x:c>
      <x:c r="B36" s="14" t="str">
        <x:v>VATM-0035</x:v>
      </x:c>
      <x:c r="C36" s="14" t="str">
        <x:v>Quản lý khai thác cảng/sân bay</x:v>
      </x:c>
      <x:c r="D36" s="14" t="str">
        <x:v>Công trình, chướng ngại và thi công</x:v>
      </x:c>
      <x:c r="E36" s="14" t="str">
        <x:v>Văn bản ý kiến VATM; safety assessment; phương án giảm thiểu; NOTAM/AIP/AIC; biên bản họp; nhật ký giám sát; tài liệu khai thác công trình</x:v>
      </x:c>
      <x:c r="F36" s="14" t="str">
        <x:v>Biên bản/nhật ký/log</x:v>
      </x:c>
      <x:c r="G36" s="14" t="str">
        <x:v>Ban Kế hoạch - Đầu tư; Ban Không lưu; Ban Kỹ thuật - CNS/IT/Môi trường; Ban An toàn - Chất lượng; Trung tâm Thông báo tin tức hàng không; Các Công ty Quản lý bay khu vực Bắc/Trung/Nam</x:v>
      </x:c>
      <x:c r="H36" s="14" t="str"/>
      <x:c r="I36" s="58" t="str"/>
      <x:c r="J36" s="58" t="str"/>
      <x:c r="K36" s="14" t="str"/>
      <x:c r="L36" s="14" t="str">
        <x:v>Chưa có</x:v>
      </x:c>
      <x:c r="M36" s="14" t="str">
        <x:v>Theo dõi và cập nhật link/chỉ dẫn hồ sơ sau khi có bằng chứng.</x:v>
      </x:c>
    </x:row>
    <x:row r="37">
      <x:c r="A37" s="14" t="str">
        <x:v>EVID-0036</x:v>
      </x:c>
      <x:c r="B37" s="14" t="str">
        <x:v>VATM-0036</x:v>
      </x:c>
      <x:c r="C37" s="14" t="str">
        <x:v>Quản lý khai thác cảng/sân bay</x:v>
      </x:c>
      <x:c r="D37" s="14" t="str">
        <x:v>Công trình, chướng ngại và thi công</x:v>
      </x:c>
      <x:c r="E37" s="14" t="str">
        <x:v>Văn bản ý kiến VATM; safety assessment; phương án giảm thiểu; NOTAM/AIP/AIC; biên bản họp; nhật ký giám sát; tài liệu khai thác công trình</x:v>
      </x:c>
      <x:c r="F37" s="14" t="str">
        <x:v>Biên bản/nhật ký/log</x:v>
      </x:c>
      <x:c r="G37" s="14" t="str">
        <x:v>Ban Kế hoạch - Đầu tư; Ban Không lưu; Ban Kỹ thuật - CNS/IT/Môi trường; Ban An toàn - Chất lượng; Trung tâm Thông báo tin tức hàng không; Các Công ty Quản lý bay khu vực Bắc/Trung/Nam</x:v>
      </x:c>
      <x:c r="H37" s="14" t="str"/>
      <x:c r="I37" s="58" t="str"/>
      <x:c r="J37" s="58" t="str"/>
      <x:c r="K37" s="14" t="str"/>
      <x:c r="L37" s="14" t="str">
        <x:v>Chưa có</x:v>
      </x:c>
      <x:c r="M37" s="14" t="str">
        <x:v>Theo dõi và cập nhật link/chỉ dẫn hồ sơ sau khi có bằng chứng.</x:v>
      </x:c>
    </x:row>
    <x:row r="38">
      <x:c r="A38" s="14" t="str">
        <x:v>EVID-0037</x:v>
      </x:c>
      <x:c r="B38" s="14" t="str">
        <x:v>VATM-0037</x:v>
      </x:c>
      <x:c r="C38" s="14" t="str">
        <x:v>Quản lý khai thác cảng/sân bay</x:v>
      </x:c>
      <x:c r="D38" s="14" t="str">
        <x:v>Công trình, chướng ngại và thi công</x:v>
      </x:c>
      <x:c r="E38" s="14" t="str">
        <x:v>Văn bản ý kiến VATM; safety assessment; phương án giảm thiểu; NOTAM/AIP/AIC; biên bản họp; nhật ký giám sát; tài liệu khai thác công trình</x:v>
      </x:c>
      <x:c r="F38" s="14" t="str">
        <x:v>Biên bản/nhật ký/log</x:v>
      </x:c>
      <x:c r="G38" s="14" t="str">
        <x:v>Ban Kế hoạch - Đầu tư; Ban Không lưu; Ban Kỹ thuật - CNS/IT/Môi trường; Ban An toàn - Chất lượng; Trung tâm Thông báo tin tức hàng không; Các Công ty Quản lý bay khu vực Bắc/Trung/Nam</x:v>
      </x:c>
      <x:c r="H38" s="14" t="str"/>
      <x:c r="I38" s="58" t="str"/>
      <x:c r="J38" s="58" t="str"/>
      <x:c r="K38" s="14" t="str"/>
      <x:c r="L38" s="14" t="str">
        <x:v>Chưa có</x:v>
      </x:c>
      <x:c r="M38" s="14" t="str">
        <x:v>Theo dõi và cập nhật link/chỉ dẫn hồ sơ sau khi có bằng chứng.</x:v>
      </x:c>
    </x:row>
    <x:row r="39">
      <x:c r="A39" s="14" t="str">
        <x:v>EVID-0038</x:v>
      </x:c>
      <x:c r="B39" s="14" t="str">
        <x:v>VATM-0038</x:v>
      </x:c>
      <x:c r="C39" s="14" t="str">
        <x:v>Quản lý khai thác cảng/sân bay</x:v>
      </x:c>
      <x:c r="D39" s="14" t="str">
        <x:v>Công trình, chướng ngại và thi công</x:v>
      </x:c>
      <x:c r="E39" s="14" t="str">
        <x:v>Văn bản ý kiến VATM; safety assessment; phương án giảm thiểu; NOTAM/AIP/AIC; biên bản họp; nhật ký giám sát; tài liệu khai thác công trình</x:v>
      </x:c>
      <x:c r="F39" s="14" t="str">
        <x:v>Biên bản/nhật ký/log</x:v>
      </x:c>
      <x:c r="G39" s="14" t="str">
        <x:v>Ban Kế hoạch - Đầu tư; Ban Không lưu; Ban Kỹ thuật - CNS/IT/Môi trường; Ban An toàn - Chất lượng; Trung tâm Thông báo tin tức hàng không; Các Công ty Quản lý bay khu vực Bắc/Trung/Nam</x:v>
      </x:c>
      <x:c r="H39" s="14" t="str"/>
      <x:c r="I39" s="58" t="str"/>
      <x:c r="J39" s="58" t="str"/>
      <x:c r="K39" s="14" t="str"/>
      <x:c r="L39" s="14" t="str">
        <x:v>Chưa có</x:v>
      </x:c>
      <x:c r="M39" s="14" t="str">
        <x:v>Theo dõi và cập nhật link/chỉ dẫn hồ sơ sau khi có bằng chứng.</x:v>
      </x:c>
    </x:row>
    <x:row r="40">
      <x:c r="A40" s="14" t="str">
        <x:v>EVID-0039</x:v>
      </x:c>
      <x:c r="B40" s="14" t="str">
        <x:v>VATM-0039</x:v>
      </x:c>
      <x:c r="C40" s="14" t="str">
        <x:v>Quản lý khai thác cảng/sân bay</x:v>
      </x:c>
      <x:c r="D40" s="14" t="str">
        <x:v>Công trình, chướng ngại và thi công</x:v>
      </x:c>
      <x:c r="E40" s="14" t="str">
        <x:v>Văn bản ý kiến; NOTAM/AIP SUP nếu có; kế hoạch hiệp đồng; hồ sơ tọa độ/cao độ</x:v>
      </x:c>
      <x:c r="F40" s="14" t="str">
        <x:v>Quyết định/Kế hoạch</x:v>
      </x:c>
      <x:c r="G40" s="14" t="str">
        <x:v>Ban Kế hoạch - Đầu tư; Ban Không lưu; Ban Kỹ thuật - CNS/IT/Môi trường; Trung tâm Khí tượng hàng không; Trung tâm Thông báo tin tức hàng không; Trung tâm Tìm kiếm cứu nạn hàng không</x:v>
      </x:c>
      <x:c r="H40" s="14" t="str"/>
      <x:c r="I40" s="58" t="str"/>
      <x:c r="J40" s="58" t="str"/>
      <x:c r="K40" s="14" t="str"/>
      <x:c r="L40" s="14" t="str">
        <x:v>Chưa có</x:v>
      </x:c>
      <x:c r="M40" s="14" t="str">
        <x:v>Theo dõi và cập nhật link/chỉ dẫn hồ sơ sau khi có bằng chứng.</x:v>
      </x:c>
    </x:row>
    <x:row r="41">
      <x:c r="A41" s="14" t="str">
        <x:v>EVID-0040</x:v>
      </x:c>
      <x:c r="B41" s="14" t="str">
        <x:v>VATM-0040</x:v>
      </x:c>
      <x:c r="C41" s="14" t="str">
        <x:v>Quản lý khai thác cảng/sân bay</x:v>
      </x:c>
      <x:c r="D41" s="14" t="str">
        <x:v>Công trình, chướng ngại và thi công</x:v>
      </x:c>
      <x:c r="E41" s="14" t="str">
        <x:v>Văn bản ý kiến; NOTAM/AIP SUP nếu có; kế hoạch hiệp đồng; hồ sơ tọa độ/cao độ</x:v>
      </x:c>
      <x:c r="F41" s="14" t="str">
        <x:v>Quyết định/Kế hoạch</x:v>
      </x:c>
      <x:c r="G41" s="14" t="str">
        <x:v>Ban Kế hoạch - Đầu tư; Ban Không lưu; Ban Kỹ thuật - CNS/IT/Môi trường; Trung tâm Khí tượng hàng không; Trung tâm Thông báo tin tức hàng không; Trung tâm Tìm kiếm cứu nạn hàng không</x:v>
      </x:c>
      <x:c r="H41" s="14" t="str"/>
      <x:c r="I41" s="58" t="str"/>
      <x:c r="J41" s="58" t="str"/>
      <x:c r="K41" s="14" t="str"/>
      <x:c r="L41" s="14" t="str">
        <x:v>Chưa có</x:v>
      </x:c>
      <x:c r="M41" s="14" t="str">
        <x:v>Theo dõi và cập nhật link/chỉ dẫn hồ sơ sau khi có bằng chứng.</x:v>
      </x:c>
    </x:row>
    <x:row r="42">
      <x:c r="A42" s="14" t="str">
        <x:v>EVID-0041</x:v>
      </x:c>
      <x:c r="B42" s="14" t="str">
        <x:v>VATM-0041</x:v>
      </x:c>
      <x:c r="C42" s="14" t="str">
        <x:v>Tuân thủ, pháp chế &amp; quản trị</x:v>
      </x:c>
      <x:c r="D42" s="14" t="str">
        <x:v>Rà soát văn bản, quy trình và GAP</x:v>
      </x:c>
      <x:c r="E42" s="14" t="str">
        <x:v>Quy chế/hiệp đồng; danh mục phương tiện; hồ sơ kiểm định; biên bản phối hợp quân-dân dụng</x:v>
      </x:c>
      <x:c r="F42" s="14" t="str">
        <x:v>Quy trình/SOP</x:v>
      </x:c>
      <x:c r="G42" s="14" t="str">
        <x:v>Văn phòng - Pháp chế; Ban Không lưu; Ban Kỹ thuật - CNS/IT/Môi trường; Các Công ty Quản lý bay khu vực Bắc/Trung/Nam</x:v>
      </x:c>
      <x:c r="H42" s="14" t="str"/>
      <x:c r="I42" s="58" t="str"/>
      <x:c r="J42" s="58" t="str"/>
      <x:c r="K42" s="14" t="str"/>
      <x:c r="L42" s="14" t="str">
        <x:v>Chưa có</x:v>
      </x:c>
      <x:c r="M42" s="14" t="str">
        <x:v>Theo dõi và cập nhật link/chỉ dẫn hồ sơ sau khi có bằng chứng.</x:v>
      </x:c>
    </x:row>
    <x:row r="43">
      <x:c r="A43" s="14" t="str">
        <x:v>EVID-0042</x:v>
      </x:c>
      <x:c r="B43" s="14" t="str">
        <x:v>VATM-0042</x:v>
      </x:c>
      <x:c r="C43" s="14" t="str">
        <x:v>Tuân thủ, pháp chế &amp; quản trị</x:v>
      </x:c>
      <x:c r="D43" s="14" t="str">
        <x:v>Rà soát văn bản, quy trình và GAP</x:v>
      </x:c>
      <x:c r="E43" s="14" t="str">
        <x:v>Quy chế/hiệp đồng; danh mục phương tiện; hồ sơ kiểm định; biên bản phối hợp quân-dân dụng</x:v>
      </x:c>
      <x:c r="F43" s="14" t="str">
        <x:v>Quy trình/SOP</x:v>
      </x:c>
      <x:c r="G43" s="14" t="str">
        <x:v>Văn phòng - Pháp chế; Ban Không lưu; Ban Kỹ thuật - CNS/IT/Môi trường; Các Công ty Quản lý bay khu vực Bắc/Trung/Nam</x:v>
      </x:c>
      <x:c r="H43" s="14" t="str"/>
      <x:c r="I43" s="58" t="str"/>
      <x:c r="J43" s="58" t="str"/>
      <x:c r="K43" s="14" t="str"/>
      <x:c r="L43" s="14" t="str">
        <x:v>Chưa có</x:v>
      </x:c>
      <x:c r="M43" s="14" t="str">
        <x:v>Theo dõi và cập nhật link/chỉ dẫn hồ sơ sau khi có bằng chứng.</x:v>
      </x:c>
    </x:row>
    <x:row r="44">
      <x:c r="A44" s="14" t="str">
        <x:v>EVID-0043</x:v>
      </x:c>
      <x:c r="B44" s="14" t="str">
        <x:v>VATM-0043</x:v>
      </x:c>
      <x:c r="C44" s="14" t="str">
        <x:v>Tuân thủ, pháp chế &amp; quản trị</x:v>
      </x:c>
      <x:c r="D44" s="14" t="str">
        <x:v>Rà soát văn bản, quy trình và GAP</x:v>
      </x:c>
      <x:c r="E44" s="14" t="str">
        <x:v>Quy chế/hiệp đồng; danh mục phương tiện; hồ sơ kiểm định; biên bản phối hợp quân-dân dụng</x:v>
      </x:c>
      <x:c r="F44" s="14" t="str">
        <x:v>Quy trình/SOP</x:v>
      </x:c>
      <x:c r="G44" s="14" t="str">
        <x:v>Văn phòng - Pháp chế; Ban Không lưu; Ban Kỹ thuật - CNS/IT/Môi trường; Các Công ty Quản lý bay khu vực Bắc/Trung/Nam</x:v>
      </x:c>
      <x:c r="H44" s="14" t="str"/>
      <x:c r="I44" s="58" t="str"/>
      <x:c r="J44" s="58" t="str"/>
      <x:c r="K44" s="14" t="str"/>
      <x:c r="L44" s="14" t="str">
        <x:v>Chưa có</x:v>
      </x:c>
      <x:c r="M44" s="14" t="str">
        <x:v>Theo dõi và cập nhật link/chỉ dẫn hồ sơ sau khi có bằng chứng.</x:v>
      </x:c>
    </x:row>
    <x:row r="45">
      <x:c r="A45" s="14" t="str">
        <x:v>EVID-0044</x:v>
      </x:c>
      <x:c r="B45" s="14" t="str">
        <x:v>VATM-0044</x:v>
      </x:c>
      <x:c r="C45" s="14" t="str">
        <x:v>Tuân thủ, pháp chế &amp; quản trị</x:v>
      </x:c>
      <x:c r="D45" s="14" t="str">
        <x:v>Rà soát văn bản, quy trình và GAP</x:v>
      </x:c>
      <x:c r="E45" s="14" t="str">
        <x:v>Quy chế/hiệp đồng; danh mục phương tiện; hồ sơ kiểm định; biên bản phối hợp quân-dân dụng</x:v>
      </x:c>
      <x:c r="F45" s="14" t="str">
        <x:v>Quy trình/SOP</x:v>
      </x:c>
      <x:c r="G45" s="14" t="str">
        <x:v>Văn phòng - Pháp chế; Ban Không lưu; Ban Kỹ thuật - CNS/IT/Môi trường; Các Công ty Quản lý bay khu vực Bắc/Trung/Nam</x:v>
      </x:c>
      <x:c r="H45" s="14" t="str"/>
      <x:c r="I45" s="58" t="str"/>
      <x:c r="J45" s="58" t="str"/>
      <x:c r="K45" s="14" t="str"/>
      <x:c r="L45" s="14" t="str">
        <x:v>Chưa có</x:v>
      </x:c>
      <x:c r="M45" s="14" t="str">
        <x:v>Theo dõi và cập nhật link/chỉ dẫn hồ sơ sau khi có bằng chứng.</x:v>
      </x:c>
    </x:row>
    <x:row r="46">
      <x:c r="A46" s="14" t="str">
        <x:v>EVID-0045</x:v>
      </x:c>
      <x:c r="B46" s="14" t="str">
        <x:v>VATM-0045</x:v>
      </x:c>
      <x:c r="C46" s="14" t="str">
        <x:v>Tuân thủ, pháp chế &amp; quản trị</x:v>
      </x:c>
      <x:c r="D46" s="14" t="str">
        <x:v>Rà soát văn bản, quy trình và GAP</x:v>
      </x:c>
      <x:c r="E46" s="14" t="str">
        <x:v>Kế hoạch tuân thủ; bảng rà soát văn bản nội bộ; danh mục hồ sơ chuyển tiếp; báo cáo pháp chế</x:v>
      </x:c>
      <x:c r="F46" s="14" t="str">
        <x:v>Quyết định/Kế hoạch</x:v>
      </x:c>
      <x:c r="G46" s="14" t="str">
        <x:v>Văn phòng - Pháp chế; Ban Kế hoạch - Đầu tư</x:v>
      </x:c>
      <x:c r="H46" s="14" t="str"/>
      <x:c r="I46" s="58" t="str"/>
      <x:c r="J46" s="58" t="str"/>
      <x:c r="K46" s="14" t="str"/>
      <x:c r="L46" s="14" t="str">
        <x:v>Chưa có</x:v>
      </x:c>
      <x:c r="M46" s="14" t="str">
        <x:v>Theo dõi và cập nhật link/chỉ dẫn hồ sơ sau khi có bằng chứng.</x:v>
      </x:c>
    </x:row>
    <x:row r="47">
      <x:c r="A47" s="14" t="str">
        <x:v>EVID-0046</x:v>
      </x:c>
      <x:c r="B47" s="14" t="str">
        <x:v>VATM-0046</x:v>
      </x:c>
      <x:c r="C47" s="14" t="str">
        <x:v>Tuân thủ, pháp chế &amp; quản trị</x:v>
      </x:c>
      <x:c r="D47" s="14" t="str">
        <x:v>Rà soát văn bản, quy trình và GAP</x:v>
      </x:c>
      <x:c r="E47" s="14" t="str">
        <x:v>Kế hoạch tuân thủ; bảng rà soát văn bản nội bộ; danh mục hồ sơ chuyển tiếp; báo cáo pháp chế</x:v>
      </x:c>
      <x:c r="F47" s="14" t="str">
        <x:v>Quyết định/Kế hoạch</x:v>
      </x:c>
      <x:c r="G47" s="14" t="str">
        <x:v>Văn phòng - Pháp chế; Ban Kế hoạch - Đầu tư</x:v>
      </x:c>
      <x:c r="H47" s="14" t="str"/>
      <x:c r="I47" s="58" t="str"/>
      <x:c r="J47" s="58" t="str"/>
      <x:c r="K47" s="14" t="str"/>
      <x:c r="L47" s="14" t="str">
        <x:v>Chưa có</x:v>
      </x:c>
      <x:c r="M47" s="14" t="str">
        <x:v>Theo dõi và cập nhật link/chỉ dẫn hồ sơ sau khi có bằng chứng.</x:v>
      </x:c>
    </x:row>
    <x:row r="48">
      <x:c r="A48" s="14" t="str">
        <x:v>EVID-0047</x:v>
      </x:c>
      <x:c r="B48" s="14" t="str">
        <x:v>VATM-0047</x:v>
      </x:c>
      <x:c r="C48" s="14" t="str">
        <x:v>Tuân thủ, pháp chế &amp; quản trị</x:v>
      </x:c>
      <x:c r="D48" s="14" t="str">
        <x:v>Rà soát văn bản, quy trình và GAP</x:v>
      </x:c>
      <x:c r="E48" s="14" t="str">
        <x:v>Kế hoạch tuân thủ; bảng rà soát văn bản nội bộ; danh mục hồ sơ chuyển tiếp; báo cáo pháp chế</x:v>
      </x:c>
      <x:c r="F48" s="14" t="str">
        <x:v>Quyết định/Kế hoạch</x:v>
      </x:c>
      <x:c r="G48" s="14" t="str">
        <x:v>Văn phòng - Pháp chế; Ban Kế hoạch - Đầu tư</x:v>
      </x:c>
      <x:c r="H48" s="14" t="str"/>
      <x:c r="I48" s="58" t="str"/>
      <x:c r="J48" s="58" t="str"/>
      <x:c r="K48" s="14" t="str"/>
      <x:c r="L48" s="14" t="str">
        <x:v>Chưa có</x:v>
      </x:c>
      <x:c r="M48" s="14" t="str">
        <x:v>Theo dõi và cập nhật link/chỉ dẫn hồ sơ sau khi có bằng chứng.</x:v>
      </x:c>
    </x:row>
    <x:row r="49">
      <x:c r="A49" s="14" t="str">
        <x:v>EVID-0048</x:v>
      </x:c>
      <x:c r="B49" s="14" t="str">
        <x:v>VATM-0048</x:v>
      </x:c>
      <x:c r="C49" s="14" t="str">
        <x:v>Tuân thủ, pháp chế &amp; quản trị</x:v>
      </x:c>
      <x:c r="D49" s="14" t="str">
        <x:v>Rà soát văn bản, quy trình và GAP</x:v>
      </x:c>
      <x:c r="E49" s="14" t="str">
        <x:v>Kế hoạch tuân thủ; bảng rà soát văn bản nội bộ; danh mục hồ sơ chuyển tiếp; báo cáo pháp chế</x:v>
      </x:c>
      <x:c r="F49" s="14" t="str">
        <x:v>Quyết định/Kế hoạch</x:v>
      </x:c>
      <x:c r="G49" s="14" t="str">
        <x:v>Văn phòng - Pháp chế; Ban Kế hoạch - Đầu tư</x:v>
      </x:c>
      <x:c r="H49" s="14" t="str"/>
      <x:c r="I49" s="58" t="str"/>
      <x:c r="J49" s="58" t="str"/>
      <x:c r="K49" s="14" t="str"/>
      <x:c r="L49" s="14" t="str">
        <x:v>Chưa có</x:v>
      </x:c>
      <x:c r="M49" s="14" t="str">
        <x:v>Theo dõi và cập nhật link/chỉ dẫn hồ sơ sau khi có bằng chứng.</x:v>
      </x:c>
    </x:row>
    <x:row r="50">
      <x:c r="A50" s="14" t="str">
        <x:v>EVID-0049</x:v>
      </x:c>
      <x:c r="B50" s="14" t="str">
        <x:v>VATM-0049</x:v>
      </x:c>
      <x:c r="C50" s="14" t="str">
        <x:v>Tuân thủ, pháp chế &amp; quản trị</x:v>
      </x:c>
      <x:c r="D50" s="14" t="str">
        <x:v>Rà soát văn bản, quy trình và GAP</x:v>
      </x:c>
      <x:c r="E50" s="14" t="str">
        <x:v>Kế hoạch tuân thủ; bảng rà soát văn bản nội bộ; danh mục hồ sơ chuyển tiếp; báo cáo pháp chế</x:v>
      </x:c>
      <x:c r="F50" s="14" t="str">
        <x:v>Quyết định/Kế hoạch</x:v>
      </x:c>
      <x:c r="G50" s="14" t="str">
        <x:v>Văn phòng - Pháp chế; Ban Kế hoạch - Đầu tư</x:v>
      </x:c>
      <x:c r="H50" s="14" t="str"/>
      <x:c r="I50" s="58" t="str"/>
      <x:c r="J50" s="58" t="str"/>
      <x:c r="K50" s="14" t="str"/>
      <x:c r="L50" s="14" t="str">
        <x:v>Chưa có</x:v>
      </x:c>
      <x:c r="M50" s="14" t="str">
        <x:v>Theo dõi và cập nhật link/chỉ dẫn hồ sơ sau khi có bằng chứng.</x:v>
      </x:c>
    </x:row>
    <x:row r="51">
      <x:c r="A51" s="14" t="str">
        <x:v>EVID-0050</x:v>
      </x:c>
      <x:c r="B51" s="14" t="str">
        <x:v>VATM-0050</x:v>
      </x:c>
      <x:c r="C51" s="14" t="str">
        <x:v>ANS - ATM/ATS/ATFM</x:v>
      </x:c>
      <x:c r="D51" s="14" t="str">
        <x:v>Phối hợp ATS với cảng/sân bay</x:v>
      </x:c>
      <x:c r="E51" s="14" t="str">
        <x:v>LOA/SOP sửa đổi; log briefing; checklist kiểm tra; báo cáo sau thay đổi</x:v>
      </x:c>
      <x:c r="F51" s="14" t="str">
        <x:v>Quy trình/SOP</x:v>
      </x:c>
      <x:c r="G51" s="14" t="str">
        <x:v>Ban Không lưu</x:v>
      </x:c>
      <x:c r="H51" s="14" t="str"/>
      <x:c r="I51" s="58" t="str"/>
      <x:c r="J51" s="58" t="str"/>
      <x:c r="K51" s="14" t="str"/>
      <x:c r="L51" s="14" t="str">
        <x:v>Chưa có</x:v>
      </x:c>
      <x:c r="M51" s="14" t="str">
        <x:v>Theo dõi và cập nhật link/chỉ dẫn hồ sơ sau khi có bằng chứng.</x:v>
      </x:c>
    </x:row>
    <x:row r="52">
      <x:c r="A52" s="14" t="str">
        <x:v>EVID-0051</x:v>
      </x:c>
      <x:c r="B52" s="14" t="str">
        <x:v>VATM-0051</x:v>
      </x:c>
      <x:c r="C52" s="14" t="str">
        <x:v>ANS - ATM/ATS/ATFM</x:v>
      </x:c>
      <x:c r="D52" s="14" t="str">
        <x:v>Phối hợp ATS với cảng/sân bay</x:v>
      </x:c>
      <x:c r="E52" s="14" t="str">
        <x:v>LOA/SOP sửa đổi; log briefing; checklist kiểm tra; báo cáo sau thay đổi</x:v>
      </x:c>
      <x:c r="F52" s="14" t="str">
        <x:v>Quy trình/SOP</x:v>
      </x:c>
      <x:c r="G52" s="14" t="str">
        <x:v>Ban Không lưu</x:v>
      </x:c>
      <x:c r="H52" s="14" t="str"/>
      <x:c r="I52" s="58" t="str"/>
      <x:c r="J52" s="58" t="str"/>
      <x:c r="K52" s="14" t="str"/>
      <x:c r="L52" s="14" t="str">
        <x:v>Chưa có</x:v>
      </x:c>
      <x:c r="M52" s="14" t="str">
        <x:v>Theo dõi và cập nhật link/chỉ dẫn hồ sơ sau khi có bằng chứng.</x:v>
      </x:c>
    </x:row>
    <x:row r="53">
      <x:c r="A53" s="14" t="str">
        <x:v>EVID-0052</x:v>
      </x:c>
      <x:c r="B53" s="14" t="str">
        <x:v>VATM-0052</x:v>
      </x:c>
      <x:c r="C53" s="14" t="str">
        <x:v>ANS - ATM/ATS/ATFM</x:v>
      </x:c>
      <x:c r="D53" s="14" t="str">
        <x:v>Phối hợp ATS với cảng/sân bay</x:v>
      </x:c>
      <x:c r="E53" s="14" t="str">
        <x:v>LOA/SOP sửa đổi; log briefing; checklist kiểm tra; báo cáo sau thay đổi</x:v>
      </x:c>
      <x:c r="F53" s="14" t="str">
        <x:v>Quy trình/SOP</x:v>
      </x:c>
      <x:c r="G53" s="14" t="str">
        <x:v>Ban Không lưu</x:v>
      </x:c>
      <x:c r="H53" s="14" t="str"/>
      <x:c r="I53" s="58" t="str"/>
      <x:c r="J53" s="58" t="str"/>
      <x:c r="K53" s="14" t="str"/>
      <x:c r="L53" s="14" t="str">
        <x:v>Chưa có</x:v>
      </x:c>
      <x:c r="M53" s="14" t="str">
        <x:v>Theo dõi và cập nhật link/chỉ dẫn hồ sơ sau khi có bằng chứng.</x:v>
      </x:c>
    </x:row>
    <x:row r="54">
      <x:c r="A54" s="14" t="str">
        <x:v>EVID-0053</x:v>
      </x:c>
      <x:c r="B54" s="14" t="str">
        <x:v>VATM-0053</x:v>
      </x:c>
      <x:c r="C54" s="14" t="str">
        <x:v>ANS - AIS/AIM/Tin tức HK</x:v>
      </x:c>
      <x:c r="D54" s="14" t="str">
        <x:v>AIP/NOTAM/dữ liệu hàng không</x:v>
      </x:c>
      <x:c r="E54" s="14" t="str">
        <x:v>LOA/SOP sửa đổi; log briefing; checklist kiểm tra; báo cáo sau thay đổi</x:v>
      </x:c>
      <x:c r="F54" s="14" t="str">
        <x:v>Quy trình/SOP</x:v>
      </x:c>
      <x:c r="G54" s="14" t="str">
        <x:v>Trung tâm Thông báo tin tức hàng không</x:v>
      </x:c>
      <x:c r="H54" s="14" t="str"/>
      <x:c r="I54" s="58" t="str"/>
      <x:c r="J54" s="58" t="str"/>
      <x:c r="K54" s="14" t="str"/>
      <x:c r="L54" s="14" t="str">
        <x:v>Chưa có</x:v>
      </x:c>
      <x:c r="M54" s="14" t="str">
        <x:v>Theo dõi và cập nhật link/chỉ dẫn hồ sơ sau khi có bằng chứng.</x:v>
      </x:c>
    </x:row>
    <x:row r="55">
      <x:c r="A55" s="14" t="str">
        <x:v>EVID-0054</x:v>
      </x:c>
      <x:c r="B55" s="14" t="str">
        <x:v>VATM-0054</x:v>
      </x:c>
      <x:c r="C55" s="14" t="str">
        <x:v>ANS - CNS/IT/Kỹ thuật</x:v>
      </x:c>
      <x:c r="D55" s="14" t="str">
        <x:v>CNS, trang thiết bị và bảo trì kỹ thuật</x:v>
      </x:c>
      <x:c r="E55" s="14" t="str">
        <x:v>LOA/SOP sửa đổi; log briefing; checklist kiểm tra; báo cáo sau thay đổi</x:v>
      </x:c>
      <x:c r="F55" s="14" t="str">
        <x:v>Quy trình/SOP</x:v>
      </x:c>
      <x:c r="G55" s="14" t="str">
        <x:v>Ban Kỹ thuật - CNS/IT/Môi trường</x:v>
      </x:c>
      <x:c r="H55" s="14" t="str"/>
      <x:c r="I55" s="58" t="str"/>
      <x:c r="J55" s="58" t="str"/>
      <x:c r="K55" s="14" t="str"/>
      <x:c r="L55" s="14" t="str">
        <x:v>Chưa có</x:v>
      </x:c>
      <x:c r="M55" s="14" t="str">
        <x:v>Theo dõi và cập nhật link/chỉ dẫn hồ sơ sau khi có bằng chứng.</x:v>
      </x:c>
    </x:row>
    <x:row r="56">
      <x:c r="A56" s="14" t="str">
        <x:v>EVID-0055</x:v>
      </x:c>
      <x:c r="B56" s="14" t="str">
        <x:v>VATM-0055</x:v>
      </x:c>
      <x:c r="C56" s="14" t="str">
        <x:v>ANS - MET/Khí tượng hàng không</x:v>
      </x:c>
      <x:c r="D56" s="14" t="str">
        <x:v>Quan trắc, dự báo và cảnh báo MET</x:v>
      </x:c>
      <x:c r="E56" s="14" t="str">
        <x:v>LOA/SOP sửa đổi; log briefing; checklist kiểm tra; báo cáo sau thay đổi</x:v>
      </x:c>
      <x:c r="F56" s="14" t="str">
        <x:v>Quy trình/SOP</x:v>
      </x:c>
      <x:c r="G56" s="14" t="str">
        <x:v>Trung tâm Khí tượng hàng không</x:v>
      </x:c>
      <x:c r="H56" s="14" t="str"/>
      <x:c r="I56" s="58" t="str"/>
      <x:c r="J56" s="58" t="str"/>
      <x:c r="K56" s="14" t="str"/>
      <x:c r="L56" s="14" t="str">
        <x:v>Chưa có</x:v>
      </x:c>
      <x:c r="M56" s="14" t="str">
        <x:v>Theo dõi và cập nhật link/chỉ dẫn hồ sơ sau khi có bằng chứng.</x:v>
      </x:c>
    </x:row>
    <x:row r="57">
      <x:c r="A57" s="14" t="str">
        <x:v>EVID-0056</x:v>
      </x:c>
      <x:c r="B57" s="14" t="str">
        <x:v>VATM-0056</x:v>
      </x:c>
      <x:c r="C57" s="14" t="str">
        <x:v>ANS - Tìm kiếm cứu nạn &amp; khẩn nguy</x:v>
      </x:c>
      <x:c r="D57" s="14" t="str">
        <x:v>SAR, khẩn nguy và hiệp đồng</x:v>
      </x:c>
      <x:c r="E57" s="14" t="str">
        <x:v>LOA/SOP sửa đổi; log briefing; checklist kiểm tra; báo cáo sau thay đổi</x:v>
      </x:c>
      <x:c r="F57" s="14" t="str">
        <x:v>Quy trình/SOP</x:v>
      </x:c>
      <x:c r="G57" s="14" t="str">
        <x:v>Trung tâm Tìm kiếm cứu nạn hàng không</x:v>
      </x:c>
      <x:c r="H57" s="14" t="str"/>
      <x:c r="I57" s="58" t="str"/>
      <x:c r="J57" s="58" t="str"/>
      <x:c r="K57" s="14" t="str"/>
      <x:c r="L57" s="14" t="str">
        <x:v>Chưa có</x:v>
      </x:c>
      <x:c r="M57" s="14" t="str">
        <x:v>Theo dõi và cập nhật link/chỉ dẫn hồ sơ sau khi có bằng chứng.</x:v>
      </x:c>
    </x:row>
    <x:row r="58">
      <x:c r="A58" s="14" t="str">
        <x:v>EVID-0057</x:v>
      </x:c>
      <x:c r="B58" s="14" t="str">
        <x:v>VATM-0057</x:v>
      </x:c>
      <x:c r="C58" s="14" t="str">
        <x:v>ANS - AIS/AIM/Tin tức HK</x:v>
      </x:c>
      <x:c r="D58" s="14" t="str">
        <x:v>AIP/NOTAM/dữ liệu hàng không</x:v>
      </x:c>
      <x:c r="E58" s="14" t="str">
        <x:v>LOA/SOP sửa đổi; log briefing; checklist kiểm tra; báo cáo sau thay đổi</x:v>
      </x:c>
      <x:c r="F58" s="14" t="str">
        <x:v>Quy trình/SOP</x:v>
      </x:c>
      <x:c r="G58" s="14" t="str">
        <x:v>Trung tâm Thông báo tin tức hàng không; Trung tâm Quản lý luồng không lưu</x:v>
      </x:c>
      <x:c r="H58" s="14" t="str"/>
      <x:c r="I58" s="58" t="str"/>
      <x:c r="J58" s="58" t="str"/>
      <x:c r="K58" s="14" t="str"/>
      <x:c r="L58" s="14" t="str">
        <x:v>Chưa có</x:v>
      </x:c>
      <x:c r="M58" s="14" t="str">
        <x:v>Theo dõi và cập nhật link/chỉ dẫn hồ sơ sau khi có bằng chứng.</x:v>
      </x:c>
    </x:row>
    <x:row r="59">
      <x:c r="A59" s="14" t="str">
        <x:v>EVID-0058</x:v>
      </x:c>
      <x:c r="B59" s="14" t="str">
        <x:v>VATM-0058</x:v>
      </x:c>
      <x:c r="C59" s="14" t="str">
        <x:v>Tuân thủ, pháp chế &amp; quản trị</x:v>
      </x:c>
      <x:c r="D59" s="14" t="str">
        <x:v>Rà soát văn bản, quy trình và GAP</x:v>
      </x:c>
      <x:c r="E59" s="14" t="str">
        <x:v>Quyết định sửa đổi quy trình; tài liệu đào tạo; biên bản nghiệm thu quy trình</x:v>
      </x:c>
      <x:c r="F59" s="14" t="str">
        <x:v>Quy trình/SOP</x:v>
      </x:c>
      <x:c r="G59" s="14" t="str">
        <x:v>Văn phòng - Pháp chế; Ban An toàn - Chất lượng</x:v>
      </x:c>
      <x:c r="H59" s="14" t="str"/>
      <x:c r="I59" s="58" t="str"/>
      <x:c r="J59" s="58" t="str"/>
      <x:c r="K59" s="14" t="str"/>
      <x:c r="L59" s="14" t="str">
        <x:v>Chưa có</x:v>
      </x:c>
      <x:c r="M59" s="14" t="str">
        <x:v>Theo dõi và cập nhật link/chỉ dẫn hồ sơ sau khi có bằng chứng.</x:v>
      </x:c>
    </x:row>
    <x:row r="60">
      <x:c r="A60" s="14" t="str">
        <x:v>EVID-0059</x:v>
      </x:c>
      <x:c r="B60" s="14" t="str">
        <x:v>VATM-0059</x:v>
      </x:c>
      <x:c r="C60" s="14" t="str">
        <x:v>Tuân thủ, pháp chế &amp; quản trị</x:v>
      </x:c>
      <x:c r="D60" s="14" t="str">
        <x:v>Rà soát văn bản, quy trình và GAP</x:v>
      </x:c>
      <x:c r="E60" s="14" t="str">
        <x:v>Quyết định sửa đổi quy trình; tài liệu đào tạo; biên bản nghiệm thu quy trình</x:v>
      </x:c>
      <x:c r="F60" s="14" t="str">
        <x:v>Quy trình/SOP</x:v>
      </x:c>
      <x:c r="G60" s="14" t="str">
        <x:v>Văn phòng - Pháp chế; Ban An toàn - Chất lượng</x:v>
      </x:c>
      <x:c r="H60" s="14" t="str"/>
      <x:c r="I60" s="58" t="str"/>
      <x:c r="J60" s="58" t="str"/>
      <x:c r="K60" s="14" t="str"/>
      <x:c r="L60" s="14" t="str">
        <x:v>Chưa có</x:v>
      </x:c>
      <x:c r="M60" s="14" t="str">
        <x:v>Theo dõi và cập nhật link/chỉ dẫn hồ sơ sau khi có bằng chứng.</x:v>
      </x:c>
    </x:row>
    <x:row r="61">
      <x:c r="A61" s="14" t="str">
        <x:v>EVID-0060</x:v>
      </x:c>
      <x:c r="B61" s="14" t="str">
        <x:v>VATM-0060</x:v>
      </x:c>
      <x:c r="C61" s="14" t="str">
        <x:v>Tuân thủ, pháp chế &amp; quản trị</x:v>
      </x:c>
      <x:c r="D61" s="14" t="str">
        <x:v>Rà soát văn bản, quy trình và GAP</x:v>
      </x:c>
      <x:c r="E61" s="14" t="str">
        <x:v>Quyết định sửa đổi quy trình; tài liệu đào tạo; biên bản nghiệm thu quy trình</x:v>
      </x:c>
      <x:c r="F61" s="14" t="str">
        <x:v>Quy trình/SOP</x:v>
      </x:c>
      <x:c r="G61" s="14" t="str">
        <x:v>Văn phòng - Pháp chế; Ban An toàn - Chất lượng</x:v>
      </x:c>
      <x:c r="H61" s="14" t="str"/>
      <x:c r="I61" s="58" t="str"/>
      <x:c r="J61" s="58" t="str"/>
      <x:c r="K61" s="14" t="str"/>
      <x:c r="L61" s="14" t="str">
        <x:v>Chưa có</x:v>
      </x:c>
      <x:c r="M61" s="14" t="str">
        <x:v>Theo dõi và cập nhật link/chỉ dẫn hồ sơ sau khi có bằng chứng.</x:v>
      </x:c>
    </x:row>
    <x:row r="62">
      <x:c r="A62" s="14" t="str">
        <x:v>EVID-0061</x:v>
      </x:c>
      <x:c r="B62" s="14" t="str">
        <x:v>VATM-0061</x:v>
      </x:c>
      <x:c r="C62" s="14" t="str">
        <x:v>Tuân thủ, pháp chế &amp; quản trị</x:v>
      </x:c>
      <x:c r="D62" s="14" t="str">
        <x:v>Rà soát văn bản, quy trình và GAP</x:v>
      </x:c>
      <x:c r="E62" s="14" t="str">
        <x:v>Quyết định sửa đổi quy trình; tài liệu đào tạo; biên bản nghiệm thu quy trình</x:v>
      </x:c>
      <x:c r="F62" s="14" t="str">
        <x:v>Quy trình/SOP</x:v>
      </x:c>
      <x:c r="G62" s="14" t="str">
        <x:v>Văn phòng - Pháp chế; Ban An toàn - Chất lượng</x:v>
      </x:c>
      <x:c r="H62" s="14" t="str"/>
      <x:c r="I62" s="58" t="str"/>
      <x:c r="J62" s="58" t="str"/>
      <x:c r="K62" s="14" t="str"/>
      <x:c r="L62" s="14" t="str">
        <x:v>Chưa có</x:v>
      </x:c>
      <x:c r="M62" s="14" t="str">
        <x:v>Theo dõi và cập nhật link/chỉ dẫn hồ sơ sau khi có bằng chứng.</x:v>
      </x:c>
    </x:row>
    <x:row r="63">
      <x:c r="A63" s="14" t="str">
        <x:v>EVID-0062</x:v>
      </x:c>
      <x:c r="B63" s="14" t="str">
        <x:v>VATM-0062</x:v>
      </x:c>
      <x:c r="C63" s="14" t="str">
        <x:v>Tuân thủ, pháp chế &amp; quản trị</x:v>
      </x:c>
      <x:c r="D63" s="14" t="str">
        <x:v>Rà soát văn bản, quy trình và GAP</x:v>
      </x:c>
      <x:c r="E63" s="14" t="str">
        <x:v>Quyết định sửa đổi quy trình; tài liệu đào tạo; biên bản nghiệm thu quy trình</x:v>
      </x:c>
      <x:c r="F63" s="14" t="str">
        <x:v>Quy trình/SOP</x:v>
      </x:c>
      <x:c r="G63" s="14" t="str">
        <x:v>Văn phòng - Pháp chế; Ban An toàn - Chất lượng</x:v>
      </x:c>
      <x:c r="H63" s="14" t="str"/>
      <x:c r="I63" s="58" t="str"/>
      <x:c r="J63" s="58" t="str"/>
      <x:c r="K63" s="14" t="str"/>
      <x:c r="L63" s="14" t="str">
        <x:v>Chưa có</x:v>
      </x:c>
      <x:c r="M63" s="14" t="str">
        <x:v>Theo dõi và cập nhật link/chỉ dẫn hồ sơ sau khi có bằng chứng.</x:v>
      </x:c>
    </x:row>
    <x:row r="64">
      <x:c r="A64" s="14" t="str">
        <x:v>EVID-0063</x:v>
      </x:c>
      <x:c r="B64" s="14" t="str">
        <x:v>VATM-0063</x:v>
      </x:c>
      <x:c r="C64" s="14" t="str">
        <x:v>Tuân thủ, pháp chế &amp; quản trị</x:v>
      </x:c>
      <x:c r="D64" s="14" t="str">
        <x:v>Rà soát văn bản, quy trình và GAP</x:v>
      </x:c>
      <x:c r="E64" s="14" t="str">
        <x:v>Quyết định sửa đổi quy trình; tài liệu đào tạo; biên bản nghiệm thu quy trình</x:v>
      </x:c>
      <x:c r="F64" s="14" t="str">
        <x:v>Quy trình/SOP</x:v>
      </x:c>
      <x:c r="G64" s="14" t="str">
        <x:v>Văn phòng - Pháp chế; Ban An toàn - Chất lượng</x:v>
      </x:c>
      <x:c r="H64" s="14" t="str"/>
      <x:c r="I64" s="58" t="str"/>
      <x:c r="J64" s="58" t="str"/>
      <x:c r="K64" s="14" t="str"/>
      <x:c r="L64" s="14" t="str">
        <x:v>Chưa có</x:v>
      </x:c>
      <x:c r="M64" s="14" t="str">
        <x:v>Theo dõi và cập nhật link/chỉ dẫn hồ sơ sau khi có bằng chứng.</x:v>
      </x:c>
    </x:row>
    <x:row r="65">
      <x:c r="A65" s="14" t="str">
        <x:v>EVID-0064</x:v>
      </x:c>
      <x:c r="B65" s="14" t="str">
        <x:v>VATM-0064</x:v>
      </x:c>
      <x:c r="C65" s="14" t="str">
        <x:v>Tuân thủ, pháp chế &amp; quản trị</x:v>
      </x:c>
      <x:c r="D65" s="14" t="str">
        <x:v>Rà soát văn bản, quy trình và GAP</x:v>
      </x:c>
      <x:c r="E65" s="14" t="str">
        <x:v>Quyết định sửa đổi quy trình; tài liệu đào tạo; biên bản nghiệm thu quy trình</x:v>
      </x:c>
      <x:c r="F65" s="14" t="str">
        <x:v>Quy trình/SOP</x:v>
      </x:c>
      <x:c r="G65" s="14" t="str">
        <x:v>Văn phòng - Pháp chế; Ban An toàn - Chất lượng</x:v>
      </x:c>
      <x:c r="H65" s="14" t="str"/>
      <x:c r="I65" s="58" t="str"/>
      <x:c r="J65" s="58" t="str"/>
      <x:c r="K65" s="14" t="str"/>
      <x:c r="L65" s="14" t="str">
        <x:v>Chưa có</x:v>
      </x:c>
      <x:c r="M65" s="14" t="str">
        <x:v>Theo dõi và cập nhật link/chỉ dẫn hồ sơ sau khi có bằng chứng.</x:v>
      </x:c>
    </x:row>
    <x:row r="66">
      <x:c r="A66" s="14" t="str">
        <x:v>EVID-0065</x:v>
      </x:c>
      <x:c r="B66" s="14" t="str">
        <x:v>VATM-0065</x:v>
      </x:c>
      <x:c r="C66" s="14" t="str">
        <x:v>Tuân thủ, pháp chế &amp; quản trị</x:v>
      </x:c>
      <x:c r="D66" s="14" t="str">
        <x:v>Rà soát văn bản, quy trình và GAP</x:v>
      </x:c>
      <x:c r="E66" s="14" t="str">
        <x:v>Quyết định sửa đổi quy trình; tài liệu đào tạo; biên bản nghiệm thu quy trình</x:v>
      </x:c>
      <x:c r="F66" s="14" t="str">
        <x:v>Quy trình/SOP</x:v>
      </x:c>
      <x:c r="G66" s="14" t="str">
        <x:v>Văn phòng - Pháp chế; Ban An toàn - Chất lượng</x:v>
      </x:c>
      <x:c r="H66" s="14" t="str"/>
      <x:c r="I66" s="58" t="str"/>
      <x:c r="J66" s="58" t="str"/>
      <x:c r="K66" s="14" t="str"/>
      <x:c r="L66" s="14" t="str">
        <x:v>Chưa có</x:v>
      </x:c>
      <x:c r="M66" s="14" t="str">
        <x:v>Theo dõi và cập nhật link/chỉ dẫn hồ sơ sau khi có bằng chứng.</x:v>
      </x:c>
    </x:row>
    <x:row r="67">
      <x:c r="A67" s="14" t="str">
        <x:v>EVID-0066</x:v>
      </x:c>
      <x:c r="B67" s="14" t="str">
        <x:v>VATM-0066</x:v>
      </x:c>
      <x:c r="C67" s="14" t="str">
        <x:v>Tuân thủ, pháp chế &amp; quản trị</x:v>
      </x:c>
      <x:c r="D67" s="14" t="str">
        <x:v>Rà soát văn bản, quy trình và GAP</x:v>
      </x:c>
      <x:c r="E67" s="14" t="str">
        <x:v>Quyết định sửa đổi quy trình; tài liệu đào tạo; biên bản nghiệm thu quy trình</x:v>
      </x:c>
      <x:c r="F67" s="14" t="str">
        <x:v>Quy trình/SOP</x:v>
      </x:c>
      <x:c r="G67" s="14" t="str">
        <x:v>Văn phòng - Pháp chế; Ban An toàn - Chất lượng</x:v>
      </x:c>
      <x:c r="H67" s="14" t="str"/>
      <x:c r="I67" s="58" t="str"/>
      <x:c r="J67" s="58" t="str"/>
      <x:c r="K67" s="14" t="str"/>
      <x:c r="L67" s="14" t="str">
        <x:v>Chưa có</x:v>
      </x:c>
      <x:c r="M67" s="14" t="str">
        <x:v>Theo dõi và cập nhật link/chỉ dẫn hồ sơ sau khi có bằng chứng.</x:v>
      </x:c>
    </x:row>
    <x:row r="68">
      <x:c r="A68" s="14" t="str">
        <x:v>EVID-0067</x:v>
      </x:c>
      <x:c r="B68" s="14" t="str">
        <x:v>VATM-0067</x:v>
      </x:c>
      <x:c r="C68" s="14" t="str">
        <x:v>Tuân thủ, pháp chế &amp; quản trị</x:v>
      </x:c>
      <x:c r="D68" s="14" t="str">
        <x:v>Rà soát văn bản, quy trình và GAP</x:v>
      </x:c>
      <x:c r="E68" s="14" t="str">
        <x:v>Quyết định sửa đổi quy trình; tài liệu đào tạo; biên bản nghiệm thu quy trình</x:v>
      </x:c>
      <x:c r="F68" s="14" t="str">
        <x:v>Quy trình/SOP</x:v>
      </x:c>
      <x:c r="G68" s="14" t="str">
        <x:v>Văn phòng - Pháp chế; Ban An toàn - Chất lượng</x:v>
      </x:c>
      <x:c r="H68" s="14" t="str"/>
      <x:c r="I68" s="58" t="str"/>
      <x:c r="J68" s="58" t="str"/>
      <x:c r="K68" s="14" t="str"/>
      <x:c r="L68" s="14" t="str">
        <x:v>Chưa có</x:v>
      </x:c>
      <x:c r="M68" s="14" t="str">
        <x:v>Theo dõi và cập nhật link/chỉ dẫn hồ sơ sau khi có bằng chứng.</x:v>
      </x:c>
    </x:row>
    <x:row r="69">
      <x:c r="A69" s="14" t="str">
        <x:v>EVID-0068</x:v>
      </x:c>
      <x:c r="B69" s="14" t="str">
        <x:v>VATM-0068</x:v>
      </x:c>
      <x:c r="C69" s="14" t="str">
        <x:v>Tài chính - Kế hoạch đầu tư</x:v>
      </x:c>
      <x:c r="D69" s="14" t="str">
        <x:v>Phí, thanh toán, hợp đồng và billing</x:v>
      </x:c>
      <x:c r="E69" s="14" t="str">
        <x:v>Phiếu rà soát điều khoản; văn bản phản hồi; bộ dữ liệu đã cung cấp</x:v>
      </x:c>
      <x:c r="F69" s="14" t="str">
        <x:v>Dữ liệu hệ thống</x:v>
      </x:c>
      <x:c r="G69" s="14" t="str">
        <x:v>Ban Tài chính; Ban Kế hoạch - Đầu tư; Ban Không lưu; Ban Kỹ thuật - CNS/IT/Môi trường; Trung tâm Thông báo tin tức hàng không</x:v>
      </x:c>
      <x:c r="H69" s="14" t="str"/>
      <x:c r="I69" s="58" t="str"/>
      <x:c r="J69" s="58" t="str"/>
      <x:c r="K69" s="14" t="str"/>
      <x:c r="L69" s="14" t="str">
        <x:v>Chưa có</x:v>
      </x:c>
      <x:c r="M69" s="14" t="str">
        <x:v>Theo dõi và cập nhật link/chỉ dẫn hồ sơ sau khi có bằng chứng.</x:v>
      </x:c>
    </x:row>
    <x:row r="70">
      <x:c r="A70" s="14" t="str">
        <x:v>EVID-0069</x:v>
      </x:c>
      <x:c r="B70" s="14" t="str">
        <x:v>VATM-0069</x:v>
      </x:c>
      <x:c r="C70" s="14" t="str">
        <x:v>Tài chính - Kế hoạch đầu tư</x:v>
      </x:c>
      <x:c r="D70" s="14" t="str">
        <x:v>Phí, thanh toán, hợp đồng và billing</x:v>
      </x:c>
      <x:c r="E70" s="14" t="str">
        <x:v>Phiếu rà soát điều khoản; văn bản phản hồi; bộ dữ liệu đã cung cấp</x:v>
      </x:c>
      <x:c r="F70" s="14" t="str">
        <x:v>Dữ liệu hệ thống</x:v>
      </x:c>
      <x:c r="G70" s="14" t="str">
        <x:v>Ban Tài chính; Ban Kế hoạch - Đầu tư; Ban Không lưu; Ban Kỹ thuật - CNS/IT/Môi trường; Trung tâm Thông báo tin tức hàng không</x:v>
      </x:c>
      <x:c r="H70" s="14" t="str"/>
      <x:c r="I70" s="58" t="str"/>
      <x:c r="J70" s="58" t="str"/>
      <x:c r="K70" s="14" t="str"/>
      <x:c r="L70" s="14" t="str">
        <x:v>Chưa có</x:v>
      </x:c>
      <x:c r="M70" s="14" t="str">
        <x:v>Theo dõi và cập nhật link/chỉ dẫn hồ sơ sau khi có bằng chứng.</x:v>
      </x:c>
    </x:row>
    <x:row r="71">
      <x:c r="A71" s="14" t="str">
        <x:v>EVID-0070</x:v>
      </x:c>
      <x:c r="B71" s="14" t="str">
        <x:v>VATM-0070</x:v>
      </x:c>
      <x:c r="C71" s="14" t="str">
        <x:v>Tài chính - Kế hoạch đầu tư</x:v>
      </x:c>
      <x:c r="D71" s="14" t="str">
        <x:v>Phí, thanh toán, hợp đồng và billing</x:v>
      </x:c>
      <x:c r="E71" s="14" t="str">
        <x:v>Phiếu rà soát điều khoản; văn bản phản hồi; bộ dữ liệu đã cung cấp</x:v>
      </x:c>
      <x:c r="F71" s="14" t="str">
        <x:v>Dữ liệu hệ thống</x:v>
      </x:c>
      <x:c r="G71" s="14" t="str">
        <x:v>Ban Tài chính; Ban Kế hoạch - Đầu tư; Ban Không lưu; Ban Kỹ thuật - CNS/IT/Môi trường; Trung tâm Thông báo tin tức hàng không</x:v>
      </x:c>
      <x:c r="H71" s="14" t="str"/>
      <x:c r="I71" s="58" t="str"/>
      <x:c r="J71" s="58" t="str"/>
      <x:c r="K71" s="14" t="str"/>
      <x:c r="L71" s="14" t="str">
        <x:v>Chưa có</x:v>
      </x:c>
      <x:c r="M71" s="14" t="str">
        <x:v>Theo dõi và cập nhật link/chỉ dẫn hồ sơ sau khi có bằng chứng.</x:v>
      </x:c>
    </x:row>
    <x:row r="72">
      <x:c r="A72" s="14" t="str">
        <x:v>EVID-0071</x:v>
      </x:c>
      <x:c r="B72" s="14" t="str">
        <x:v>VATM-0071</x:v>
      </x:c>
      <x:c r="C72" s="14" t="str">
        <x:v>Tài chính - Kế hoạch đầu tư</x:v>
      </x:c>
      <x:c r="D72" s="14" t="str">
        <x:v>Phí, thanh toán, hợp đồng và billing</x:v>
      </x:c>
      <x:c r="E72" s="14" t="str">
        <x:v>Phiếu rà soát điều khoản; văn bản phản hồi; bộ dữ liệu đã cung cấp</x:v>
      </x:c>
      <x:c r="F72" s="14" t="str">
        <x:v>Dữ liệu hệ thống</x:v>
      </x:c>
      <x:c r="G72" s="14" t="str">
        <x:v>Ban Tài chính; Ban Kế hoạch - Đầu tư; Ban Không lưu; Ban Kỹ thuật - CNS/IT/Môi trường; Trung tâm Thông báo tin tức hàng không</x:v>
      </x:c>
      <x:c r="H72" s="14" t="str"/>
      <x:c r="I72" s="58" t="str"/>
      <x:c r="J72" s="58" t="str"/>
      <x:c r="K72" s="14" t="str"/>
      <x:c r="L72" s="14" t="str">
        <x:v>Chưa có</x:v>
      </x:c>
      <x:c r="M72" s="14" t="str">
        <x:v>Theo dõi và cập nhật link/chỉ dẫn hồ sơ sau khi có bằng chứng.</x:v>
      </x:c>
    </x:row>
    <x:row r="73">
      <x:c r="A73" s="14" t="str">
        <x:v>EVID-0072</x:v>
      </x:c>
      <x:c r="B73" s="14" t="str">
        <x:v>VATM-0072</x:v>
      </x:c>
      <x:c r="C73" s="14" t="str">
        <x:v>Tài chính - Kế hoạch đầu tư</x:v>
      </x:c>
      <x:c r="D73" s="14" t="str">
        <x:v>Phí, thanh toán, hợp đồng và billing</x:v>
      </x:c>
      <x:c r="E73" s="14" t="str">
        <x:v>Phiếu rà soát điều khoản; văn bản phản hồi; bộ dữ liệu đã cung cấp</x:v>
      </x:c>
      <x:c r="F73" s="14" t="str">
        <x:v>Dữ liệu hệ thống</x:v>
      </x:c>
      <x:c r="G73" s="14" t="str">
        <x:v>Ban Tài chính; Ban Kế hoạch - Đầu tư; Ban Không lưu; Ban Kỹ thuật - CNS/IT/Môi trường; Trung tâm Thông báo tin tức hàng không</x:v>
      </x:c>
      <x:c r="H73" s="14" t="str"/>
      <x:c r="I73" s="58" t="str"/>
      <x:c r="J73" s="58" t="str"/>
      <x:c r="K73" s="14" t="str"/>
      <x:c r="L73" s="14" t="str">
        <x:v>Chưa có</x:v>
      </x:c>
      <x:c r="M73" s="14" t="str">
        <x:v>Theo dõi và cập nhật link/chỉ dẫn hồ sơ sau khi có bằng chứng.</x:v>
      </x:c>
    </x:row>
    <x:row r="74">
      <x:c r="A74" s="14" t="str">
        <x:v>EVID-0073</x:v>
      </x:c>
      <x:c r="B74" s="14" t="str">
        <x:v>VATM-0073</x:v>
      </x:c>
      <x:c r="C74" s="14" t="str">
        <x:v>Tài chính - Kế hoạch đầu tư</x:v>
      </x:c>
      <x:c r="D74" s="14" t="str">
        <x:v>Phí, thanh toán, hợp đồng và billing</x:v>
      </x:c>
      <x:c r="E74" s="14" t="str">
        <x:v>Phiếu rà soát điều khoản; văn bản phản hồi; bộ dữ liệu đã cung cấp</x:v>
      </x:c>
      <x:c r="F74" s="14" t="str">
        <x:v>Dữ liệu hệ thống</x:v>
      </x:c>
      <x:c r="G74" s="14" t="str">
        <x:v>Ban Tài chính; Ban Kế hoạch - Đầu tư; Ban Không lưu; Ban Kỹ thuật - CNS/IT/Môi trường; Trung tâm Thông báo tin tức hàng không</x:v>
      </x:c>
      <x:c r="H74" s="14" t="str"/>
      <x:c r="I74" s="58" t="str"/>
      <x:c r="J74" s="58" t="str"/>
      <x:c r="K74" s="14" t="str"/>
      <x:c r="L74" s="14" t="str">
        <x:v>Chưa có</x:v>
      </x:c>
      <x:c r="M74" s="14" t="str">
        <x:v>Theo dõi và cập nhật link/chỉ dẫn hồ sơ sau khi có bằng chứng.</x:v>
      </x:c>
    </x:row>
    <x:row r="75">
      <x:c r="A75" s="14" t="str">
        <x:v>EVID-0074</x:v>
      </x:c>
      <x:c r="B75" s="14" t="str">
        <x:v>VATM-0074</x:v>
      </x:c>
      <x:c r="C75" s="14" t="str">
        <x:v>Tài chính - Kế hoạch đầu tư</x:v>
      </x:c>
      <x:c r="D75" s="14" t="str">
        <x:v>Phí, thanh toán, hợp đồng và billing</x:v>
      </x:c>
      <x:c r="E75" s="14" t="str">
        <x:v>Phiếu rà soát điều khoản; văn bản phản hồi; bộ dữ liệu đã cung cấp</x:v>
      </x:c>
      <x:c r="F75" s="14" t="str">
        <x:v>Dữ liệu hệ thống</x:v>
      </x:c>
      <x:c r="G75" s="14" t="str">
        <x:v>Ban Tài chính; Ban Kế hoạch - Đầu tư; Ban Không lưu; Ban Kỹ thuật - CNS/IT/Môi trường; Trung tâm Thông báo tin tức hàng không</x:v>
      </x:c>
      <x:c r="H75" s="14" t="str"/>
      <x:c r="I75" s="58" t="str"/>
      <x:c r="J75" s="58" t="str"/>
      <x:c r="K75" s="14" t="str"/>
      <x:c r="L75" s="14" t="str">
        <x:v>Chưa có</x:v>
      </x:c>
      <x:c r="M75" s="14" t="str">
        <x:v>Theo dõi và cập nhật link/chỉ dẫn hồ sơ sau khi có bằng chứng.</x:v>
      </x:c>
    </x:row>
    <x:row r="76">
      <x:c r="A76" s="14" t="str">
        <x:v>EVID-0075</x:v>
      </x:c>
      <x:c r="B76" s="14" t="str">
        <x:v>VATM-0075</x:v>
      </x:c>
      <x:c r="C76" s="14" t="str">
        <x:v>Tài chính - Kế hoạch đầu tư</x:v>
      </x:c>
      <x:c r="D76" s="14" t="str">
        <x:v>Phí, thanh toán, hợp đồng và billing</x:v>
      </x:c>
      <x:c r="E76" s="14" t="str">
        <x:v>Phiếu rà soát điều khoản; văn bản phản hồi; bộ dữ liệu đã cung cấp</x:v>
      </x:c>
      <x:c r="F76" s="14" t="str">
        <x:v>Dữ liệu hệ thống</x:v>
      </x:c>
      <x:c r="G76" s="14" t="str">
        <x:v>Ban Tài chính; Ban Kế hoạch - Đầu tư; Ban Không lưu; Ban Kỹ thuật - CNS/IT/Môi trường; Trung tâm Thông báo tin tức hàng không</x:v>
      </x:c>
      <x:c r="H76" s="14" t="str"/>
      <x:c r="I76" s="58" t="str"/>
      <x:c r="J76" s="58" t="str"/>
      <x:c r="K76" s="14" t="str"/>
      <x:c r="L76" s="14" t="str">
        <x:v>Chưa có</x:v>
      </x:c>
      <x:c r="M76" s="14" t="str">
        <x:v>Theo dõi và cập nhật link/chỉ dẫn hồ sơ sau khi có bằng chứng.</x:v>
      </x:c>
    </x:row>
    <x:row r="77">
      <x:c r="A77" s="14" t="str">
        <x:v>EVID-0076</x:v>
      </x:c>
      <x:c r="B77" s="14" t="str">
        <x:v>VATM-0076</x:v>
      </x:c>
      <x:c r="C77" s="14" t="str">
        <x:v>Tài chính - Kế hoạch đầu tư</x:v>
      </x:c>
      <x:c r="D77" s="14" t="str">
        <x:v>Phí, thanh toán, hợp đồng và billing</x:v>
      </x:c>
      <x:c r="E77" s="14" t="str">
        <x:v>Phiếu rà soát điều khoản; văn bản phản hồi; bộ dữ liệu đã cung cấp</x:v>
      </x:c>
      <x:c r="F77" s="14" t="str">
        <x:v>Dữ liệu hệ thống</x:v>
      </x:c>
      <x:c r="G77" s="14" t="str">
        <x:v>Ban Tài chính; Ban Kế hoạch - Đầu tư; Ban Không lưu; Ban Kỹ thuật - CNS/IT/Môi trường; Trung tâm Thông báo tin tức hàng không</x:v>
      </x:c>
      <x:c r="H77" s="14" t="str"/>
      <x:c r="I77" s="58" t="str"/>
      <x:c r="J77" s="58" t="str"/>
      <x:c r="K77" s="14" t="str"/>
      <x:c r="L77" s="14" t="str">
        <x:v>Chưa có</x:v>
      </x:c>
      <x:c r="M77" s="14" t="str">
        <x:v>Theo dõi và cập nhật link/chỉ dẫn hồ sơ sau khi có bằng chứng.</x:v>
      </x:c>
    </x:row>
    <x:row r="78">
      <x:c r="A78" s="14" t="str">
        <x:v>EVID-0077</x:v>
      </x:c>
      <x:c r="B78" s="14" t="str">
        <x:v>VATM-0077</x:v>
      </x:c>
      <x:c r="C78" s="14" t="str">
        <x:v>Tài chính - Kế hoạch đầu tư</x:v>
      </x:c>
      <x:c r="D78" s="14" t="str">
        <x:v>Phí, thanh toán, hợp đồng và billing</x:v>
      </x:c>
      <x:c r="E78" s="14" t="str">
        <x:v>Phiếu rà soát điều khoản; văn bản phản hồi; bộ dữ liệu đã cung cấp</x:v>
      </x:c>
      <x:c r="F78" s="14" t="str">
        <x:v>Dữ liệu hệ thống</x:v>
      </x:c>
      <x:c r="G78" s="14" t="str">
        <x:v>Ban Tài chính; Ban Kế hoạch - Đầu tư; Ban Không lưu; Ban Kỹ thuật - CNS/IT/Môi trường; Trung tâm Thông báo tin tức hàng không</x:v>
      </x:c>
      <x:c r="H78" s="14" t="str"/>
      <x:c r="I78" s="58" t="str"/>
      <x:c r="J78" s="58" t="str"/>
      <x:c r="K78" s="14" t="str"/>
      <x:c r="L78" s="14" t="str">
        <x:v>Chưa có</x:v>
      </x:c>
      <x:c r="M78" s="14" t="str">
        <x:v>Theo dõi và cập nhật link/chỉ dẫn hồ sơ sau khi có bằng chứng.</x:v>
      </x:c>
    </x:row>
    <x:row r="79">
      <x:c r="A79" s="14" t="str">
        <x:v>EVID-0078</x:v>
      </x:c>
      <x:c r="B79" s="14" t="str">
        <x:v>VATM-0078</x:v>
      </x:c>
      <x:c r="C79" s="14" t="str">
        <x:v>Tài chính - Kế hoạch đầu tư</x:v>
      </x:c>
      <x:c r="D79" s="14" t="str">
        <x:v>Phí, thanh toán, hợp đồng và billing</x:v>
      </x:c>
      <x:c r="E79" s="14" t="str">
        <x:v>Phiếu rà soát điều khoản; văn bản phản hồi; bộ dữ liệu đã cung cấp</x:v>
      </x:c>
      <x:c r="F79" s="14" t="str">
        <x:v>Dữ liệu hệ thống</x:v>
      </x:c>
      <x:c r="G79" s="14" t="str">
        <x:v>Ban Tài chính; Ban Kế hoạch - Đầu tư; Ban Không lưu; Ban Kỹ thuật - CNS/IT/Môi trường; Trung tâm Thông báo tin tức hàng không</x:v>
      </x:c>
      <x:c r="H79" s="14" t="str"/>
      <x:c r="I79" s="58" t="str"/>
      <x:c r="J79" s="58" t="str"/>
      <x:c r="K79" s="14" t="str"/>
      <x:c r="L79" s="14" t="str">
        <x:v>Chưa có</x:v>
      </x:c>
      <x:c r="M79" s="14" t="str">
        <x:v>Theo dõi và cập nhật link/chỉ dẫn hồ sơ sau khi có bằng chứng.</x:v>
      </x:c>
    </x:row>
    <x:row r="80">
      <x:c r="A80" s="14" t="str">
        <x:v>EVID-0079</x:v>
      </x:c>
      <x:c r="B80" s="14" t="str">
        <x:v>VATM-0079</x:v>
      </x:c>
      <x:c r="C80" s="14" t="str">
        <x:v>Tài chính - Kế hoạch đầu tư</x:v>
      </x:c>
      <x:c r="D80" s="14" t="str">
        <x:v>Phí, thanh toán, hợp đồng và billing</x:v>
      </x:c>
      <x:c r="E80" s="14" t="str">
        <x:v>Phiếu rà soát điều khoản; văn bản phản hồi; bộ dữ liệu đã cung cấp</x:v>
      </x:c>
      <x:c r="F80" s="14" t="str">
        <x:v>Dữ liệu hệ thống</x:v>
      </x:c>
      <x:c r="G80" s="14" t="str">
        <x:v>Ban Tài chính; Ban Kế hoạch - Đầu tư; Ban Không lưu; Ban Kỹ thuật - CNS/IT/Môi trường; Trung tâm Thông báo tin tức hàng không</x:v>
      </x:c>
      <x:c r="H80" s="14" t="str"/>
      <x:c r="I80" s="58" t="str"/>
      <x:c r="J80" s="58" t="str"/>
      <x:c r="K80" s="14" t="str"/>
      <x:c r="L80" s="14" t="str">
        <x:v>Chưa có</x:v>
      </x:c>
      <x:c r="M80" s="14" t="str">
        <x:v>Theo dõi và cập nhật link/chỉ dẫn hồ sơ sau khi có bằng chứng.</x:v>
      </x:c>
    </x:row>
    <x:row r="81">
      <x:c r="A81" s="14" t="str">
        <x:v>EVID-0080</x:v>
      </x:c>
      <x:c r="B81" s="14" t="str">
        <x:v>VATM-0080</x:v>
      </x:c>
      <x:c r="C81" s="14" t="str">
        <x:v>Tài chính - Kế hoạch đầu tư</x:v>
      </x:c>
      <x:c r="D81" s="14" t="str">
        <x:v>Phí, thanh toán, hợp đồng và billing</x:v>
      </x:c>
      <x:c r="E81" s="14" t="str">
        <x:v>Phiếu rà soát điều khoản; văn bản phản hồi; bộ dữ liệu đã cung cấp</x:v>
      </x:c>
      <x:c r="F81" s="14" t="str">
        <x:v>Dữ liệu hệ thống</x:v>
      </x:c>
      <x:c r="G81" s="14" t="str">
        <x:v>Ban Tài chính; Ban Kế hoạch - Đầu tư; Ban Không lưu; Ban Kỹ thuật - CNS/IT/Môi trường; Trung tâm Thông báo tin tức hàng không</x:v>
      </x:c>
      <x:c r="H81" s="14" t="str"/>
      <x:c r="I81" s="58" t="str"/>
      <x:c r="J81" s="58" t="str"/>
      <x:c r="K81" s="14" t="str"/>
      <x:c r="L81" s="14" t="str">
        <x:v>Chưa có</x:v>
      </x:c>
      <x:c r="M81" s="14" t="str">
        <x:v>Theo dõi và cập nhật link/chỉ dẫn hồ sơ sau khi có bằng chứng.</x:v>
      </x:c>
    </x:row>
    <x:row r="82">
      <x:c r="A82" s="14" t="str">
        <x:v>EVID-0081</x:v>
      </x:c>
      <x:c r="B82" s="14" t="str">
        <x:v>VATM-0081</x:v>
      </x:c>
      <x:c r="C82" s="14" t="str">
        <x:v>Tài chính - Kế hoạch đầu tư</x:v>
      </x:c>
      <x:c r="D82" s="14" t="str">
        <x:v>Phí, thanh toán, hợp đồng và billing</x:v>
      </x:c>
      <x:c r="E82" s="14" t="str">
        <x:v>Phiếu rà soát điều khoản; văn bản phản hồi; bộ dữ liệu đã cung cấp</x:v>
      </x:c>
      <x:c r="F82" s="14" t="str">
        <x:v>Dữ liệu hệ thống</x:v>
      </x:c>
      <x:c r="G82" s="14" t="str">
        <x:v>Ban Tài chính; Ban Kế hoạch - Đầu tư; Ban Không lưu; Ban Kỹ thuật - CNS/IT/Môi trường; Trung tâm Thông báo tin tức hàng không</x:v>
      </x:c>
      <x:c r="H82" s="14" t="str"/>
      <x:c r="I82" s="58" t="str"/>
      <x:c r="J82" s="58" t="str"/>
      <x:c r="K82" s="14" t="str"/>
      <x:c r="L82" s="14" t="str">
        <x:v>Chưa có</x:v>
      </x:c>
      <x:c r="M82" s="14" t="str">
        <x:v>Theo dõi và cập nhật link/chỉ dẫn hồ sơ sau khi có bằng chứng.</x:v>
      </x:c>
    </x:row>
    <x:row r="83">
      <x:c r="A83" s="14" t="str">
        <x:v>EVID-0082</x:v>
      </x:c>
      <x:c r="B83" s="14" t="str">
        <x:v>VATM-0082</x:v>
      </x:c>
      <x:c r="C83" s="14" t="str">
        <x:v>Tài chính - Kế hoạch đầu tư</x:v>
      </x:c>
      <x:c r="D83" s="14" t="str">
        <x:v>Phí, thanh toán, hợp đồng và billing</x:v>
      </x:c>
      <x:c r="E83" s="14" t="str">
        <x:v>Phiếu rà soát điều khoản; văn bản phản hồi; bộ dữ liệu đã cung cấp</x:v>
      </x:c>
      <x:c r="F83" s="14" t="str">
        <x:v>Dữ liệu hệ thống</x:v>
      </x:c>
      <x:c r="G83" s="14" t="str">
        <x:v>Ban Tài chính; Ban Kế hoạch - Đầu tư; Ban Không lưu; Ban Kỹ thuật - CNS/IT/Môi trường; Trung tâm Thông báo tin tức hàng không</x:v>
      </x:c>
      <x:c r="H83" s="14" t="str"/>
      <x:c r="I83" s="58" t="str"/>
      <x:c r="J83" s="58" t="str"/>
      <x:c r="K83" s="14" t="str"/>
      <x:c r="L83" s="14" t="str">
        <x:v>Chưa có</x:v>
      </x:c>
      <x:c r="M83" s="14" t="str">
        <x:v>Theo dõi và cập nhật link/chỉ dẫn hồ sơ sau khi có bằng chứng.</x:v>
      </x:c>
    </x:row>
    <x:row r="84">
      <x:c r="A84" s="14" t="str">
        <x:v>EVID-0083</x:v>
      </x:c>
      <x:c r="B84" s="14" t="str">
        <x:v>VATM-0083</x:v>
      </x:c>
      <x:c r="C84" s="14" t="str">
        <x:v>Tài chính - Kế hoạch đầu tư</x:v>
      </x:c>
      <x:c r="D84" s="14" t="str">
        <x:v>Phí, thanh toán, hợp đồng và billing</x:v>
      </x:c>
      <x:c r="E84" s="14" t="str">
        <x:v>Phiếu rà soát điều khoản; văn bản phản hồi; bộ dữ liệu đã cung cấp</x:v>
      </x:c>
      <x:c r="F84" s="14" t="str">
        <x:v>Dữ liệu hệ thống</x:v>
      </x:c>
      <x:c r="G84" s="14" t="str">
        <x:v>Ban Tài chính; Ban Kế hoạch - Đầu tư; Ban Không lưu; Ban Kỹ thuật - CNS/IT/Môi trường; Trung tâm Thông báo tin tức hàng không</x:v>
      </x:c>
      <x:c r="H84" s="14" t="str"/>
      <x:c r="I84" s="58" t="str"/>
      <x:c r="J84" s="58" t="str"/>
      <x:c r="K84" s="14" t="str"/>
      <x:c r="L84" s="14" t="str">
        <x:v>Chưa có</x:v>
      </x:c>
      <x:c r="M84" s="14" t="str">
        <x:v>Theo dõi và cập nhật link/chỉ dẫn hồ sơ sau khi có bằng chứng.</x:v>
      </x:c>
    </x:row>
    <x:row r="85">
      <x:c r="A85" s="14" t="str">
        <x:v>EVID-0084</x:v>
      </x:c>
      <x:c r="B85" s="14" t="str">
        <x:v>VATM-0084</x:v>
      </x:c>
      <x:c r="C85" s="14" t="str">
        <x:v>Tài chính - Kế hoạch đầu tư</x:v>
      </x:c>
      <x:c r="D85" s="14" t="str">
        <x:v>Phí, thanh toán, hợp đồng và billing</x:v>
      </x:c>
      <x:c r="E85" s="14" t="str">
        <x:v>Phiếu rà soát điều khoản; văn bản phản hồi; bộ dữ liệu đã cung cấp</x:v>
      </x:c>
      <x:c r="F85" s="14" t="str">
        <x:v>Dữ liệu hệ thống</x:v>
      </x:c>
      <x:c r="G85" s="14" t="str">
        <x:v>Ban Tài chính; Ban Kế hoạch - Đầu tư; Ban Không lưu; Ban Kỹ thuật - CNS/IT/Môi trường; Trung tâm Thông báo tin tức hàng không</x:v>
      </x:c>
      <x:c r="H85" s="14" t="str"/>
      <x:c r="I85" s="58" t="str"/>
      <x:c r="J85" s="58" t="str"/>
      <x:c r="K85" s="14" t="str"/>
      <x:c r="L85" s="14" t="str">
        <x:v>Chưa có</x:v>
      </x:c>
      <x:c r="M85" s="14" t="str">
        <x:v>Theo dõi và cập nhật link/chỉ dẫn hồ sơ sau khi có bằng chứng.</x:v>
      </x:c>
    </x:row>
    <x:row r="86">
      <x:c r="A86" s="14" t="str">
        <x:v>EVID-0085</x:v>
      </x:c>
      <x:c r="B86" s="14" t="str">
        <x:v>VATM-0085</x:v>
      </x:c>
      <x:c r="C86" s="14" t="str">
        <x:v>Tài chính - Kế hoạch đầu tư</x:v>
      </x:c>
      <x:c r="D86" s="14" t="str">
        <x:v>Phí, thanh toán, hợp đồng và billing</x:v>
      </x:c>
      <x:c r="E86" s="14" t="str">
        <x:v>Phiếu rà soát điều khoản; văn bản phản hồi; bộ dữ liệu đã cung cấp</x:v>
      </x:c>
      <x:c r="F86" s="14" t="str">
        <x:v>Dữ liệu hệ thống</x:v>
      </x:c>
      <x:c r="G86" s="14" t="str">
        <x:v>Ban Tài chính; Ban Kế hoạch - Đầu tư; Ban Không lưu; Ban Kỹ thuật - CNS/IT/Môi trường; Trung tâm Thông báo tin tức hàng không</x:v>
      </x:c>
      <x:c r="H86" s="14" t="str"/>
      <x:c r="I86" s="58" t="str"/>
      <x:c r="J86" s="58" t="str"/>
      <x:c r="K86" s="14" t="str"/>
      <x:c r="L86" s="14" t="str">
        <x:v>Chưa có</x:v>
      </x:c>
      <x:c r="M86" s="14" t="str">
        <x:v>Theo dõi và cập nhật link/chỉ dẫn hồ sơ sau khi có bằng chứng.</x:v>
      </x:c>
    </x:row>
    <x:row r="87">
      <x:c r="A87" s="14" t="str">
        <x:v>EVID-0086</x:v>
      </x:c>
      <x:c r="B87" s="14" t="str">
        <x:v>VATM-0086</x:v>
      </x:c>
      <x:c r="C87" s="14" t="str">
        <x:v>Quản lý khai thác cảng/sân bay</x:v>
      </x:c>
      <x:c r="D87" s="14" t="str">
        <x:v>Công trình, chướng ngại và thi công</x:v>
      </x:c>
      <x:c r="E87" s="14" t="str">
        <x:v>Báo cáo đánh giá tác động; văn bản ý kiến; biên bản họp kỹ thuật</x:v>
      </x:c>
      <x:c r="F87" s="14" t="str">
        <x:v>Báo cáo</x:v>
      </x:c>
      <x:c r="G87" s="14" t="str">
        <x:v>Ban Kế hoạch - Đầu tư; Ban Không lưu; Ban Kỹ thuật - CNS/IT/Môi trường</x:v>
      </x:c>
      <x:c r="H87" s="14" t="str"/>
      <x:c r="I87" s="58" t="str"/>
      <x:c r="J87" s="58" t="str"/>
      <x:c r="K87" s="14" t="str"/>
      <x:c r="L87" s="14" t="str">
        <x:v>Chưa có</x:v>
      </x:c>
      <x:c r="M87" s="14" t="str">
        <x:v>Theo dõi và cập nhật link/chỉ dẫn hồ sơ sau khi có bằng chứng.</x:v>
      </x:c>
    </x:row>
    <x:row r="88">
      <x:c r="A88" s="14" t="str">
        <x:v>EVID-0087</x:v>
      </x:c>
      <x:c r="B88" s="14" t="str">
        <x:v>VATM-0087</x:v>
      </x:c>
      <x:c r="C88" s="14" t="str">
        <x:v>Quản lý khai thác cảng/sân bay</x:v>
      </x:c>
      <x:c r="D88" s="14" t="str">
        <x:v>Công trình, chướng ngại và thi công</x:v>
      </x:c>
      <x:c r="E88" s="14" t="str">
        <x:v>Báo cáo đánh giá tác động; văn bản ý kiến; biên bản họp kỹ thuật</x:v>
      </x:c>
      <x:c r="F88" s="14" t="str">
        <x:v>Báo cáo</x:v>
      </x:c>
      <x:c r="G88" s="14" t="str">
        <x:v>Ban Kế hoạch - Đầu tư; Ban Không lưu; Ban Kỹ thuật - CNS/IT/Môi trường</x:v>
      </x:c>
      <x:c r="H88" s="14" t="str"/>
      <x:c r="I88" s="58" t="str"/>
      <x:c r="J88" s="58" t="str"/>
      <x:c r="K88" s="14" t="str"/>
      <x:c r="L88" s="14" t="str">
        <x:v>Chưa có</x:v>
      </x:c>
      <x:c r="M88" s="14" t="str">
        <x:v>Theo dõi và cập nhật link/chỉ dẫn hồ sơ sau khi có bằng chứng.</x:v>
      </x:c>
    </x:row>
    <x:row r="89">
      <x:c r="A89" s="14" t="str">
        <x:v>EVID-0088</x:v>
      </x:c>
      <x:c r="B89" s="14" t="str">
        <x:v>VATM-0088</x:v>
      </x:c>
      <x:c r="C89" s="14" t="str">
        <x:v>Quản lý khai thác cảng/sân bay</x:v>
      </x:c>
      <x:c r="D89" s="14" t="str">
        <x:v>Công trình, chướng ngại và thi công</x:v>
      </x:c>
      <x:c r="E89" s="14" t="str">
        <x:v>Báo cáo đánh giá tác động; văn bản ý kiến; biên bản họp kỹ thuật</x:v>
      </x:c>
      <x:c r="F89" s="14" t="str">
        <x:v>Báo cáo</x:v>
      </x:c>
      <x:c r="G89" s="14" t="str">
        <x:v>Ban Kế hoạch - Đầu tư; Ban Không lưu; Ban Kỹ thuật - CNS/IT/Môi trường</x:v>
      </x:c>
      <x:c r="H89" s="14" t="str"/>
      <x:c r="I89" s="58" t="str"/>
      <x:c r="J89" s="58" t="str"/>
      <x:c r="K89" s="14" t="str"/>
      <x:c r="L89" s="14" t="str">
        <x:v>Chưa có</x:v>
      </x:c>
      <x:c r="M89" s="14" t="str">
        <x:v>Theo dõi và cập nhật link/chỉ dẫn hồ sơ sau khi có bằng chứng.</x:v>
      </x:c>
    </x:row>
    <x:row r="90">
      <x:c r="A90" s="14" t="str">
        <x:v>EVID-0089</x:v>
      </x:c>
      <x:c r="B90" s="14" t="str">
        <x:v>VATM-0089</x:v>
      </x:c>
      <x:c r="C90" s="14" t="str">
        <x:v>Quản lý khai thác cảng/sân bay</x:v>
      </x:c>
      <x:c r="D90" s="14" t="str">
        <x:v>Công trình, chướng ngại và thi công</x:v>
      </x:c>
      <x:c r="E90" s="14" t="str">
        <x:v>Báo cáo đánh giá tác động; văn bản ý kiến; biên bản họp kỹ thuật</x:v>
      </x:c>
      <x:c r="F90" s="14" t="str">
        <x:v>Báo cáo</x:v>
      </x:c>
      <x:c r="G90" s="14" t="str">
        <x:v>Ban Kế hoạch - Đầu tư; Ban Không lưu; Ban Kỹ thuật - CNS/IT/Môi trường</x:v>
      </x:c>
      <x:c r="H90" s="14" t="str"/>
      <x:c r="I90" s="58" t="str"/>
      <x:c r="J90" s="58" t="str"/>
      <x:c r="K90" s="14" t="str"/>
      <x:c r="L90" s="14" t="str">
        <x:v>Chưa có</x:v>
      </x:c>
      <x:c r="M90" s="14" t="str">
        <x:v>Theo dõi và cập nhật link/chỉ dẫn hồ sơ sau khi có bằng chứng.</x:v>
      </x:c>
    </x:row>
    <x:row r="91">
      <x:c r="A91" s="14" t="str">
        <x:v>EVID-0090</x:v>
      </x:c>
      <x:c r="B91" s="14" t="str">
        <x:v>VATM-0090</x:v>
      </x:c>
      <x:c r="C91" s="14" t="str">
        <x:v>Quản lý khai thác cảng/sân bay</x:v>
      </x:c>
      <x:c r="D91" s="14" t="str">
        <x:v>Công trình, chướng ngại và thi công</x:v>
      </x:c>
      <x:c r="E91" s="14" t="str">
        <x:v>Báo cáo đánh giá tác động; văn bản ý kiến; biên bản họp kỹ thuật</x:v>
      </x:c>
      <x:c r="F91" s="14" t="str">
        <x:v>Báo cáo</x:v>
      </x:c>
      <x:c r="G91" s="14" t="str">
        <x:v>Ban Kế hoạch - Đầu tư; Ban Không lưu; Ban Kỹ thuật - CNS/IT/Môi trường</x:v>
      </x:c>
      <x:c r="H91" s="14" t="str"/>
      <x:c r="I91" s="58" t="str"/>
      <x:c r="J91" s="58" t="str"/>
      <x:c r="K91" s="14" t="str"/>
      <x:c r="L91" s="14" t="str">
        <x:v>Chưa có</x:v>
      </x:c>
      <x:c r="M91" s="14" t="str">
        <x:v>Theo dõi và cập nhật link/chỉ dẫn hồ sơ sau khi có bằng chứng.</x:v>
      </x:c>
    </x:row>
    <x:row r="92">
      <x:c r="A92" s="14" t="str">
        <x:v>EVID-0091</x:v>
      </x:c>
      <x:c r="B92" s="14" t="str">
        <x:v>VATM-0091</x:v>
      </x:c>
      <x:c r="C92" s="14" t="str">
        <x:v>Quản lý khai thác cảng/sân bay</x:v>
      </x:c>
      <x:c r="D92" s="14" t="str">
        <x:v>Công trình, chướng ngại và thi công</x:v>
      </x:c>
      <x:c r="E92" s="14" t="str">
        <x:v>Báo cáo đánh giá tác động; văn bản ý kiến; biên bản họp kỹ thuật</x:v>
      </x:c>
      <x:c r="F92" s="14" t="str">
        <x:v>Báo cáo</x:v>
      </x:c>
      <x:c r="G92" s="14" t="str">
        <x:v>Ban Kế hoạch - Đầu tư; Ban Không lưu; Ban Kỹ thuật - CNS/IT/Môi trường</x:v>
      </x:c>
      <x:c r="H92" s="14" t="str"/>
      <x:c r="I92" s="58" t="str"/>
      <x:c r="J92" s="58" t="str"/>
      <x:c r="K92" s="14" t="str"/>
      <x:c r="L92" s="14" t="str">
        <x:v>Chưa có</x:v>
      </x:c>
      <x:c r="M92" s="14" t="str">
        <x:v>Theo dõi và cập nhật link/chỉ dẫn hồ sơ sau khi có bằng chứng.</x:v>
      </x:c>
    </x:row>
    <x:row r="93">
      <x:c r="A93" s="14" t="str">
        <x:v>EVID-0092</x:v>
      </x:c>
      <x:c r="B93" s="14" t="str">
        <x:v>VATM-0092</x:v>
      </x:c>
      <x:c r="C93" s="14" t="str">
        <x:v>Quản lý khai thác cảng/sân bay</x:v>
      </x:c>
      <x:c r="D93" s="14" t="str">
        <x:v>Công trình, chướng ngại và thi công</x:v>
      </x:c>
      <x:c r="E93" s="14" t="str">
        <x:v>Báo cáo đánh giá tác động; văn bản ý kiến; biên bản họp kỹ thuật</x:v>
      </x:c>
      <x:c r="F93" s="14" t="str">
        <x:v>Báo cáo</x:v>
      </x:c>
      <x:c r="G93" s="14" t="str">
        <x:v>Ban Kế hoạch - Đầu tư; Ban Không lưu; Ban Kỹ thuật - CNS/IT/Môi trường</x:v>
      </x:c>
      <x:c r="H93" s="14" t="str"/>
      <x:c r="I93" s="58" t="str"/>
      <x:c r="J93" s="58" t="str"/>
      <x:c r="K93" s="14" t="str"/>
      <x:c r="L93" s="14" t="str">
        <x:v>Chưa có</x:v>
      </x:c>
      <x:c r="M93" s="14" t="str">
        <x:v>Theo dõi và cập nhật link/chỉ dẫn hồ sơ sau khi có bằng chứng.</x:v>
      </x:c>
    </x:row>
    <x:row r="94">
      <x:c r="A94" s="14" t="str">
        <x:v>EVID-0093</x:v>
      </x:c>
      <x:c r="B94" s="14" t="str">
        <x:v>VATM-0093</x:v>
      </x:c>
      <x:c r="C94" s="14" t="str">
        <x:v>Quản lý khai thác cảng/sân bay</x:v>
      </x:c>
      <x:c r="D94" s="14" t="str">
        <x:v>Công trình, chướng ngại và thi công</x:v>
      </x:c>
      <x:c r="E94" s="14" t="str">
        <x:v>Báo cáo đánh giá tác động; văn bản ý kiến; biên bản họp kỹ thuật</x:v>
      </x:c>
      <x:c r="F94" s="14" t="str">
        <x:v>Báo cáo</x:v>
      </x:c>
      <x:c r="G94" s="14" t="str">
        <x:v>Ban Kế hoạch - Đầu tư; Ban Không lưu; Ban Kỹ thuật - CNS/IT/Môi trường</x:v>
      </x:c>
      <x:c r="H94" s="14" t="str"/>
      <x:c r="I94" s="58" t="str"/>
      <x:c r="J94" s="58" t="str"/>
      <x:c r="K94" s="14" t="str"/>
      <x:c r="L94" s="14" t="str">
        <x:v>Chưa có</x:v>
      </x:c>
      <x:c r="M94" s="14" t="str">
        <x:v>Theo dõi và cập nhật link/chỉ dẫn hồ sơ sau khi có bằng chứng.</x:v>
      </x:c>
    </x:row>
    <x:row r="95">
      <x:c r="A95" s="14" t="str">
        <x:v>EVID-0094</x:v>
      </x:c>
      <x:c r="B95" s="14" t="str">
        <x:v>VATM-0094</x:v>
      </x:c>
      <x:c r="C95" s="14" t="str">
        <x:v>Quản lý khai thác cảng/sân bay</x:v>
      </x:c>
      <x:c r="D95" s="14" t="str">
        <x:v>Công trình, chướng ngại và thi công</x:v>
      </x:c>
      <x:c r="E95" s="14" t="str">
        <x:v>Báo cáo đánh giá tác động; văn bản ý kiến; biên bản họp kỹ thuật</x:v>
      </x:c>
      <x:c r="F95" s="14" t="str">
        <x:v>Báo cáo</x:v>
      </x:c>
      <x:c r="G95" s="14" t="str">
        <x:v>Ban Kế hoạch - Đầu tư; Ban Không lưu; Ban Kỹ thuật - CNS/IT/Môi trường</x:v>
      </x:c>
      <x:c r="H95" s="14" t="str"/>
      <x:c r="I95" s="58" t="str"/>
      <x:c r="J95" s="58" t="str"/>
      <x:c r="K95" s="14" t="str"/>
      <x:c r="L95" s="14" t="str">
        <x:v>Chưa có</x:v>
      </x:c>
      <x:c r="M95" s="14" t="str">
        <x:v>Theo dõi và cập nhật link/chỉ dẫn hồ sơ sau khi có bằng chứng.</x:v>
      </x:c>
    </x:row>
    <x:row r="96">
      <x:c r="A96" s="14" t="str">
        <x:v>EVID-0095</x:v>
      </x:c>
      <x:c r="B96" s="14" t="str">
        <x:v>VATM-0095</x:v>
      </x:c>
      <x:c r="C96" s="14" t="str">
        <x:v>Quản lý khai thác cảng/sân bay</x:v>
      </x:c>
      <x:c r="D96" s="14" t="str">
        <x:v>Công trình, chướng ngại và thi công</x:v>
      </x:c>
      <x:c r="E96" s="14" t="str">
        <x:v>Báo cáo đánh giá tác động; văn bản ý kiến; biên bản họp kỹ thuật</x:v>
      </x:c>
      <x:c r="F96" s="14" t="str">
        <x:v>Báo cáo</x:v>
      </x:c>
      <x:c r="G96" s="14" t="str">
        <x:v>Ban Kế hoạch - Đầu tư; Ban Không lưu; Ban Kỹ thuật - CNS/IT/Môi trường</x:v>
      </x:c>
      <x:c r="H96" s="14" t="str"/>
      <x:c r="I96" s="58" t="str"/>
      <x:c r="J96" s="58" t="str"/>
      <x:c r="K96" s="14" t="str"/>
      <x:c r="L96" s="14" t="str">
        <x:v>Chưa có</x:v>
      </x:c>
      <x:c r="M96" s="14" t="str">
        <x:v>Theo dõi và cập nhật link/chỉ dẫn hồ sơ sau khi có bằng chứng.</x:v>
      </x:c>
    </x:row>
    <x:row r="97">
      <x:c r="A97" s="14" t="str">
        <x:v>EVID-0096</x:v>
      </x:c>
      <x:c r="B97" s="14" t="str">
        <x:v>VATM-0096</x:v>
      </x:c>
      <x:c r="C97" s="14" t="str">
        <x:v>Quản lý khai thác cảng/sân bay</x:v>
      </x:c>
      <x:c r="D97" s="14" t="str">
        <x:v>Công trình, chướng ngại và thi công</x:v>
      </x:c>
      <x:c r="E97" s="14" t="str">
        <x:v>Báo cáo đánh giá tác động; văn bản ý kiến; biên bản họp kỹ thuật</x:v>
      </x:c>
      <x:c r="F97" s="14" t="str">
        <x:v>Báo cáo</x:v>
      </x:c>
      <x:c r="G97" s="14" t="str">
        <x:v>Ban Kế hoạch - Đầu tư; Ban Không lưu; Ban Kỹ thuật - CNS/IT/Môi trường</x:v>
      </x:c>
      <x:c r="H97" s="14" t="str"/>
      <x:c r="I97" s="58" t="str"/>
      <x:c r="J97" s="58" t="str"/>
      <x:c r="K97" s="14" t="str"/>
      <x:c r="L97" s="14" t="str">
        <x:v>Chưa có</x:v>
      </x:c>
      <x:c r="M97" s="14" t="str">
        <x:v>Theo dõi và cập nhật link/chỉ dẫn hồ sơ sau khi có bằng chứng.</x:v>
      </x:c>
    </x:row>
    <x:row r="98">
      <x:c r="A98" s="14" t="str">
        <x:v>EVID-0097</x:v>
      </x:c>
      <x:c r="B98" s="14" t="str">
        <x:v>VATM-0097</x:v>
      </x:c>
      <x:c r="C98" s="14" t="str">
        <x:v>Quản lý khai thác cảng/sân bay</x:v>
      </x:c>
      <x:c r="D98" s="14" t="str">
        <x:v>Công trình, chướng ngại và thi công</x:v>
      </x:c>
      <x:c r="E98" s="14" t="str">
        <x:v>Báo cáo đánh giá tác động; văn bản ý kiến; biên bản họp kỹ thuật</x:v>
      </x:c>
      <x:c r="F98" s="14" t="str">
        <x:v>Báo cáo</x:v>
      </x:c>
      <x:c r="G98" s="14" t="str">
        <x:v>Ban Kế hoạch - Đầu tư; Ban Không lưu; Ban Kỹ thuật - CNS/IT/Môi trường</x:v>
      </x:c>
      <x:c r="H98" s="14" t="str"/>
      <x:c r="I98" s="58" t="str"/>
      <x:c r="J98" s="58" t="str"/>
      <x:c r="K98" s="14" t="str"/>
      <x:c r="L98" s="14" t="str">
        <x:v>Chưa có</x:v>
      </x:c>
      <x:c r="M98" s="14" t="str">
        <x:v>Theo dõi và cập nhật link/chỉ dẫn hồ sơ sau khi có bằng chứng.</x:v>
      </x:c>
    </x:row>
    <x:row r="99">
      <x:c r="A99" s="14" t="str">
        <x:v>EVID-0098</x:v>
      </x:c>
      <x:c r="B99" s="14" t="str">
        <x:v>VATM-0098</x:v>
      </x:c>
      <x:c r="C99" s="14" t="str">
        <x:v>Quản lý khai thác cảng/sân bay</x:v>
      </x:c>
      <x:c r="D99" s="14" t="str">
        <x:v>Công trình, chướng ngại và thi công</x:v>
      </x:c>
      <x:c r="E99" s="14" t="str">
        <x:v>Báo cáo đánh giá tác động; văn bản ý kiến; biên bản họp kỹ thuật</x:v>
      </x:c>
      <x:c r="F99" s="14" t="str">
        <x:v>Báo cáo</x:v>
      </x:c>
      <x:c r="G99" s="14" t="str">
        <x:v>Ban Kế hoạch - Đầu tư; Ban Không lưu; Ban Kỹ thuật - CNS/IT/Môi trường</x:v>
      </x:c>
      <x:c r="H99" s="14" t="str"/>
      <x:c r="I99" s="58" t="str"/>
      <x:c r="J99" s="58" t="str"/>
      <x:c r="K99" s="14" t="str"/>
      <x:c r="L99" s="14" t="str">
        <x:v>Chưa có</x:v>
      </x:c>
      <x:c r="M99" s="14" t="str">
        <x:v>Theo dõi và cập nhật link/chỉ dẫn hồ sơ sau khi có bằng chứng.</x:v>
      </x:c>
    </x:row>
    <x:row r="100">
      <x:c r="A100" s="14" t="str">
        <x:v>EVID-0099</x:v>
      </x:c>
      <x:c r="B100" s="14" t="str">
        <x:v>VATM-0099</x:v>
      </x:c>
      <x:c r="C100" s="14" t="str">
        <x:v>Quản lý khai thác cảng/sân bay</x:v>
      </x:c>
      <x:c r="D100" s="14" t="str">
        <x:v>Công trình, chướng ngại và thi công</x:v>
      </x:c>
      <x:c r="E100" s="14" t="str">
        <x:v>Báo cáo đánh giá tác động; văn bản ý kiến; biên bản họp kỹ thuật</x:v>
      </x:c>
      <x:c r="F100" s="14" t="str">
        <x:v>Báo cáo</x:v>
      </x:c>
      <x:c r="G100" s="14" t="str">
        <x:v>Ban Kế hoạch - Đầu tư; Ban Không lưu; Ban Kỹ thuật - CNS/IT/Môi trường</x:v>
      </x:c>
      <x:c r="H100" s="14" t="str"/>
      <x:c r="I100" s="58" t="str"/>
      <x:c r="J100" s="58" t="str"/>
      <x:c r="K100" s="14" t="str"/>
      <x:c r="L100" s="14" t="str">
        <x:v>Chưa có</x:v>
      </x:c>
      <x:c r="M100" s="14" t="str">
        <x:v>Theo dõi và cập nhật link/chỉ dẫn hồ sơ sau khi có bằng chứng.</x:v>
      </x:c>
    </x:row>
    <x:row r="101">
      <x:c r="A101" s="14" t="str">
        <x:v>EVID-0100</x:v>
      </x:c>
      <x:c r="B101" s="14" t="str">
        <x:v>VATM-0100</x:v>
      </x:c>
      <x:c r="C101" s="14" t="str">
        <x:v>Quản lý khai thác cảng/sân bay</x:v>
      </x:c>
      <x:c r="D101" s="14" t="str">
        <x:v>Công trình, chướng ngại và thi công</x:v>
      </x:c>
      <x:c r="E101" s="14" t="str">
        <x:v>Báo cáo đánh giá tác động; văn bản ý kiến; biên bản họp kỹ thuật</x:v>
      </x:c>
      <x:c r="F101" s="14" t="str">
        <x:v>Báo cáo</x:v>
      </x:c>
      <x:c r="G101" s="14" t="str">
        <x:v>Ban Kế hoạch - Đầu tư; Ban Không lưu; Ban Kỹ thuật - CNS/IT/Môi trường</x:v>
      </x:c>
      <x:c r="H101" s="14" t="str"/>
      <x:c r="I101" s="58" t="str"/>
      <x:c r="J101" s="58" t="str"/>
      <x:c r="K101" s="14" t="str"/>
      <x:c r="L101" s="14" t="str">
        <x:v>Chưa có</x:v>
      </x:c>
      <x:c r="M101" s="14" t="str">
        <x:v>Theo dõi và cập nhật link/chỉ dẫn hồ sơ sau khi có bằng chứng.</x:v>
      </x:c>
    </x:row>
    <x:row r="102">
      <x:c r="A102" s="14" t="str">
        <x:v>EVID-0101</x:v>
      </x:c>
      <x:c r="B102" s="14" t="str">
        <x:v>VATM-0101</x:v>
      </x:c>
      <x:c r="C102" s="14" t="str">
        <x:v>Tài chính - Kế hoạch đầu tư</x:v>
      </x:c>
      <x:c r="D102" s="14" t="str">
        <x:v>Phí, thanh toán, hợp đồng và billing</x:v>
      </x:c>
      <x:c r="E102" s="14" t="str">
        <x:v>Văn bản phối hợp; biên bản họp; báo cáo ảnh hưởng khai thác; NOTAM nếu có</x:v>
      </x:c>
      <x:c r="F102" s="14" t="str">
        <x:v>Báo cáo</x:v>
      </x:c>
      <x:c r="G102" s="14" t="str">
        <x:v>Ban Tài chính; Văn phòng - Pháp chế; Ban Không lưu; Các Công ty Quản lý bay khu vực Bắc/Trung/Nam</x:v>
      </x:c>
      <x:c r="H102" s="14" t="str"/>
      <x:c r="I102" s="58" t="str"/>
      <x:c r="J102" s="58" t="str"/>
      <x:c r="K102" s="14" t="str"/>
      <x:c r="L102" s="14" t="str">
        <x:v>Chưa có</x:v>
      </x:c>
      <x:c r="M102" s="14" t="str">
        <x:v>Theo dõi và cập nhật link/chỉ dẫn hồ sơ sau khi có bằng chứng.</x:v>
      </x:c>
    </x:row>
    <x:row r="103">
      <x:c r="A103" s="14" t="str">
        <x:v>EVID-0102</x:v>
      </x:c>
      <x:c r="B103" s="14" t="str">
        <x:v>VATM-0102</x:v>
      </x:c>
      <x:c r="C103" s="14" t="str">
        <x:v>Tài chính - Kế hoạch đầu tư</x:v>
      </x:c>
      <x:c r="D103" s="14" t="str">
        <x:v>Phí, thanh toán, hợp đồng và billing</x:v>
      </x:c>
      <x:c r="E103" s="14" t="str">
        <x:v>Văn bản phối hợp; biên bản họp; báo cáo ảnh hưởng khai thác; NOTAM nếu có</x:v>
      </x:c>
      <x:c r="F103" s="14" t="str">
        <x:v>Báo cáo</x:v>
      </x:c>
      <x:c r="G103" s="14" t="str">
        <x:v>Ban Tài chính; Văn phòng - Pháp chế; Ban Không lưu; Các Công ty Quản lý bay khu vực Bắc/Trung/Nam</x:v>
      </x:c>
      <x:c r="H103" s="14" t="str"/>
      <x:c r="I103" s="58" t="str"/>
      <x:c r="J103" s="58" t="str"/>
      <x:c r="K103" s="14" t="str"/>
      <x:c r="L103" s="14" t="str">
        <x:v>Chưa có</x:v>
      </x:c>
      <x:c r="M103" s="14" t="str">
        <x:v>Theo dõi và cập nhật link/chỉ dẫn hồ sơ sau khi có bằng chứng.</x:v>
      </x:c>
    </x:row>
    <x:row r="104">
      <x:c r="A104" s="14" t="str">
        <x:v>EVID-0103</x:v>
      </x:c>
      <x:c r="B104" s="14" t="str">
        <x:v>VATM-0103</x:v>
      </x:c>
      <x:c r="C104" s="14" t="str">
        <x:v>Tài chính - Kế hoạch đầu tư</x:v>
      </x:c>
      <x:c r="D104" s="14" t="str">
        <x:v>Phí, thanh toán, hợp đồng và billing</x:v>
      </x:c>
      <x:c r="E104" s="14" t="str">
        <x:v>Văn bản phối hợp; biên bản họp; báo cáo ảnh hưởng khai thác; NOTAM nếu có</x:v>
      </x:c>
      <x:c r="F104" s="14" t="str">
        <x:v>Báo cáo</x:v>
      </x:c>
      <x:c r="G104" s="14" t="str">
        <x:v>Ban Tài chính; Văn phòng - Pháp chế; Ban Không lưu; Các Công ty Quản lý bay khu vực Bắc/Trung/Nam</x:v>
      </x:c>
      <x:c r="H104" s="14" t="str"/>
      <x:c r="I104" s="58" t="str"/>
      <x:c r="J104" s="58" t="str"/>
      <x:c r="K104" s="14" t="str"/>
      <x:c r="L104" s="14" t="str">
        <x:v>Chưa có</x:v>
      </x:c>
      <x:c r="M104" s="14" t="str">
        <x:v>Theo dõi và cập nhật link/chỉ dẫn hồ sơ sau khi có bằng chứng.</x:v>
      </x:c>
    </x:row>
    <x:row r="105">
      <x:c r="A105" s="14" t="str">
        <x:v>EVID-0104</x:v>
      </x:c>
      <x:c r="B105" s="14" t="str">
        <x:v>VATM-0104</x:v>
      </x:c>
      <x:c r="C105" s="14" t="str">
        <x:v>Tài chính - Kế hoạch đầu tư</x:v>
      </x:c>
      <x:c r="D105" s="14" t="str">
        <x:v>Phí, thanh toán, hợp đồng và billing</x:v>
      </x:c>
      <x:c r="E105" s="14" t="str">
        <x:v>Văn bản phối hợp; biên bản họp; báo cáo ảnh hưởng khai thác; NOTAM nếu có</x:v>
      </x:c>
      <x:c r="F105" s="14" t="str">
        <x:v>Báo cáo</x:v>
      </x:c>
      <x:c r="G105" s="14" t="str">
        <x:v>Ban Tài chính; Văn phòng - Pháp chế; Ban Không lưu; Các Công ty Quản lý bay khu vực Bắc/Trung/Nam</x:v>
      </x:c>
      <x:c r="H105" s="14" t="str"/>
      <x:c r="I105" s="58" t="str"/>
      <x:c r="J105" s="58" t="str"/>
      <x:c r="K105" s="14" t="str"/>
      <x:c r="L105" s="14" t="str">
        <x:v>Chưa có</x:v>
      </x:c>
      <x:c r="M105" s="14" t="str">
        <x:v>Theo dõi và cập nhật link/chỉ dẫn hồ sơ sau khi có bằng chứng.</x:v>
      </x:c>
    </x:row>
    <x:row r="106">
      <x:c r="A106" s="14" t="str">
        <x:v>EVID-0105</x:v>
      </x:c>
      <x:c r="B106" s="14" t="str">
        <x:v>VATM-0105</x:v>
      </x:c>
      <x:c r="C106" s="14" t="str">
        <x:v>Tài chính - Kế hoạch đầu tư</x:v>
      </x:c>
      <x:c r="D106" s="14" t="str">
        <x:v>Phí, thanh toán, hợp đồng và billing</x:v>
      </x:c>
      <x:c r="E106" s="14" t="str">
        <x:v>Văn bản phối hợp; biên bản họp; báo cáo ảnh hưởng khai thác; NOTAM nếu có</x:v>
      </x:c>
      <x:c r="F106" s="14" t="str">
        <x:v>Báo cáo</x:v>
      </x:c>
      <x:c r="G106" s="14" t="str">
        <x:v>Ban Tài chính; Văn phòng - Pháp chế; Ban Không lưu; Các Công ty Quản lý bay khu vực Bắc/Trung/Nam</x:v>
      </x:c>
      <x:c r="H106" s="14" t="str"/>
      <x:c r="I106" s="58" t="str"/>
      <x:c r="J106" s="58" t="str"/>
      <x:c r="K106" s="14" t="str"/>
      <x:c r="L106" s="14" t="str">
        <x:v>Chưa có</x:v>
      </x:c>
      <x:c r="M106" s="14" t="str">
        <x:v>Theo dõi và cập nhật link/chỉ dẫn hồ sơ sau khi có bằng chứng.</x:v>
      </x:c>
    </x:row>
    <x:row r="107">
      <x:c r="A107" s="14" t="str">
        <x:v>EVID-0106</x:v>
      </x:c>
      <x:c r="B107" s="14" t="str">
        <x:v>VATM-0106</x:v>
      </x:c>
      <x:c r="C107" s="14" t="str">
        <x:v>Tài chính - Kế hoạch đầu tư</x:v>
      </x:c>
      <x:c r="D107" s="14" t="str">
        <x:v>Phí, thanh toán, hợp đồng và billing</x:v>
      </x:c>
      <x:c r="E107" s="14" t="str">
        <x:v>Văn bản phối hợp; biên bản họp; báo cáo ảnh hưởng khai thác; NOTAM nếu có</x:v>
      </x:c>
      <x:c r="F107" s="14" t="str">
        <x:v>Báo cáo</x:v>
      </x:c>
      <x:c r="G107" s="14" t="str">
        <x:v>Ban Tài chính; Văn phòng - Pháp chế; Ban Không lưu; Các Công ty Quản lý bay khu vực Bắc/Trung/Nam</x:v>
      </x:c>
      <x:c r="H107" s="14" t="str"/>
      <x:c r="I107" s="58" t="str"/>
      <x:c r="J107" s="58" t="str"/>
      <x:c r="K107" s="14" t="str"/>
      <x:c r="L107" s="14" t="str">
        <x:v>Chưa có</x:v>
      </x:c>
      <x:c r="M107" s="14" t="str">
        <x:v>Theo dõi và cập nhật link/chỉ dẫn hồ sơ sau khi có bằng chứng.</x:v>
      </x:c>
    </x:row>
    <x:row r="108">
      <x:c r="A108" s="14" t="str">
        <x:v>EVID-0107</x:v>
      </x:c>
      <x:c r="B108" s="14" t="str">
        <x:v>VATM-0107</x:v>
      </x:c>
      <x:c r="C108" s="14" t="str">
        <x:v>Tài chính - Kế hoạch đầu tư</x:v>
      </x:c>
      <x:c r="D108" s="14" t="str">
        <x:v>Phí, thanh toán, hợp đồng và billing</x:v>
      </x:c>
      <x:c r="E108" s="14" t="str">
        <x:v>Văn bản phối hợp; biên bản họp; báo cáo ảnh hưởng khai thác; NOTAM nếu có</x:v>
      </x:c>
      <x:c r="F108" s="14" t="str">
        <x:v>Báo cáo</x:v>
      </x:c>
      <x:c r="G108" s="14" t="str">
        <x:v>Ban Tài chính; Văn phòng - Pháp chế; Ban Không lưu; Các Công ty Quản lý bay khu vực Bắc/Trung/Nam</x:v>
      </x:c>
      <x:c r="H108" s="14" t="str"/>
      <x:c r="I108" s="58" t="str"/>
      <x:c r="J108" s="58" t="str"/>
      <x:c r="K108" s="14" t="str"/>
      <x:c r="L108" s="14" t="str">
        <x:v>Chưa có</x:v>
      </x:c>
      <x:c r="M108" s="14" t="str">
        <x:v>Theo dõi và cập nhật link/chỉ dẫn hồ sơ sau khi có bằng chứng.</x:v>
      </x:c>
    </x:row>
    <x:row r="109">
      <x:c r="A109" s="14" t="str">
        <x:v>EVID-0108</x:v>
      </x:c>
      <x:c r="B109" s="14" t="str">
        <x:v>VATM-0108</x:v>
      </x:c>
      <x:c r="C109" s="14" t="str">
        <x:v>Tài chính - Kế hoạch đầu tư</x:v>
      </x:c>
      <x:c r="D109" s="14" t="str">
        <x:v>Phí, thanh toán, hợp đồng và billing</x:v>
      </x:c>
      <x:c r="E109" s="14" t="str">
        <x:v>Văn bản phối hợp; biên bản họp; báo cáo ảnh hưởng khai thác; NOTAM nếu có</x:v>
      </x:c>
      <x:c r="F109" s="14" t="str">
        <x:v>Báo cáo</x:v>
      </x:c>
      <x:c r="G109" s="14" t="str">
        <x:v>Ban Tài chính; Văn phòng - Pháp chế; Ban Không lưu; Các Công ty Quản lý bay khu vực Bắc/Trung/Nam</x:v>
      </x:c>
      <x:c r="H109" s="14" t="str"/>
      <x:c r="I109" s="58" t="str"/>
      <x:c r="J109" s="58" t="str"/>
      <x:c r="K109" s="14" t="str"/>
      <x:c r="L109" s="14" t="str">
        <x:v>Chưa có</x:v>
      </x:c>
      <x:c r="M109" s="14" t="str">
        <x:v>Theo dõi và cập nhật link/chỉ dẫn hồ sơ sau khi có bằng chứng.</x:v>
      </x:c>
    </x:row>
    <x:row r="110">
      <x:c r="A110" s="14" t="str">
        <x:v>EVID-0109</x:v>
      </x:c>
      <x:c r="B110" s="14" t="str">
        <x:v>VATM-0109</x:v>
      </x:c>
      <x:c r="C110" s="14" t="str">
        <x:v>Tài chính - Kế hoạch đầu tư</x:v>
      </x:c>
      <x:c r="D110" s="14" t="str">
        <x:v>Phí, thanh toán, hợp đồng và billing</x:v>
      </x:c>
      <x:c r="E110" s="14" t="str">
        <x:v>Văn bản phối hợp; biên bản họp; báo cáo ảnh hưởng khai thác; NOTAM nếu có</x:v>
      </x:c>
      <x:c r="F110" s="14" t="str">
        <x:v>Báo cáo</x:v>
      </x:c>
      <x:c r="G110" s="14" t="str">
        <x:v>Ban Tài chính; Văn phòng - Pháp chế; Ban Không lưu; Các Công ty Quản lý bay khu vực Bắc/Trung/Nam</x:v>
      </x:c>
      <x:c r="H110" s="14" t="str"/>
      <x:c r="I110" s="58" t="str"/>
      <x:c r="J110" s="58" t="str"/>
      <x:c r="K110" s="14" t="str"/>
      <x:c r="L110" s="14" t="str">
        <x:v>Chưa có</x:v>
      </x:c>
      <x:c r="M110" s="14" t="str">
        <x:v>Theo dõi và cập nhật link/chỉ dẫn hồ sơ sau khi có bằng chứng.</x:v>
      </x:c>
    </x:row>
    <x:row r="111">
      <x:c r="A111" s="14" t="str">
        <x:v>EVID-0110</x:v>
      </x:c>
      <x:c r="B111" s="14" t="str">
        <x:v>VATM-0110</x:v>
      </x:c>
      <x:c r="C111" s="14" t="str">
        <x:v>Tài chính - Kế hoạch đầu tư</x:v>
      </x:c>
      <x:c r="D111" s="14" t="str">
        <x:v>Phí, thanh toán, hợp đồng và billing</x:v>
      </x:c>
      <x:c r="E111" s="14" t="str">
        <x:v>Văn bản phối hợp; biên bản họp; báo cáo ảnh hưởng khai thác; NOTAM nếu có</x:v>
      </x:c>
      <x:c r="F111" s="14" t="str">
        <x:v>Báo cáo</x:v>
      </x:c>
      <x:c r="G111" s="14" t="str">
        <x:v>Ban Tài chính; Văn phòng - Pháp chế; Ban Không lưu; Các Công ty Quản lý bay khu vực Bắc/Trung/Nam</x:v>
      </x:c>
      <x:c r="H111" s="14" t="str"/>
      <x:c r="I111" s="58" t="str"/>
      <x:c r="J111" s="58" t="str"/>
      <x:c r="K111" s="14" t="str"/>
      <x:c r="L111" s="14" t="str">
        <x:v>Chưa có</x:v>
      </x:c>
      <x:c r="M111" s="14" t="str">
        <x:v>Theo dõi và cập nhật link/chỉ dẫn hồ sơ sau khi có bằng chứng.</x:v>
      </x:c>
    </x:row>
    <x:row r="112">
      <x:c r="A112" s="14" t="str">
        <x:v>EVID-0111</x:v>
      </x:c>
      <x:c r="B112" s="14" t="str">
        <x:v>VATM-0111</x:v>
      </x:c>
      <x:c r="C112" s="14" t="str">
        <x:v>Tài chính - Kế hoạch đầu tư</x:v>
      </x:c>
      <x:c r="D112" s="14" t="str">
        <x:v>Phí, thanh toán, hợp đồng và billing</x:v>
      </x:c>
      <x:c r="E112" s="14" t="str">
        <x:v>Văn bản phối hợp; biên bản họp; báo cáo ảnh hưởng khai thác; NOTAM nếu có</x:v>
      </x:c>
      <x:c r="F112" s="14" t="str">
        <x:v>Báo cáo</x:v>
      </x:c>
      <x:c r="G112" s="14" t="str">
        <x:v>Ban Tài chính; Văn phòng - Pháp chế; Ban Không lưu; Các Công ty Quản lý bay khu vực Bắc/Trung/Nam</x:v>
      </x:c>
      <x:c r="H112" s="14" t="str"/>
      <x:c r="I112" s="58" t="str"/>
      <x:c r="J112" s="58" t="str"/>
      <x:c r="K112" s="14" t="str"/>
      <x:c r="L112" s="14" t="str">
        <x:v>Chưa có</x:v>
      </x:c>
      <x:c r="M112" s="14" t="str">
        <x:v>Theo dõi và cập nhật link/chỉ dẫn hồ sơ sau khi có bằng chứng.</x:v>
      </x:c>
    </x:row>
    <x:row r="113">
      <x:c r="A113" s="14" t="str">
        <x:v>EVID-0112</x:v>
      </x:c>
      <x:c r="B113" s="14" t="str">
        <x:v>VATM-0112</x:v>
      </x:c>
      <x:c r="C113" s="14" t="str">
        <x:v>Tài chính - Kế hoạch đầu tư</x:v>
      </x:c>
      <x:c r="D113" s="14" t="str">
        <x:v>Phí, thanh toán, hợp đồng và billing</x:v>
      </x:c>
      <x:c r="E113" s="14" t="str">
        <x:v>Văn bản phối hợp; biên bản họp; báo cáo ảnh hưởng khai thác; NOTAM nếu có</x:v>
      </x:c>
      <x:c r="F113" s="14" t="str">
        <x:v>Báo cáo</x:v>
      </x:c>
      <x:c r="G113" s="14" t="str">
        <x:v>Ban Tài chính; Văn phòng - Pháp chế; Ban Không lưu; Các Công ty Quản lý bay khu vực Bắc/Trung/Nam</x:v>
      </x:c>
      <x:c r="H113" s="14" t="str"/>
      <x:c r="I113" s="58" t="str"/>
      <x:c r="J113" s="58" t="str"/>
      <x:c r="K113" s="14" t="str"/>
      <x:c r="L113" s="14" t="str">
        <x:v>Chưa có</x:v>
      </x:c>
      <x:c r="M113" s="14" t="str">
        <x:v>Theo dõi và cập nhật link/chỉ dẫn hồ sơ sau khi có bằng chứng.</x:v>
      </x:c>
    </x:row>
    <x:row r="114">
      <x:c r="A114" s="14" t="str">
        <x:v>EVID-0113</x:v>
      </x:c>
      <x:c r="B114" s="14" t="str">
        <x:v>VATM-0113</x:v>
      </x:c>
      <x:c r="C114" s="14" t="str">
        <x:v>Tài chính - Kế hoạch đầu tư</x:v>
      </x:c>
      <x:c r="D114" s="14" t="str">
        <x:v>Phí, thanh toán, hợp đồng và billing</x:v>
      </x:c>
      <x:c r="E114" s="14" t="str">
        <x:v>Văn bản phối hợp; biên bản họp; báo cáo ảnh hưởng khai thác; NOTAM nếu có</x:v>
      </x:c>
      <x:c r="F114" s="14" t="str">
        <x:v>Báo cáo</x:v>
      </x:c>
      <x:c r="G114" s="14" t="str">
        <x:v>Ban Tài chính; Văn phòng - Pháp chế; Ban Không lưu; Các Công ty Quản lý bay khu vực Bắc/Trung/Nam</x:v>
      </x:c>
      <x:c r="H114" s="14" t="str"/>
      <x:c r="I114" s="58" t="str"/>
      <x:c r="J114" s="58" t="str"/>
      <x:c r="K114" s="14" t="str"/>
      <x:c r="L114" s="14" t="str">
        <x:v>Chưa có</x:v>
      </x:c>
      <x:c r="M114" s="14" t="str">
        <x:v>Theo dõi và cập nhật link/chỉ dẫn hồ sơ sau khi có bằng chứng.</x:v>
      </x:c>
    </x:row>
    <x:row r="115">
      <x:c r="A115" s="14" t="str">
        <x:v>EVID-0114</x:v>
      </x:c>
      <x:c r="B115" s="14" t="str">
        <x:v>VATM-0114</x:v>
      </x:c>
      <x:c r="C115" s="14" t="str">
        <x:v>Tài chính - Kế hoạch đầu tư</x:v>
      </x:c>
      <x:c r="D115" s="14" t="str">
        <x:v>Phí, thanh toán, hợp đồng và billing</x:v>
      </x:c>
      <x:c r="E115" s="14" t="str">
        <x:v>Văn bản phối hợp; biên bản họp; báo cáo ảnh hưởng khai thác; NOTAM nếu có</x:v>
      </x:c>
      <x:c r="F115" s="14" t="str">
        <x:v>Báo cáo</x:v>
      </x:c>
      <x:c r="G115" s="14" t="str">
        <x:v>Ban Tài chính; Văn phòng - Pháp chế; Ban Không lưu; Các Công ty Quản lý bay khu vực Bắc/Trung/Nam</x:v>
      </x:c>
      <x:c r="H115" s="14" t="str"/>
      <x:c r="I115" s="58" t="str"/>
      <x:c r="J115" s="58" t="str"/>
      <x:c r="K115" s="14" t="str"/>
      <x:c r="L115" s="14" t="str">
        <x:v>Chưa có</x:v>
      </x:c>
      <x:c r="M115" s="14" t="str">
        <x:v>Theo dõi và cập nhật link/chỉ dẫn hồ sơ sau khi có bằng chứng.</x:v>
      </x:c>
    </x:row>
    <x:row r="116">
      <x:c r="A116" s="14" t="str">
        <x:v>EVID-0115</x:v>
      </x:c>
      <x:c r="B116" s="14" t="str">
        <x:v>VATM-0115</x:v>
      </x:c>
      <x:c r="C116" s="14" t="str">
        <x:v>Quản lý khai thác cảng/sân bay</x:v>
      </x:c>
      <x:c r="D116" s="14" t="str">
        <x:v>Công trình, chướng ngại và thi công</x:v>
      </x:c>
      <x:c r="E116" s="14" t="str">
        <x:v>Safety assessment; biên bản hiệp đồng; checklist; NOTAM/AIP; tài liệu khai thác cập nhật</x:v>
      </x:c>
      <x:c r="F116" s="14" t="str">
        <x:v>Biểu mẫu/Checklist</x:v>
      </x:c>
      <x:c r="G116" s="14" t="str">
        <x:v>Ban Kế hoạch - Đầu tư; Ban Không lưu; Ban Kỹ thuật - CNS/IT/Môi trường; Ban An toàn - Chất lượng; Trung tâm Thông báo tin tức hàng không; Các Công ty Quản lý bay khu vực Bắc/Trung/Nam</x:v>
      </x:c>
      <x:c r="H116" s="14" t="str"/>
      <x:c r="I116" s="58" t="str"/>
      <x:c r="J116" s="58" t="str"/>
      <x:c r="K116" s="14" t="str"/>
      <x:c r="L116" s="14" t="str">
        <x:v>Chưa có</x:v>
      </x:c>
      <x:c r="M116" s="14" t="str">
        <x:v>Theo dõi và cập nhật link/chỉ dẫn hồ sơ sau khi có bằng chứng.</x:v>
      </x:c>
    </x:row>
    <x:row r="117">
      <x:c r="A117" s="14" t="str">
        <x:v>EVID-0116</x:v>
      </x:c>
      <x:c r="B117" s="14" t="str">
        <x:v>VATM-0116</x:v>
      </x:c>
      <x:c r="C117" s="14" t="str">
        <x:v>Quản lý khai thác cảng/sân bay</x:v>
      </x:c>
      <x:c r="D117" s="14" t="str">
        <x:v>Công trình, chướng ngại và thi công</x:v>
      </x:c>
      <x:c r="E117" s="14" t="str">
        <x:v>Safety assessment; biên bản hiệp đồng; checklist; NOTAM/AIP; tài liệu khai thác cập nhật</x:v>
      </x:c>
      <x:c r="F117" s="14" t="str">
        <x:v>Biểu mẫu/Checklist</x:v>
      </x:c>
      <x:c r="G117" s="14" t="str">
        <x:v>Ban Kế hoạch - Đầu tư; Ban Không lưu; Ban Kỹ thuật - CNS/IT/Môi trường; Ban An toàn - Chất lượng; Trung tâm Thông báo tin tức hàng không; Các Công ty Quản lý bay khu vực Bắc/Trung/Nam</x:v>
      </x:c>
      <x:c r="H117" s="14" t="str"/>
      <x:c r="I117" s="58" t="str"/>
      <x:c r="J117" s="58" t="str"/>
      <x:c r="K117" s="14" t="str"/>
      <x:c r="L117" s="14" t="str">
        <x:v>Chưa có</x:v>
      </x:c>
      <x:c r="M117" s="14" t="str">
        <x:v>Theo dõi và cập nhật link/chỉ dẫn hồ sơ sau khi có bằng chứng.</x:v>
      </x:c>
    </x:row>
    <x:row r="118">
      <x:c r="A118" s="14" t="str">
        <x:v>EVID-0117</x:v>
      </x:c>
      <x:c r="B118" s="14" t="str">
        <x:v>VATM-0117</x:v>
      </x:c>
      <x:c r="C118" s="14" t="str">
        <x:v>Quản lý khai thác cảng/sân bay</x:v>
      </x:c>
      <x:c r="D118" s="14" t="str">
        <x:v>Công trình, chướng ngại và thi công</x:v>
      </x:c>
      <x:c r="E118" s="14" t="str">
        <x:v>Safety assessment; biên bản hiệp đồng; checklist; NOTAM/AIP; tài liệu khai thác cập nhật</x:v>
      </x:c>
      <x:c r="F118" s="14" t="str">
        <x:v>Biểu mẫu/Checklist</x:v>
      </x:c>
      <x:c r="G118" s="14" t="str">
        <x:v>Ban Kế hoạch - Đầu tư; Ban Không lưu; Ban Kỹ thuật - CNS/IT/Môi trường; Ban An toàn - Chất lượng; Trung tâm Thông báo tin tức hàng không; Các Công ty Quản lý bay khu vực Bắc/Trung/Nam</x:v>
      </x:c>
      <x:c r="H118" s="14" t="str"/>
      <x:c r="I118" s="58" t="str"/>
      <x:c r="J118" s="58" t="str"/>
      <x:c r="K118" s="14" t="str"/>
      <x:c r="L118" s="14" t="str">
        <x:v>Chưa có</x:v>
      </x:c>
      <x:c r="M118" s="14" t="str">
        <x:v>Theo dõi và cập nhật link/chỉ dẫn hồ sơ sau khi có bằng chứng.</x:v>
      </x:c>
    </x:row>
    <x:row r="119">
      <x:c r="A119" s="14" t="str">
        <x:v>EVID-0118</x:v>
      </x:c>
      <x:c r="B119" s="14" t="str">
        <x:v>VATM-0118</x:v>
      </x:c>
      <x:c r="C119" s="14" t="str">
        <x:v>Quản lý khai thác cảng/sân bay</x:v>
      </x:c>
      <x:c r="D119" s="14" t="str">
        <x:v>Công trình, chướng ngại và thi công</x:v>
      </x:c>
      <x:c r="E119" s="14" t="str">
        <x:v>Safety assessment; biên bản hiệp đồng; checklist; NOTAM/AIP; tài liệu khai thác cập nhật</x:v>
      </x:c>
      <x:c r="F119" s="14" t="str">
        <x:v>Biểu mẫu/Checklist</x:v>
      </x:c>
      <x:c r="G119" s="14" t="str">
        <x:v>Ban Kế hoạch - Đầu tư; Ban Không lưu; Ban Kỹ thuật - CNS/IT/Môi trường; Ban An toàn - Chất lượng; Trung tâm Thông báo tin tức hàng không; Các Công ty Quản lý bay khu vực Bắc/Trung/Nam</x:v>
      </x:c>
      <x:c r="H119" s="14" t="str"/>
      <x:c r="I119" s="58" t="str"/>
      <x:c r="J119" s="58" t="str"/>
      <x:c r="K119" s="14" t="str"/>
      <x:c r="L119" s="14" t="str">
        <x:v>Chưa có</x:v>
      </x:c>
      <x:c r="M119" s="14" t="str">
        <x:v>Theo dõi và cập nhật link/chỉ dẫn hồ sơ sau khi có bằng chứng.</x:v>
      </x:c>
    </x:row>
    <x:row r="120">
      <x:c r="A120" s="14" t="str">
        <x:v>EVID-0119</x:v>
      </x:c>
      <x:c r="B120" s="14" t="str">
        <x:v>VATM-0119</x:v>
      </x:c>
      <x:c r="C120" s="14" t="str">
        <x:v>Quản lý khai thác cảng/sân bay</x:v>
      </x:c>
      <x:c r="D120" s="14" t="str">
        <x:v>Công trình, chướng ngại và thi công</x:v>
      </x:c>
      <x:c r="E120" s="14" t="str">
        <x:v>Safety assessment; biên bản hiệp đồng; checklist; NOTAM/AIP; tài liệu khai thác cập nhật</x:v>
      </x:c>
      <x:c r="F120" s="14" t="str">
        <x:v>Biểu mẫu/Checklist</x:v>
      </x:c>
      <x:c r="G120" s="14" t="str">
        <x:v>Ban Kế hoạch - Đầu tư; Ban Không lưu; Ban Kỹ thuật - CNS/IT/Môi trường; Ban An toàn - Chất lượng; Trung tâm Thông báo tin tức hàng không; Các Công ty Quản lý bay khu vực Bắc/Trung/Nam</x:v>
      </x:c>
      <x:c r="H120" s="14" t="str"/>
      <x:c r="I120" s="58" t="str"/>
      <x:c r="J120" s="58" t="str"/>
      <x:c r="K120" s="14" t="str"/>
      <x:c r="L120" s="14" t="str">
        <x:v>Chưa có</x:v>
      </x:c>
      <x:c r="M120" s="14" t="str">
        <x:v>Theo dõi và cập nhật link/chỉ dẫn hồ sơ sau khi có bằng chứng.</x:v>
      </x:c>
    </x:row>
    <x:row r="121">
      <x:c r="A121" s="14" t="str">
        <x:v>EVID-0120</x:v>
      </x:c>
      <x:c r="B121" s="14" t="str">
        <x:v>VATM-0120</x:v>
      </x:c>
      <x:c r="C121" s="14" t="str">
        <x:v>Quản lý khai thác cảng/sân bay</x:v>
      </x:c>
      <x:c r="D121" s="14" t="str">
        <x:v>Công trình, chướng ngại và thi công</x:v>
      </x:c>
      <x:c r="E121" s="14" t="str">
        <x:v>Safety assessment; biên bản hiệp đồng; checklist; NOTAM/AIP; tài liệu khai thác cập nhật</x:v>
      </x:c>
      <x:c r="F121" s="14" t="str">
        <x:v>Biểu mẫu/Checklist</x:v>
      </x:c>
      <x:c r="G121" s="14" t="str">
        <x:v>Ban Kế hoạch - Đầu tư; Ban Không lưu; Ban Kỹ thuật - CNS/IT/Môi trường; Ban An toàn - Chất lượng; Trung tâm Thông báo tin tức hàng không; Các Công ty Quản lý bay khu vực Bắc/Trung/Nam</x:v>
      </x:c>
      <x:c r="H121" s="14" t="str"/>
      <x:c r="I121" s="58" t="str"/>
      <x:c r="J121" s="58" t="str"/>
      <x:c r="K121" s="14" t="str"/>
      <x:c r="L121" s="14" t="str">
        <x:v>Chưa có</x:v>
      </x:c>
      <x:c r="M121" s="14" t="str">
        <x:v>Theo dõi và cập nhật link/chỉ dẫn hồ sơ sau khi có bằng chứng.</x:v>
      </x:c>
    </x:row>
    <x:row r="122">
      <x:c r="A122" s="14" t="str">
        <x:v>EVID-0121</x:v>
      </x:c>
      <x:c r="B122" s="14" t="str">
        <x:v>VATM-0121</x:v>
      </x:c>
      <x:c r="C122" s="14" t="str">
        <x:v>Quản lý khai thác cảng/sân bay</x:v>
      </x:c>
      <x:c r="D122" s="14" t="str">
        <x:v>Công trình, chướng ngại và thi công</x:v>
      </x:c>
      <x:c r="E122" s="14" t="str">
        <x:v>Safety assessment; biên bản hiệp đồng; checklist; NOTAM/AIP; tài liệu khai thác cập nhật</x:v>
      </x:c>
      <x:c r="F122" s="14" t="str">
        <x:v>Biểu mẫu/Checklist</x:v>
      </x:c>
      <x:c r="G122" s="14" t="str">
        <x:v>Ban Kế hoạch - Đầu tư; Ban Không lưu; Ban Kỹ thuật - CNS/IT/Môi trường; Ban An toàn - Chất lượng; Trung tâm Thông báo tin tức hàng không; Các Công ty Quản lý bay khu vực Bắc/Trung/Nam</x:v>
      </x:c>
      <x:c r="H122" s="14" t="str"/>
      <x:c r="I122" s="58" t="str"/>
      <x:c r="J122" s="58" t="str"/>
      <x:c r="K122" s="14" t="str"/>
      <x:c r="L122" s="14" t="str">
        <x:v>Chưa có</x:v>
      </x:c>
      <x:c r="M122" s="14" t="str">
        <x:v>Theo dõi và cập nhật link/chỉ dẫn hồ sơ sau khi có bằng chứng.</x:v>
      </x:c>
    </x:row>
    <x:row r="123">
      <x:c r="A123" s="14" t="str">
        <x:v>EVID-0122</x:v>
      </x:c>
      <x:c r="B123" s="14" t="str">
        <x:v>VATM-0122</x:v>
      </x:c>
      <x:c r="C123" s="14" t="str">
        <x:v>Quản lý khai thác cảng/sân bay</x:v>
      </x:c>
      <x:c r="D123" s="14" t="str">
        <x:v>Công trình, chướng ngại và thi công</x:v>
      </x:c>
      <x:c r="E123" s="14" t="str">
        <x:v>Safety assessment; biên bản hiệp đồng; checklist; NOTAM/AIP; tài liệu khai thác cập nhật</x:v>
      </x:c>
      <x:c r="F123" s="14" t="str">
        <x:v>Biểu mẫu/Checklist</x:v>
      </x:c>
      <x:c r="G123" s="14" t="str">
        <x:v>Ban Kế hoạch - Đầu tư; Ban Không lưu; Ban Kỹ thuật - CNS/IT/Môi trường; Ban An toàn - Chất lượng; Trung tâm Thông báo tin tức hàng không; Các Công ty Quản lý bay khu vực Bắc/Trung/Nam</x:v>
      </x:c>
      <x:c r="H123" s="14" t="str"/>
      <x:c r="I123" s="58" t="str"/>
      <x:c r="J123" s="58" t="str"/>
      <x:c r="K123" s="14" t="str"/>
      <x:c r="L123" s="14" t="str">
        <x:v>Chưa có</x:v>
      </x:c>
      <x:c r="M123" s="14" t="str">
        <x:v>Theo dõi và cập nhật link/chỉ dẫn hồ sơ sau khi có bằng chứng.</x:v>
      </x:c>
    </x:row>
    <x:row r="124">
      <x:c r="A124" s="14" t="str">
        <x:v>EVID-0123</x:v>
      </x:c>
      <x:c r="B124" s="14" t="str">
        <x:v>VATM-0123</x:v>
      </x:c>
      <x:c r="C124" s="14" t="str">
        <x:v>Quản lý khai thác cảng/sân bay</x:v>
      </x:c>
      <x:c r="D124" s="14" t="str">
        <x:v>Công trình, chướng ngại và thi công</x:v>
      </x:c>
      <x:c r="E124" s="14" t="str">
        <x:v>Safety assessment; biên bản hiệp đồng; checklist; NOTAM/AIP; tài liệu khai thác cập nhật</x:v>
      </x:c>
      <x:c r="F124" s="14" t="str">
        <x:v>Biểu mẫu/Checklist</x:v>
      </x:c>
      <x:c r="G124" s="14" t="str">
        <x:v>Ban Kế hoạch - Đầu tư; Ban Không lưu; Ban Kỹ thuật - CNS/IT/Môi trường; Ban An toàn - Chất lượng; Trung tâm Thông báo tin tức hàng không; Các Công ty Quản lý bay khu vực Bắc/Trung/Nam</x:v>
      </x:c>
      <x:c r="H124" s="14" t="str"/>
      <x:c r="I124" s="58" t="str"/>
      <x:c r="J124" s="58" t="str"/>
      <x:c r="K124" s="14" t="str"/>
      <x:c r="L124" s="14" t="str">
        <x:v>Chưa có</x:v>
      </x:c>
      <x:c r="M124" s="14" t="str">
        <x:v>Theo dõi và cập nhật link/chỉ dẫn hồ sơ sau khi có bằng chứng.</x:v>
      </x:c>
    </x:row>
    <x:row r="125">
      <x:c r="A125" s="14" t="str">
        <x:v>EVID-0124</x:v>
      </x:c>
      <x:c r="B125" s="14" t="str">
        <x:v>VATM-0124</x:v>
      </x:c>
      <x:c r="C125" s="14" t="str">
        <x:v>Quản lý khai thác cảng/sân bay</x:v>
      </x:c>
      <x:c r="D125" s="14" t="str">
        <x:v>Công trình, chướng ngại và thi công</x:v>
      </x:c>
      <x:c r="E125" s="14" t="str">
        <x:v>Safety assessment; biên bản hiệp đồng; checklist; NOTAM/AIP; tài liệu khai thác cập nhật</x:v>
      </x:c>
      <x:c r="F125" s="14" t="str">
        <x:v>Biểu mẫu/Checklist</x:v>
      </x:c>
      <x:c r="G125" s="14" t="str">
        <x:v>Ban Kế hoạch - Đầu tư; Ban Không lưu; Ban Kỹ thuật - CNS/IT/Môi trường; Ban An toàn - Chất lượng; Trung tâm Thông báo tin tức hàng không; Các Công ty Quản lý bay khu vực Bắc/Trung/Nam</x:v>
      </x:c>
      <x:c r="H125" s="14" t="str"/>
      <x:c r="I125" s="58" t="str"/>
      <x:c r="J125" s="58" t="str"/>
      <x:c r="K125" s="14" t="str"/>
      <x:c r="L125" s="14" t="str">
        <x:v>Chưa có</x:v>
      </x:c>
      <x:c r="M125" s="14" t="str">
        <x:v>Theo dõi và cập nhật link/chỉ dẫn hồ sơ sau khi có bằng chứng.</x:v>
      </x:c>
    </x:row>
    <x:row r="126">
      <x:c r="A126" s="14" t="str">
        <x:v>EVID-0125</x:v>
      </x:c>
      <x:c r="B126" s="14" t="str">
        <x:v>VATM-0125</x:v>
      </x:c>
      <x:c r="C126" s="14" t="str">
        <x:v>Quản lý khai thác cảng/sân bay</x:v>
      </x:c>
      <x:c r="D126" s="14" t="str">
        <x:v>Công trình, chướng ngại và thi công</x:v>
      </x:c>
      <x:c r="E126" s="14" t="str">
        <x:v>Safety assessment; biên bản hiệp đồng; checklist; NOTAM/AIP; tài liệu khai thác cập nhật</x:v>
      </x:c>
      <x:c r="F126" s="14" t="str">
        <x:v>Biểu mẫu/Checklist</x:v>
      </x:c>
      <x:c r="G126" s="14" t="str">
        <x:v>Ban Kế hoạch - Đầu tư; Ban Không lưu; Ban Kỹ thuật - CNS/IT/Môi trường; Ban An toàn - Chất lượng; Trung tâm Thông báo tin tức hàng không; Các Công ty Quản lý bay khu vực Bắc/Trung/Nam</x:v>
      </x:c>
      <x:c r="H126" s="14" t="str"/>
      <x:c r="I126" s="58" t="str"/>
      <x:c r="J126" s="58" t="str"/>
      <x:c r="K126" s="14" t="str"/>
      <x:c r="L126" s="14" t="str">
        <x:v>Chưa có</x:v>
      </x:c>
      <x:c r="M126" s="14" t="str">
        <x:v>Theo dõi và cập nhật link/chỉ dẫn hồ sơ sau khi có bằng chứng.</x:v>
      </x:c>
    </x:row>
    <x:row r="127">
      <x:c r="A127" s="14" t="str">
        <x:v>EVID-0126</x:v>
      </x:c>
      <x:c r="B127" s="14" t="str">
        <x:v>VATM-0126</x:v>
      </x:c>
      <x:c r="C127" s="14" t="str">
        <x:v>Quản lý khai thác cảng/sân bay</x:v>
      </x:c>
      <x:c r="D127" s="14" t="str">
        <x:v>Công trình, chướng ngại và thi công</x:v>
      </x:c>
      <x:c r="E127" s="14" t="str">
        <x:v>Safety assessment; biên bản hiệp đồng; checklist; NOTAM/AIP; tài liệu khai thác cập nhật</x:v>
      </x:c>
      <x:c r="F127" s="14" t="str">
        <x:v>Biểu mẫu/Checklist</x:v>
      </x:c>
      <x:c r="G127" s="14" t="str">
        <x:v>Ban Kế hoạch - Đầu tư; Ban Không lưu; Ban Kỹ thuật - CNS/IT/Môi trường; Ban An toàn - Chất lượng; Trung tâm Thông báo tin tức hàng không; Các Công ty Quản lý bay khu vực Bắc/Trung/Nam</x:v>
      </x:c>
      <x:c r="H127" s="14" t="str"/>
      <x:c r="I127" s="58" t="str"/>
      <x:c r="J127" s="58" t="str"/>
      <x:c r="K127" s="14" t="str"/>
      <x:c r="L127" s="14" t="str">
        <x:v>Chưa có</x:v>
      </x:c>
      <x:c r="M127" s="14" t="str">
        <x:v>Theo dõi và cập nhật link/chỉ dẫn hồ sơ sau khi có bằng chứng.</x:v>
      </x:c>
    </x:row>
    <x:row r="128">
      <x:c r="A128" s="14" t="str">
        <x:v>EVID-0127</x:v>
      </x:c>
      <x:c r="B128" s="14" t="str">
        <x:v>VATM-0127</x:v>
      </x:c>
      <x:c r="C128" s="14" t="str">
        <x:v>Quản lý khai thác cảng/sân bay</x:v>
      </x:c>
      <x:c r="D128" s="14" t="str">
        <x:v>Công trình, chướng ngại và thi công</x:v>
      </x:c>
      <x:c r="E128" s="14" t="str">
        <x:v>Safety assessment; biên bản hiệp đồng; checklist; NOTAM/AIP; tài liệu khai thác cập nhật</x:v>
      </x:c>
      <x:c r="F128" s="14" t="str">
        <x:v>Biểu mẫu/Checklist</x:v>
      </x:c>
      <x:c r="G128" s="14" t="str">
        <x:v>Ban Kế hoạch - Đầu tư; Ban Không lưu; Ban Kỹ thuật - CNS/IT/Môi trường; Ban An toàn - Chất lượng; Trung tâm Thông báo tin tức hàng không; Các Công ty Quản lý bay khu vực Bắc/Trung/Nam</x:v>
      </x:c>
      <x:c r="H128" s="14" t="str"/>
      <x:c r="I128" s="58" t="str"/>
      <x:c r="J128" s="58" t="str"/>
      <x:c r="K128" s="14" t="str"/>
      <x:c r="L128" s="14" t="str">
        <x:v>Chưa có</x:v>
      </x:c>
      <x:c r="M128" s="14" t="str">
        <x:v>Theo dõi và cập nhật link/chỉ dẫn hồ sơ sau khi có bằng chứng.</x:v>
      </x:c>
    </x:row>
    <x:row r="129">
      <x:c r="A129" s="14" t="str">
        <x:v>EVID-0128</x:v>
      </x:c>
      <x:c r="B129" s="14" t="str">
        <x:v>VATM-0128</x:v>
      </x:c>
      <x:c r="C129" s="14" t="str">
        <x:v>Quản lý khai thác cảng/sân bay</x:v>
      </x:c>
      <x:c r="D129" s="14" t="str">
        <x:v>Công trình, chướng ngại và thi công</x:v>
      </x:c>
      <x:c r="E129" s="14" t="str">
        <x:v>Safety assessment; biên bản hiệp đồng; checklist; NOTAM/AIP; tài liệu khai thác cập nhật</x:v>
      </x:c>
      <x:c r="F129" s="14" t="str">
        <x:v>Biểu mẫu/Checklist</x:v>
      </x:c>
      <x:c r="G129" s="14" t="str">
        <x:v>Ban Kế hoạch - Đầu tư; Ban Không lưu; Ban Kỹ thuật - CNS/IT/Môi trường; Ban An toàn - Chất lượng; Trung tâm Thông báo tin tức hàng không; Các Công ty Quản lý bay khu vực Bắc/Trung/Nam</x:v>
      </x:c>
      <x:c r="H129" s="14" t="str"/>
      <x:c r="I129" s="58" t="str"/>
      <x:c r="J129" s="58" t="str"/>
      <x:c r="K129" s="14" t="str"/>
      <x:c r="L129" s="14" t="str">
        <x:v>Chưa có</x:v>
      </x:c>
      <x:c r="M129" s="14" t="str">
        <x:v>Theo dõi và cập nhật link/chỉ dẫn hồ sơ sau khi có bằng chứng.</x:v>
      </x:c>
    </x:row>
    <x:row r="130">
      <x:c r="A130" s="14" t="str">
        <x:v>EVID-0129</x:v>
      </x:c>
      <x:c r="B130" s="14" t="str">
        <x:v>VATM-0129</x:v>
      </x:c>
      <x:c r="C130" s="14" t="str">
        <x:v>Quản lý khai thác cảng/sân bay</x:v>
      </x:c>
      <x:c r="D130" s="14" t="str">
        <x:v>Công trình, chướng ngại và thi công</x:v>
      </x:c>
      <x:c r="E130" s="14" t="str">
        <x:v>Safety assessment; biên bản hiệp đồng; checklist; NOTAM/AIP; tài liệu khai thác cập nhật</x:v>
      </x:c>
      <x:c r="F130" s="14" t="str">
        <x:v>Biểu mẫu/Checklist</x:v>
      </x:c>
      <x:c r="G130" s="14" t="str">
        <x:v>Ban Kế hoạch - Đầu tư; Ban Không lưu; Ban Kỹ thuật - CNS/IT/Môi trường; Ban An toàn - Chất lượng; Trung tâm Thông báo tin tức hàng không; Các Công ty Quản lý bay khu vực Bắc/Trung/Nam</x:v>
      </x:c>
      <x:c r="H130" s="14" t="str"/>
      <x:c r="I130" s="58" t="str"/>
      <x:c r="J130" s="58" t="str"/>
      <x:c r="K130" s="14" t="str"/>
      <x:c r="L130" s="14" t="str">
        <x:v>Chưa có</x:v>
      </x:c>
      <x:c r="M130" s="14" t="str">
        <x:v>Theo dõi và cập nhật link/chỉ dẫn hồ sơ sau khi có bằng chứng.</x:v>
      </x:c>
    </x:row>
    <x:row r="131">
      <x:c r="A131" s="14" t="str">
        <x:v>EVID-0130</x:v>
      </x:c>
      <x:c r="B131" s="14" t="str">
        <x:v>VATM-0130</x:v>
      </x:c>
      <x:c r="C131" s="14" t="str">
        <x:v>Quản lý khai thác cảng/sân bay</x:v>
      </x:c>
      <x:c r="D131" s="14" t="str">
        <x:v>Công trình, chướng ngại và thi công</x:v>
      </x:c>
      <x:c r="E131" s="14" t="str">
        <x:v>Safety assessment; biên bản hiệp đồng; checklist; NOTAM/AIP; tài liệu khai thác cập nhật</x:v>
      </x:c>
      <x:c r="F131" s="14" t="str">
        <x:v>Biểu mẫu/Checklist</x:v>
      </x:c>
      <x:c r="G131" s="14" t="str">
        <x:v>Ban Kế hoạch - Đầu tư; Ban Không lưu; Ban Kỹ thuật - CNS/IT/Môi trường; Ban An toàn - Chất lượng; Trung tâm Thông báo tin tức hàng không; Các Công ty Quản lý bay khu vực Bắc/Trung/Nam</x:v>
      </x:c>
      <x:c r="H131" s="14" t="str"/>
      <x:c r="I131" s="58" t="str"/>
      <x:c r="J131" s="58" t="str"/>
      <x:c r="K131" s="14" t="str"/>
      <x:c r="L131" s="14" t="str">
        <x:v>Chưa có</x:v>
      </x:c>
      <x:c r="M131" s="14" t="str">
        <x:v>Theo dõi và cập nhật link/chỉ dẫn hồ sơ sau khi có bằng chứng.</x:v>
      </x:c>
    </x:row>
    <x:row r="132">
      <x:c r="A132" s="14" t="str">
        <x:v>EVID-0131</x:v>
      </x:c>
      <x:c r="B132" s="14" t="str">
        <x:v>VATM-0131</x:v>
      </x:c>
      <x:c r="C132" s="14" t="str">
        <x:v>Quản lý khai thác cảng/sân bay</x:v>
      </x:c>
      <x:c r="D132" s="14" t="str">
        <x:v>Công trình, chướng ngại và thi công</x:v>
      </x:c>
      <x:c r="E132" s="14" t="str">
        <x:v>Safety assessment; biên bản hiệp đồng; checklist; NOTAM/AIP; tài liệu khai thác cập nhật</x:v>
      </x:c>
      <x:c r="F132" s="14" t="str">
        <x:v>Biểu mẫu/Checklist</x:v>
      </x:c>
      <x:c r="G132" s="14" t="str">
        <x:v>Ban Kế hoạch - Đầu tư; Ban Không lưu; Ban Kỹ thuật - CNS/IT/Môi trường; Ban An toàn - Chất lượng; Trung tâm Thông báo tin tức hàng không; Các Công ty Quản lý bay khu vực Bắc/Trung/Nam</x:v>
      </x:c>
      <x:c r="H132" s="14" t="str"/>
      <x:c r="I132" s="58" t="str"/>
      <x:c r="J132" s="58" t="str"/>
      <x:c r="K132" s="14" t="str"/>
      <x:c r="L132" s="14" t="str">
        <x:v>Chưa có</x:v>
      </x:c>
      <x:c r="M132" s="14" t="str">
        <x:v>Theo dõi và cập nhật link/chỉ dẫn hồ sơ sau khi có bằng chứng.</x:v>
      </x:c>
    </x:row>
    <x:row r="133">
      <x:c r="A133" s="14" t="str">
        <x:v>EVID-0132</x:v>
      </x:c>
      <x:c r="B133" s="14" t="str">
        <x:v>VATM-0132</x:v>
      </x:c>
      <x:c r="C133" s="14" t="str">
        <x:v>Quản lý khai thác cảng/sân bay</x:v>
      </x:c>
      <x:c r="D133" s="14" t="str">
        <x:v>Công trình, chướng ngại và thi công</x:v>
      </x:c>
      <x:c r="E133" s="14" t="str">
        <x:v>Safety assessment; biên bản hiệp đồng; checklist; NOTAM/AIP; tài liệu khai thác cập nhật</x:v>
      </x:c>
      <x:c r="F133" s="14" t="str">
        <x:v>Biểu mẫu/Checklist</x:v>
      </x:c>
      <x:c r="G133" s="14" t="str">
        <x:v>Ban Kế hoạch - Đầu tư; Ban Không lưu; Ban Kỹ thuật - CNS/IT/Môi trường; Ban An toàn - Chất lượng; Trung tâm Thông báo tin tức hàng không; Các Công ty Quản lý bay khu vực Bắc/Trung/Nam</x:v>
      </x:c>
      <x:c r="H133" s="14" t="str"/>
      <x:c r="I133" s="58" t="str"/>
      <x:c r="J133" s="58" t="str"/>
      <x:c r="K133" s="14" t="str"/>
      <x:c r="L133" s="14" t="str">
        <x:v>Chưa có</x:v>
      </x:c>
      <x:c r="M133" s="14" t="str">
        <x:v>Theo dõi và cập nhật link/chỉ dẫn hồ sơ sau khi có bằng chứng.</x:v>
      </x:c>
    </x:row>
    <x:row r="134">
      <x:c r="A134" s="14" t="str">
        <x:v>EVID-0133</x:v>
      </x:c>
      <x:c r="B134" s="14" t="str">
        <x:v>VATM-0133</x:v>
      </x:c>
      <x:c r="C134" s="14" t="str">
        <x:v>Quản lý khai thác cảng/sân bay</x:v>
      </x:c>
      <x:c r="D134" s="14" t="str">
        <x:v>Công trình, chướng ngại và thi công</x:v>
      </x:c>
      <x:c r="E134" s="14" t="str">
        <x:v>Safety assessment; biên bản hiệp đồng; checklist; NOTAM/AIP; tài liệu khai thác cập nhật</x:v>
      </x:c>
      <x:c r="F134" s="14" t="str">
        <x:v>Biểu mẫu/Checklist</x:v>
      </x:c>
      <x:c r="G134" s="14" t="str">
        <x:v>Ban Kế hoạch - Đầu tư; Ban Không lưu; Ban Kỹ thuật - CNS/IT/Môi trường; Ban An toàn - Chất lượng; Trung tâm Thông báo tin tức hàng không; Các Công ty Quản lý bay khu vực Bắc/Trung/Nam</x:v>
      </x:c>
      <x:c r="H134" s="14" t="str"/>
      <x:c r="I134" s="58" t="str"/>
      <x:c r="J134" s="58" t="str"/>
      <x:c r="K134" s="14" t="str"/>
      <x:c r="L134" s="14" t="str">
        <x:v>Chưa có</x:v>
      </x:c>
      <x:c r="M134" s="14" t="str">
        <x:v>Theo dõi và cập nhật link/chỉ dẫn hồ sơ sau khi có bằng chứng.</x:v>
      </x:c>
    </x:row>
    <x:row r="135">
      <x:c r="A135" s="14" t="str">
        <x:v>EVID-0134</x:v>
      </x:c>
      <x:c r="B135" s="14" t="str">
        <x:v>VATM-0134</x:v>
      </x:c>
      <x:c r="C135" s="14" t="str">
        <x:v>Quản lý khai thác cảng/sân bay</x:v>
      </x:c>
      <x:c r="D135" s="14" t="str">
        <x:v>Công trình, chướng ngại và thi công</x:v>
      </x:c>
      <x:c r="E135" s="14" t="str">
        <x:v>Kế hoạch tuân thủ; danh mục hồ sơ chuyển tiếp; hiệp đồng; danh mục phương tiện; NOTAM/AIP nếu có</x:v>
      </x:c>
      <x:c r="F135" s="14" t="str">
        <x:v>Quyết định/Kế hoạch</x:v>
      </x:c>
      <x:c r="G135" s="14" t="str">
        <x:v>Ban Kế hoạch - Đầu tư; Ban Không lưu; Ban Kỹ thuật - CNS/IT/Môi trường; Văn phòng - Pháp chế; Trung tâm Thông báo tin tức hàng không; Các Công ty Quản lý bay khu vực Bắc/Trung/Nam</x:v>
      </x:c>
      <x:c r="H135" s="14" t="str"/>
      <x:c r="I135" s="58" t="str"/>
      <x:c r="J135" s="58" t="str"/>
      <x:c r="K135" s="14" t="str"/>
      <x:c r="L135" s="14" t="str">
        <x:v>Chưa có</x:v>
      </x:c>
      <x:c r="M135" s="14" t="str">
        <x:v>Theo dõi và cập nhật link/chỉ dẫn hồ sơ sau khi có bằng chứng.</x:v>
      </x:c>
    </x:row>
    <x:row r="136">
      <x:c r="A136" s="14" t="str">
        <x:v>EVID-0135</x:v>
      </x:c>
      <x:c r="B136" s="14" t="str">
        <x:v>VATM-0135</x:v>
      </x:c>
      <x:c r="C136" s="14" t="str">
        <x:v>Quản lý khai thác cảng/sân bay</x:v>
      </x:c>
      <x:c r="D136" s="14" t="str">
        <x:v>Công trình, chướng ngại và thi công</x:v>
      </x:c>
      <x:c r="E136" s="14" t="str">
        <x:v>Kế hoạch tuân thủ; danh mục hồ sơ chuyển tiếp; hiệp đồng; danh mục phương tiện; NOTAM/AIP nếu có</x:v>
      </x:c>
      <x:c r="F136" s="14" t="str">
        <x:v>Quyết định/Kế hoạch</x:v>
      </x:c>
      <x:c r="G136" s="14" t="str">
        <x:v>Ban Kế hoạch - Đầu tư; Ban Không lưu; Ban Kỹ thuật - CNS/IT/Môi trường; Văn phòng - Pháp chế; Trung tâm Thông báo tin tức hàng không; Các Công ty Quản lý bay khu vực Bắc/Trung/Nam</x:v>
      </x:c>
      <x:c r="H136" s="14" t="str"/>
      <x:c r="I136" s="58" t="str"/>
      <x:c r="J136" s="58" t="str"/>
      <x:c r="K136" s="14" t="str"/>
      <x:c r="L136" s="14" t="str">
        <x:v>Chưa có</x:v>
      </x:c>
      <x:c r="M136" s="14" t="str">
        <x:v>Theo dõi và cập nhật link/chỉ dẫn hồ sơ sau khi có bằng chứng.</x:v>
      </x:c>
    </x:row>
    <x:row r="137">
      <x:c r="A137" s="14" t="str">
        <x:v>EVID-0136</x:v>
      </x:c>
      <x:c r="B137" s="14" t="str">
        <x:v>VATM-0136</x:v>
      </x:c>
      <x:c r="C137" s="14" t="str">
        <x:v>Quản lý khai thác cảng/sân bay</x:v>
      </x:c>
      <x:c r="D137" s="14" t="str">
        <x:v>Công trình, chướng ngại và thi công</x:v>
      </x:c>
      <x:c r="E137" s="14" t="str">
        <x:v>Kế hoạch tuân thủ; danh mục hồ sơ chuyển tiếp; hiệp đồng; danh mục phương tiện; NOTAM/AIP nếu có</x:v>
      </x:c>
      <x:c r="F137" s="14" t="str">
        <x:v>Quyết định/Kế hoạch</x:v>
      </x:c>
      <x:c r="G137" s="14" t="str">
        <x:v>Ban Kế hoạch - Đầu tư; Ban Không lưu; Ban Kỹ thuật - CNS/IT/Môi trường; Văn phòng - Pháp chế; Trung tâm Thông báo tin tức hàng không; Các Công ty Quản lý bay khu vực Bắc/Trung/Nam</x:v>
      </x:c>
      <x:c r="H137" s="14" t="str"/>
      <x:c r="I137" s="58" t="str"/>
      <x:c r="J137" s="58" t="str"/>
      <x:c r="K137" s="14" t="str"/>
      <x:c r="L137" s="14" t="str">
        <x:v>Chưa có</x:v>
      </x:c>
      <x:c r="M137" s="14" t="str">
        <x:v>Theo dõi và cập nhật link/chỉ dẫn hồ sơ sau khi có bằng chứng.</x:v>
      </x:c>
    </x:row>
    <x:row r="138">
      <x:c r="A138" s="14" t="str">
        <x:v>EVID-0137</x:v>
      </x:c>
      <x:c r="B138" s="14" t="str">
        <x:v>VATM-0137</x:v>
      </x:c>
      <x:c r="C138" s="14" t="str">
        <x:v>Quản lý khai thác cảng/sân bay</x:v>
      </x:c>
      <x:c r="D138" s="14" t="str">
        <x:v>Công trình, chướng ngại và thi công</x:v>
      </x:c>
      <x:c r="E138" s="14" t="str">
        <x:v>Kế hoạch tuân thủ; danh mục hồ sơ chuyển tiếp; hiệp đồng; danh mục phương tiện; NOTAM/AIP nếu có</x:v>
      </x:c>
      <x:c r="F138" s="14" t="str">
        <x:v>Quyết định/Kế hoạch</x:v>
      </x:c>
      <x:c r="G138" s="14" t="str">
        <x:v>Ban Kế hoạch - Đầu tư; Ban Không lưu; Ban Kỹ thuật - CNS/IT/Môi trường; Văn phòng - Pháp chế; Trung tâm Thông báo tin tức hàng không; Các Công ty Quản lý bay khu vực Bắc/Trung/Nam</x:v>
      </x:c>
      <x:c r="H138" s="14" t="str"/>
      <x:c r="I138" s="58" t="str"/>
      <x:c r="J138" s="58" t="str"/>
      <x:c r="K138" s="14" t="str"/>
      <x:c r="L138" s="14" t="str">
        <x:v>Chưa có</x:v>
      </x:c>
      <x:c r="M138" s="14" t="str">
        <x:v>Theo dõi và cập nhật link/chỉ dẫn hồ sơ sau khi có bằng chứng.</x:v>
      </x:c>
    </x:row>
    <x:row r="139">
      <x:c r="A139" s="14" t="str">
        <x:v>EVID-0138</x:v>
      </x:c>
      <x:c r="B139" s="14" t="str">
        <x:v>VATM-0138</x:v>
      </x:c>
      <x:c r="C139" s="14" t="str">
        <x:v>Quản lý khai thác cảng/sân bay</x:v>
      </x:c>
      <x:c r="D139" s="14" t="str">
        <x:v>Công trình, chướng ngại và thi công</x:v>
      </x:c>
      <x:c r="E139" s="14" t="str">
        <x:v>Kế hoạch tuân thủ; danh mục hồ sơ chuyển tiếp; hiệp đồng; danh mục phương tiện; NOTAM/AIP nếu có</x:v>
      </x:c>
      <x:c r="F139" s="14" t="str">
        <x:v>Quyết định/Kế hoạch</x:v>
      </x:c>
      <x:c r="G139" s="14" t="str">
        <x:v>Ban Kế hoạch - Đầu tư; Ban Không lưu; Ban Kỹ thuật - CNS/IT/Môi trường; Văn phòng - Pháp chế; Trung tâm Thông báo tin tức hàng không; Các Công ty Quản lý bay khu vực Bắc/Trung/Nam</x:v>
      </x:c>
      <x:c r="H139" s="14" t="str"/>
      <x:c r="I139" s="58" t="str"/>
      <x:c r="J139" s="58" t="str"/>
      <x:c r="K139" s="14" t="str"/>
      <x:c r="L139" s="14" t="str">
        <x:v>Chưa có</x:v>
      </x:c>
      <x:c r="M139" s="14" t="str">
        <x:v>Theo dõi và cập nhật link/chỉ dẫn hồ sơ sau khi có bằng chứng.</x:v>
      </x:c>
    </x:row>
    <x:row r="140">
      <x:c r="A140" s="14" t="str">
        <x:v>EVID-0139</x:v>
      </x:c>
      <x:c r="B140" s="14" t="str">
        <x:v>VATM-0139</x:v>
      </x:c>
      <x:c r="C140" s="14" t="str">
        <x:v>Quản lý khai thác cảng/sân bay</x:v>
      </x:c>
      <x:c r="D140" s="14" t="str">
        <x:v>Công trình, chướng ngại và thi công</x:v>
      </x:c>
      <x:c r="E140" s="14" t="str">
        <x:v>Kế hoạch tuân thủ; danh mục hồ sơ chuyển tiếp; hiệp đồng; danh mục phương tiện; NOTAM/AIP nếu có</x:v>
      </x:c>
      <x:c r="F140" s="14" t="str">
        <x:v>Quyết định/Kế hoạch</x:v>
      </x:c>
      <x:c r="G140" s="14" t="str">
        <x:v>Ban Kế hoạch - Đầu tư; Ban Không lưu; Ban Kỹ thuật - CNS/IT/Môi trường; Văn phòng - Pháp chế; Trung tâm Thông báo tin tức hàng không; Các Công ty Quản lý bay khu vực Bắc/Trung/Nam</x:v>
      </x:c>
      <x:c r="H140" s="14" t="str"/>
      <x:c r="I140" s="58" t="str"/>
      <x:c r="J140" s="58" t="str"/>
      <x:c r="K140" s="14" t="str"/>
      <x:c r="L140" s="14" t="str">
        <x:v>Chưa có</x:v>
      </x:c>
      <x:c r="M140" s="14" t="str">
        <x:v>Theo dõi và cập nhật link/chỉ dẫn hồ sơ sau khi có bằng chứng.</x:v>
      </x:c>
    </x:row>
    <x:row r="141">
      <x:c r="A141" s="14" t="str">
        <x:v>EVID-0140</x:v>
      </x:c>
      <x:c r="B141" s="14" t="str">
        <x:v>VATM-0140</x:v>
      </x:c>
      <x:c r="C141" s="14" t="str">
        <x:v>Quản lý khai thác cảng/sân bay</x:v>
      </x:c>
      <x:c r="D141" s="14" t="str">
        <x:v>Công trình, chướng ngại và thi công</x:v>
      </x:c>
      <x:c r="E141" s="14" t="str">
        <x:v>Kế hoạch tuân thủ; danh mục hồ sơ chuyển tiếp; hiệp đồng; danh mục phương tiện; NOTAM/AIP nếu có</x:v>
      </x:c>
      <x:c r="F141" s="14" t="str">
        <x:v>Quyết định/Kế hoạch</x:v>
      </x:c>
      <x:c r="G141" s="14" t="str">
        <x:v>Ban Kế hoạch - Đầu tư; Ban Không lưu; Ban Kỹ thuật - CNS/IT/Môi trường; Văn phòng - Pháp chế; Trung tâm Thông báo tin tức hàng không; Các Công ty Quản lý bay khu vực Bắc/Trung/Nam</x:v>
      </x:c>
      <x:c r="H141" s="14" t="str"/>
      <x:c r="I141" s="58" t="str"/>
      <x:c r="J141" s="58" t="str"/>
      <x:c r="K141" s="14" t="str"/>
      <x:c r="L141" s="14" t="str">
        <x:v>Chưa có</x:v>
      </x:c>
      <x:c r="M141" s="14" t="str">
        <x:v>Theo dõi và cập nhật link/chỉ dẫn hồ sơ sau khi có bằng chứng.</x:v>
      </x:c>
    </x:row>
    <x:row r="142">
      <x:c r="A142" s="14" t="str">
        <x:v>EVID-0141</x:v>
      </x:c>
      <x:c r="B142" s="14" t="str">
        <x:v>VATM-0141</x:v>
      </x:c>
      <x:c r="C142" s="14" t="str">
        <x:v>Quản lý khai thác cảng/sân bay</x:v>
      </x:c>
      <x:c r="D142" s="14" t="str">
        <x:v>Công trình, chướng ngại và thi công</x:v>
      </x:c>
      <x:c r="E142" s="14" t="str">
        <x:v>Kế hoạch tuân thủ; danh mục hồ sơ chuyển tiếp; hiệp đồng; danh mục phương tiện; NOTAM/AIP nếu có</x:v>
      </x:c>
      <x:c r="F142" s="14" t="str">
        <x:v>Quyết định/Kế hoạch</x:v>
      </x:c>
      <x:c r="G142" s="14" t="str">
        <x:v>Ban Kế hoạch - Đầu tư; Ban Không lưu; Ban Kỹ thuật - CNS/IT/Môi trường; Văn phòng - Pháp chế; Trung tâm Thông báo tin tức hàng không; Các Công ty Quản lý bay khu vực Bắc/Trung/Nam</x:v>
      </x:c>
      <x:c r="H142" s="14" t="str"/>
      <x:c r="I142" s="58" t="str"/>
      <x:c r="J142" s="58" t="str"/>
      <x:c r="K142" s="14" t="str"/>
      <x:c r="L142" s="14" t="str">
        <x:v>Chưa có</x:v>
      </x:c>
      <x:c r="M142" s="14" t="str">
        <x:v>Theo dõi và cập nhật link/chỉ dẫn hồ sơ sau khi có bằng chứng.</x:v>
      </x:c>
    </x:row>
    <x:row r="143">
      <x:c r="A143" s="14" t="str">
        <x:v>EVID-0142</x:v>
      </x:c>
      <x:c r="B143" s="14" t="str">
        <x:v>VATM-0142</x:v>
      </x:c>
      <x:c r="C143" s="14" t="str">
        <x:v>Quản lý khai thác cảng/sân bay</x:v>
      </x:c>
      <x:c r="D143" s="14" t="str">
        <x:v>Công trình, chướng ngại và thi công</x:v>
      </x:c>
      <x:c r="E143" s="14" t="str">
        <x:v>Kế hoạch tuân thủ; danh mục hồ sơ chuyển tiếp; hiệp đồng; danh mục phương tiện; NOTAM/AIP nếu có</x:v>
      </x:c>
      <x:c r="F143" s="14" t="str">
        <x:v>Quyết định/Kế hoạch</x:v>
      </x:c>
      <x:c r="G143" s="14" t="str">
        <x:v>Ban Kế hoạch - Đầu tư; Ban Không lưu; Ban Kỹ thuật - CNS/IT/Môi trường; Văn phòng - Pháp chế; Trung tâm Thông báo tin tức hàng không; Các Công ty Quản lý bay khu vực Bắc/Trung/Nam</x:v>
      </x:c>
      <x:c r="H143" s="14" t="str"/>
      <x:c r="I143" s="58" t="str"/>
      <x:c r="J143" s="58" t="str"/>
      <x:c r="K143" s="14" t="str"/>
      <x:c r="L143" s="14" t="str">
        <x:v>Chưa có</x:v>
      </x:c>
      <x:c r="M143" s="14" t="str">
        <x:v>Theo dõi và cập nhật link/chỉ dẫn hồ sơ sau khi có bằng chứng.</x:v>
      </x:c>
    </x:row>
    <x:row r="144">
      <x:c r="A144" s="14" t="str">
        <x:v>EVID-0143</x:v>
      </x:c>
      <x:c r="B144" s="14" t="str">
        <x:v>VATM-0143</x:v>
      </x:c>
      <x:c r="C144" s="14" t="str">
        <x:v>Quản lý khai thác cảng/sân bay</x:v>
      </x:c>
      <x:c r="D144" s="14" t="str">
        <x:v>Công trình, chướng ngại và thi công</x:v>
      </x:c>
      <x:c r="E144" s="14" t="str">
        <x:v>Kế hoạch tuân thủ; danh mục hồ sơ chuyển tiếp; hiệp đồng; danh mục phương tiện; NOTAM/AIP nếu có</x:v>
      </x:c>
      <x:c r="F144" s="14" t="str">
        <x:v>Quyết định/Kế hoạch</x:v>
      </x:c>
      <x:c r="G144" s="14" t="str">
        <x:v>Ban Kế hoạch - Đầu tư; Ban Không lưu; Ban Kỹ thuật - CNS/IT/Môi trường; Văn phòng - Pháp chế; Trung tâm Thông báo tin tức hàng không; Các Công ty Quản lý bay khu vực Bắc/Trung/Nam</x:v>
      </x:c>
      <x:c r="H144" s="14" t="str"/>
      <x:c r="I144" s="58" t="str"/>
      <x:c r="J144" s="58" t="str"/>
      <x:c r="K144" s="14" t="str"/>
      <x:c r="L144" s="14" t="str">
        <x:v>Chưa có</x:v>
      </x:c>
      <x:c r="M144" s="14" t="str">
        <x:v>Theo dõi và cập nhật link/chỉ dẫn hồ sơ sau khi có bằng chứng.</x:v>
      </x:c>
    </x:row>
    <x:row r="145">
      <x:c r="A145" s="14" t="str">
        <x:v>EVID-0144</x:v>
      </x:c>
      <x:c r="B145" s="14" t="str">
        <x:v>VATM-0144</x:v>
      </x:c>
      <x:c r="C145" s="14" t="str">
        <x:v>Quản lý khai thác cảng/sân bay</x:v>
      </x:c>
      <x:c r="D145" s="14" t="str">
        <x:v>Công trình, chướng ngại và thi công</x:v>
      </x:c>
      <x:c r="E145" s="14" t="str">
        <x:v>Kế hoạch tuân thủ; danh mục hồ sơ chuyển tiếp; hiệp đồng; danh mục phương tiện; NOTAM/AIP nếu có</x:v>
      </x:c>
      <x:c r="F145" s="14" t="str">
        <x:v>Quyết định/Kế hoạch</x:v>
      </x:c>
      <x:c r="G145" s="14" t="str">
        <x:v>Ban Kế hoạch - Đầu tư; Ban Không lưu; Ban Kỹ thuật - CNS/IT/Môi trường; Văn phòng - Pháp chế; Trung tâm Thông báo tin tức hàng không; Các Công ty Quản lý bay khu vực Bắc/Trung/Nam</x:v>
      </x:c>
      <x:c r="H145" s="14" t="str"/>
      <x:c r="I145" s="58" t="str"/>
      <x:c r="J145" s="58" t="str"/>
      <x:c r="K145" s="14" t="str"/>
      <x:c r="L145" s="14" t="str">
        <x:v>Chưa có</x:v>
      </x:c>
      <x:c r="M145" s="14" t="str">
        <x:v>Theo dõi và cập nhật link/chỉ dẫn hồ sơ sau khi có bằng chứng.</x:v>
      </x:c>
    </x:row>
    <x:row r="146">
      <x:c r="A146" s="14" t="str">
        <x:v>EVID-0145</x:v>
      </x:c>
      <x:c r="B146" s="14" t="str">
        <x:v>VATM-0145</x:v>
      </x:c>
      <x:c r="C146" s="14" t="str">
        <x:v>Quản lý khai thác cảng/sân bay</x:v>
      </x:c>
      <x:c r="D146" s="14" t="str">
        <x:v>Công trình, chướng ngại và thi công</x:v>
      </x:c>
      <x:c r="E146" s="14" t="str">
        <x:v>Kế hoạch tuân thủ; danh mục hồ sơ chuyển tiếp; hiệp đồng; danh mục phương tiện; NOTAM/AIP nếu có</x:v>
      </x:c>
      <x:c r="F146" s="14" t="str">
        <x:v>Quyết định/Kế hoạch</x:v>
      </x:c>
      <x:c r="G146" s="14" t="str">
        <x:v>Ban Kế hoạch - Đầu tư; Ban Không lưu; Ban Kỹ thuật - CNS/IT/Môi trường; Văn phòng - Pháp chế; Trung tâm Thông báo tin tức hàng không; Các Công ty Quản lý bay khu vực Bắc/Trung/Nam</x:v>
      </x:c>
      <x:c r="H146" s="14" t="str"/>
      <x:c r="I146" s="58" t="str"/>
      <x:c r="J146" s="58" t="str"/>
      <x:c r="K146" s="14" t="str"/>
      <x:c r="L146" s="14" t="str">
        <x:v>Chưa có</x:v>
      </x:c>
      <x:c r="M146" s="14" t="str">
        <x:v>Theo dõi và cập nhật link/chỉ dẫn hồ sơ sau khi có bằng chứng.</x:v>
      </x:c>
    </x:row>
    <x:row r="147">
      <x:c r="A147" s="14" t="str">
        <x:v>EVID-0146</x:v>
      </x:c>
      <x:c r="B147" s="14" t="str">
        <x:v>VATM-0146</x:v>
      </x:c>
      <x:c r="C147" s="14" t="str">
        <x:v>Quản lý khai thác cảng/sân bay</x:v>
      </x:c>
      <x:c r="D147" s="14" t="str">
        <x:v>Công trình, chướng ngại và thi công</x:v>
      </x:c>
      <x:c r="E147" s="14" t="str">
        <x:v>Kế hoạch tuân thủ; danh mục hồ sơ chuyển tiếp; hiệp đồng; danh mục phương tiện; NOTAM/AIP nếu có</x:v>
      </x:c>
      <x:c r="F147" s="14" t="str">
        <x:v>Quyết định/Kế hoạch</x:v>
      </x:c>
      <x:c r="G147" s="14" t="str">
        <x:v>Ban Kế hoạch - Đầu tư; Ban Không lưu; Ban Kỹ thuật - CNS/IT/Môi trường; Văn phòng - Pháp chế; Trung tâm Thông báo tin tức hàng không; Các Công ty Quản lý bay khu vực Bắc/Trung/Nam</x:v>
      </x:c>
      <x:c r="H147" s="14" t="str"/>
      <x:c r="I147" s="58" t="str"/>
      <x:c r="J147" s="58" t="str"/>
      <x:c r="K147" s="14" t="str"/>
      <x:c r="L147" s="14" t="str">
        <x:v>Chưa có</x:v>
      </x:c>
      <x:c r="M147" s="14" t="str">
        <x:v>Theo dõi và cập nhật link/chỉ dẫn hồ sơ sau khi có bằng chứng.</x:v>
      </x:c>
    </x:row>
    <x:row r="148">
      <x:c r="A148" s="14" t="str">
        <x:v>EVID-0147</x:v>
      </x:c>
      <x:c r="B148" s="14" t="str">
        <x:v>VATM-0147</x:v>
      </x:c>
      <x:c r="C148" s="14" t="str">
        <x:v>Quản lý khai thác cảng/sân bay</x:v>
      </x:c>
      <x:c r="D148" s="14" t="str">
        <x:v>Công trình, chướng ngại và thi công</x:v>
      </x:c>
      <x:c r="E148" s="14" t="str">
        <x:v>Kế hoạch tuân thủ; danh mục hồ sơ chuyển tiếp; hiệp đồng; danh mục phương tiện; NOTAM/AIP nếu có</x:v>
      </x:c>
      <x:c r="F148" s="14" t="str">
        <x:v>Quyết định/Kế hoạch</x:v>
      </x:c>
      <x:c r="G148" s="14" t="str">
        <x:v>Ban Kế hoạch - Đầu tư; Ban Không lưu; Ban Kỹ thuật - CNS/IT/Môi trường; Văn phòng - Pháp chế; Trung tâm Thông báo tin tức hàng không; Các Công ty Quản lý bay khu vực Bắc/Trung/Nam</x:v>
      </x:c>
      <x:c r="H148" s="14" t="str"/>
      <x:c r="I148" s="58" t="str"/>
      <x:c r="J148" s="58" t="str"/>
      <x:c r="K148" s="14" t="str"/>
      <x:c r="L148" s="14" t="str">
        <x:v>Chưa có</x:v>
      </x:c>
      <x:c r="M148" s="14" t="str">
        <x:v>Theo dõi và cập nhật link/chỉ dẫn hồ sơ sau khi có bằng chứng.</x:v>
      </x:c>
    </x:row>
    <x:row r="149">
      <x:c r="A149" s="14" t="str">
        <x:v>EVID-0148</x:v>
      </x:c>
      <x:c r="B149" s="14" t="str">
        <x:v>VATM-0148</x:v>
      </x:c>
      <x:c r="C149" s="14" t="str">
        <x:v>Quản lý khai thác cảng/sân bay</x:v>
      </x:c>
      <x:c r="D149" s="14" t="str">
        <x:v>Công trình, chướng ngại và thi công</x:v>
      </x:c>
      <x:c r="E149" s="14" t="str">
        <x:v>Kế hoạch tuân thủ; danh mục hồ sơ chuyển tiếp; hiệp đồng; danh mục phương tiện; NOTAM/AIP nếu có</x:v>
      </x:c>
      <x:c r="F149" s="14" t="str">
        <x:v>Quyết định/Kế hoạch</x:v>
      </x:c>
      <x:c r="G149" s="14" t="str">
        <x:v>Ban Kế hoạch - Đầu tư; Ban Không lưu; Ban Kỹ thuật - CNS/IT/Môi trường; Văn phòng - Pháp chế; Trung tâm Thông báo tin tức hàng không; Các Công ty Quản lý bay khu vực Bắc/Trung/Nam</x:v>
      </x:c>
      <x:c r="H149" s="14" t="str"/>
      <x:c r="I149" s="58" t="str"/>
      <x:c r="J149" s="58" t="str"/>
      <x:c r="K149" s="14" t="str"/>
      <x:c r="L149" s="14" t="str">
        <x:v>Chưa có</x:v>
      </x:c>
      <x:c r="M149" s="14" t="str">
        <x:v>Theo dõi và cập nhật link/chỉ dẫn hồ sơ sau khi có bằng chứng.</x:v>
      </x:c>
    </x:row>
    <x:row r="150">
      <x:c r="A150" s="14" t="str">
        <x:v>EVID-0149</x:v>
      </x:c>
      <x:c r="B150" s="14" t="str">
        <x:v>VATM-0149</x:v>
      </x:c>
      <x:c r="C150" s="14" t="str">
        <x:v>Quản lý khai thác cảng/sân bay</x:v>
      </x:c>
      <x:c r="D150" s="14" t="str">
        <x:v>Công trình, chướng ngại và thi công</x:v>
      </x:c>
      <x:c r="E150" s="14" t="str">
        <x:v>Kế hoạch tuân thủ; danh mục hồ sơ chuyển tiếp; hiệp đồng; danh mục phương tiện; NOTAM/AIP nếu có</x:v>
      </x:c>
      <x:c r="F150" s="14" t="str">
        <x:v>Quyết định/Kế hoạch</x:v>
      </x:c>
      <x:c r="G150" s="14" t="str">
        <x:v>Ban Kế hoạch - Đầu tư; Ban Không lưu; Ban Kỹ thuật - CNS/IT/Môi trường; Văn phòng - Pháp chế; Trung tâm Thông báo tin tức hàng không; Các Công ty Quản lý bay khu vực Bắc/Trung/Nam</x:v>
      </x:c>
      <x:c r="H150" s="14" t="str"/>
      <x:c r="I150" s="58" t="str"/>
      <x:c r="J150" s="58" t="str"/>
      <x:c r="K150" s="14" t="str"/>
      <x:c r="L150" s="14" t="str">
        <x:v>Chưa có</x:v>
      </x:c>
      <x:c r="M150" s="14" t="str">
        <x:v>Theo dõi và cập nhật link/chỉ dẫn hồ sơ sau khi có bằng chứng.</x:v>
      </x:c>
    </x:row>
    <x:row r="151">
      <x:c r="A151" s="14" t="str">
        <x:v>EVID-0150</x:v>
      </x:c>
      <x:c r="B151" s="14" t="str">
        <x:v>VATM-0150</x:v>
      </x:c>
      <x:c r="C151" s="14" t="str">
        <x:v>An toàn hàng không / SMS</x:v>
      </x:c>
      <x:c r="D151" s="14" t="str">
        <x:v>Chính sách, mục tiêu và văn hóa an toàn</x:v>
      </x:c>
      <x:c r="E151" s="14" t="str">
        <x:v>Chính sách/ quy chế an toàn nội bộ phù hợp chính sách quốc gia; bằng chứng bố trí nguồn lực và truyền thông chính sách.</x:v>
      </x:c>
      <x:c r="F151" s="14" t="str">
        <x:v>Quy trình/SOP</x:v>
      </x:c>
      <x:c r="G151" s="14" t="str">
        <x:v>Ban An toàn - Chất lượng</x:v>
      </x:c>
      <x:c r="H151" s="14" t="str"/>
      <x:c r="I151" s="58" t="str"/>
      <x:c r="J151" s="58" t="str"/>
      <x:c r="K151" s="14" t="str"/>
      <x:c r="L151" s="14" t="str">
        <x:v>Chưa có</x:v>
      </x:c>
      <x:c r="M151" s="14" t="str">
        <x:v>Theo dõi và cập nhật link/chỉ dẫn hồ sơ sau khi có bằng chứng.</x:v>
      </x:c>
    </x:row>
    <x:row r="152">
      <x:c r="A152" s="14" t="str">
        <x:v>EVID-0151</x:v>
      </x:c>
      <x:c r="B152" s="14" t="str">
        <x:v>VATM-0151</x:v>
      </x:c>
      <x:c r="C152" s="14" t="str">
        <x:v>An toàn hàng không / SMS</x:v>
      </x:c>
      <x:c r="D152" s="14" t="str">
        <x:v>Khung SMS và quản trị an toàn</x:v>
      </x:c>
      <x:c r="E152" s="14" t="str">
        <x:v>Kế hoạch/ chương trình hành động an toàn cấp doanh nghiệp; danh mục hành động, trách nhiệm, tiến độ.</x:v>
      </x:c>
      <x:c r="F152" s="14" t="str">
        <x:v>Quyết định/Kế hoạch</x:v>
      </x:c>
      <x:c r="G152" s="14" t="str">
        <x:v>Ban An toàn - Chất lượng</x:v>
      </x:c>
      <x:c r="H152" s="14" t="str"/>
      <x:c r="I152" s="58" t="str"/>
      <x:c r="J152" s="58" t="str"/>
      <x:c r="K152" s="14" t="str"/>
      <x:c r="L152" s="14" t="str">
        <x:v>Chưa có</x:v>
      </x:c>
      <x:c r="M152" s="14" t="str">
        <x:v>Theo dõi và cập nhật link/chỉ dẫn hồ sơ sau khi có bằng chứng.</x:v>
      </x:c>
    </x:row>
    <x:row r="153">
      <x:c r="A153" s="14" t="str">
        <x:v>EVID-0152</x:v>
      </x:c>
      <x:c r="B153" s="14" t="str">
        <x:v>VATM-0152</x:v>
      </x:c>
      <x:c r="C153" s="14" t="str">
        <x:v>An toàn hàng không / SMS</x:v>
      </x:c>
      <x:c r="D153" s="14" t="str">
        <x:v>Chính sách, mục tiêu và văn hóa an toàn</x:v>
      </x:c>
      <x:c r="E153" s="14" t="str">
        <x:v>Tài liệu SMS, chính sách/mục tiêu, cơ cấu trách nhiệm, quy trình quản lý rủi ro, bảo đảm an toàn, thúc đẩy an toàn, hồ sơ vận hành SMS.</x:v>
      </x:c>
      <x:c r="F153" s="14" t="str">
        <x:v>Quy trình/SOP</x:v>
      </x:c>
      <x:c r="G153" s="14" t="str">
        <x:v>Ban An toàn - Chất lượng</x:v>
      </x:c>
      <x:c r="H153" s="14" t="str"/>
      <x:c r="I153" s="58" t="str"/>
      <x:c r="J153" s="58" t="str"/>
      <x:c r="K153" s="14" t="str"/>
      <x:c r="L153" s="14" t="str">
        <x:v>Chưa có</x:v>
      </x:c>
      <x:c r="M153" s="14" t="str">
        <x:v>Theo dõi và cập nhật link/chỉ dẫn hồ sơ sau khi có bằng chứng.</x:v>
      </x:c>
    </x:row>
    <x:row r="154">
      <x:c r="A154" s="14" t="str">
        <x:v>EVID-0153</x:v>
      </x:c>
      <x:c r="B154" s="14" t="str">
        <x:v>VATM-0153</x:v>
      </x:c>
      <x:c r="C154" s="14" t="str">
        <x:v>An toàn hàng không / SMS</x:v>
      </x:c>
      <x:c r="D154" s="14" t="str">
        <x:v>Báo cáo MOR, sự cố và điều tra</x:v>
      </x:c>
      <x:c r="E154" s="14" t="str">
        <x:v>Cơ sở dữ liệu SPI, báo cáo phân tích xu hướng, ngưỡng cảnh báo, kế hoạch/biện pháp kiểm soát.</x:v>
      </x:c>
      <x:c r="F154" s="14" t="str">
        <x:v>Quyết định/Kế hoạch</x:v>
      </x:c>
      <x:c r="G154" s="14" t="str">
        <x:v>Ban An toàn - Chất lượng</x:v>
      </x:c>
      <x:c r="H154" s="14" t="str"/>
      <x:c r="I154" s="58" t="str"/>
      <x:c r="J154" s="58" t="str"/>
      <x:c r="K154" s="14" t="str"/>
      <x:c r="L154" s="14" t="str">
        <x:v>Chưa có</x:v>
      </x:c>
      <x:c r="M154" s="14" t="str">
        <x:v>Theo dõi và cập nhật link/chỉ dẫn hồ sơ sau khi có bằng chứng.</x:v>
      </x:c>
    </x:row>
    <x:row r="155">
      <x:c r="A155" s="14" t="str">
        <x:v>EVID-0154</x:v>
      </x:c>
      <x:c r="B155" s="14" t="str">
        <x:v>VATM-0154</x:v>
      </x:c>
      <x:c r="C155" s="14" t="str">
        <x:v>An toàn hàng không / SMS</x:v>
      </x:c>
      <x:c r="D155" s="14" t="str">
        <x:v>Chính sách, mục tiêu và văn hóa an toàn</x:v>
      </x:c>
      <x:c r="E155" s="14" t="str">
        <x:v>Danh mục SPI/SPT nội bộ; phương pháp tính, nguồn dữ liệu, ngưỡng cảnh báo, người chịu trách nhiệm.</x:v>
      </x:c>
      <x:c r="F155" s="14" t="str">
        <x:v>Dữ liệu hệ thống</x:v>
      </x:c>
      <x:c r="G155" s="14" t="str">
        <x:v>Ban An toàn - Chất lượng</x:v>
      </x:c>
      <x:c r="H155" s="14" t="str"/>
      <x:c r="I155" s="58" t="str"/>
      <x:c r="J155" s="58" t="str"/>
      <x:c r="K155" s="14" t="str"/>
      <x:c r="L155" s="14" t="str">
        <x:v>Chưa có</x:v>
      </x:c>
      <x:c r="M155" s="14" t="str">
        <x:v>Theo dõi và cập nhật link/chỉ dẫn hồ sơ sau khi có bằng chứng.</x:v>
      </x:c>
    </x:row>
    <x:row r="156">
      <x:c r="A156" s="14" t="str">
        <x:v>EVID-0155</x:v>
      </x:c>
      <x:c r="B156" s="14" t="str">
        <x:v>VATM-0155</x:v>
      </x:c>
      <x:c r="C156" s="14" t="str">
        <x:v>An toàn hàng không / SMS</x:v>
      </x:c>
      <x:c r="D156" s="14" t="str">
        <x:v>Quản lý rủi ro và thay đổi</x:v>
      </x:c>
      <x:c r="E156" s="14" t="str">
        <x:v>Biên bản đánh giá rủi ro; phân tích nguyên nhân; kế hoạch hành động; bằng chứng đóng hành động.</x:v>
      </x:c>
      <x:c r="F156" s="14" t="str">
        <x:v>Quyết định/Kế hoạch</x:v>
      </x:c>
      <x:c r="G156" s="14" t="str">
        <x:v>Ban An toàn - Chất lượng</x:v>
      </x:c>
      <x:c r="H156" s="14" t="str"/>
      <x:c r="I156" s="58" t="str"/>
      <x:c r="J156" s="58" t="str"/>
      <x:c r="K156" s="14" t="str"/>
      <x:c r="L156" s="14" t="str">
        <x:v>Chưa có</x:v>
      </x:c>
      <x:c r="M156" s="14" t="str">
        <x:v>Theo dõi và cập nhật link/chỉ dẫn hồ sơ sau khi có bằng chứng.</x:v>
      </x:c>
    </x:row>
    <x:row r="157">
      <x:c r="A157" s="14" t="str">
        <x:v>EVID-0156</x:v>
      </x:c>
      <x:c r="B157" s="14" t="str">
        <x:v>VATM-0156</x:v>
      </x:c>
      <x:c r="C157" s="14" t="str">
        <x:v>An toàn hàng không / SMS</x:v>
      </x:c>
      <x:c r="D157" s="14" t="str">
        <x:v>Quản lý rủi ro và thay đổi</x:v>
      </x:c>
      <x:c r="E157" s="14" t="str">
        <x:v>Hazard register; risk assessment; biện pháp giảm thiểu; đánh giá hiệu quả; báo cáo quý gửi Cục HKVN.</x:v>
      </x:c>
      <x:c r="F157" s="14" t="str">
        <x:v>Báo cáo</x:v>
      </x:c>
      <x:c r="G157" s="14" t="str">
        <x:v>Ban An toàn - Chất lượng</x:v>
      </x:c>
      <x:c r="H157" s="14" t="str"/>
      <x:c r="I157" s="58" t="str"/>
      <x:c r="J157" s="58" t="str"/>
      <x:c r="K157" s="14" t="str"/>
      <x:c r="L157" s="14" t="str">
        <x:v>Chưa có</x:v>
      </x:c>
      <x:c r="M157" s="14" t="str">
        <x:v>Theo dõi và cập nhật link/chỉ dẫn hồ sơ sau khi có bằng chứng.</x:v>
      </x:c>
    </x:row>
    <x:row r="158">
      <x:c r="A158" s="14" t="str">
        <x:v>EVID-0157</x:v>
      </x:c>
      <x:c r="B158" s="14" t="str">
        <x:v>VATM-0157</x:v>
      </x:c>
      <x:c r="C158" s="14" t="str">
        <x:v>An toàn hàng không / SMS</x:v>
      </x:c>
      <x:c r="D158" s="14" t="str">
        <x:v>Báo cáo MOR, sự cố và điều tra</x:v>
      </x:c>
      <x:c r="E158" s="14" t="str">
        <x:v>Hồ sơ khắc phục điểm không phù hợp; bằng chứng hoàn thành; báo cáo tiến độ; theo dõi khuyến cáo an toàn.</x:v>
      </x:c>
      <x:c r="F158" s="14" t="str">
        <x:v>Báo cáo</x:v>
      </x:c>
      <x:c r="G158" s="14" t="str">
        <x:v>Ban An toàn - Chất lượng</x:v>
      </x:c>
      <x:c r="H158" s="14" t="str"/>
      <x:c r="I158" s="58" t="str"/>
      <x:c r="J158" s="58" t="str"/>
      <x:c r="K158" s="14" t="str"/>
      <x:c r="L158" s="14" t="str">
        <x:v>Chưa có</x:v>
      </x:c>
      <x:c r="M158" s="14" t="str">
        <x:v>Theo dõi và cập nhật link/chỉ dẫn hồ sơ sau khi có bằng chứng.</x:v>
      </x:c>
    </x:row>
    <x:row r="159">
      <x:c r="A159" s="14" t="str">
        <x:v>EVID-0158</x:v>
      </x:c>
      <x:c r="B159" s="14" t="str">
        <x:v>VATM-0158</x:v>
      </x:c>
      <x:c r="C159" s="14" t="str">
        <x:v>An toàn hàng không / SMS</x:v>
      </x:c>
      <x:c r="D159" s="14" t="str">
        <x:v>Khung SMS và quản trị an toàn</x:v>
      </x:c>
      <x:c r="E159" s="14" t="str">
        <x:v>Kế hoạch đào tạo; giáo trình/nội dung; danh sách tham dự; kết quả đánh giá; hồ sơ lưu trữ.</x:v>
      </x:c>
      <x:c r="F159" s="14" t="str">
        <x:v>Quyết định/Kế hoạch</x:v>
      </x:c>
      <x:c r="G159" s="14" t="str">
        <x:v>Ban An toàn - Chất lượng</x:v>
      </x:c>
      <x:c r="H159" s="14" t="str"/>
      <x:c r="I159" s="58" t="str"/>
      <x:c r="J159" s="58" t="str"/>
      <x:c r="K159" s="14" t="str"/>
      <x:c r="L159" s="14" t="str">
        <x:v>Chưa có</x:v>
      </x:c>
      <x:c r="M159" s="14" t="str">
        <x:v>Theo dõi và cập nhật link/chỉ dẫn hồ sơ sau khi có bằng chứng.</x:v>
      </x:c>
    </x:row>
    <x:row r="160">
      <x:c r="A160" s="14" t="str">
        <x:v>EVID-0159</x:v>
      </x:c>
      <x:c r="B160" s="14" t="str">
        <x:v>VATM-0159</x:v>
      </x:c>
      <x:c r="C160" s="14" t="str">
        <x:v>An toàn hàng không / SMS</x:v>
      </x:c>
      <x:c r="D160" s="14" t="str">
        <x:v>Bảo đảm an toàn, giám sát và audit</x:v>
      </x:c>
      <x:c r="E160" s="14" t="str">
        <x:v>Quy chế bảo vệ dữ liệu an toàn; phân quyền truy cập; nhật ký cung cấp/chia sẻ; quy trình công bố; hồ sơ tuân thủ.</x:v>
      </x:c>
      <x:c r="F160" s="14" t="str">
        <x:v>Quy trình/SOP</x:v>
      </x:c>
      <x:c r="G160" s="14" t="str">
        <x:v>Ban An toàn - Chất lượng</x:v>
      </x:c>
      <x:c r="H160" s="14" t="str"/>
      <x:c r="I160" s="58" t="str"/>
      <x:c r="J160" s="58" t="str"/>
      <x:c r="K160" s="14" t="str"/>
      <x:c r="L160" s="14" t="str">
        <x:v>Chưa có</x:v>
      </x:c>
      <x:c r="M160" s="14" t="str">
        <x:v>Theo dõi và cập nhật link/chỉ dẫn hồ sơ sau khi có bằng chứng.</x:v>
      </x:c>
    </x:row>
    <x:row r="161">
      <x:c r="A161" s="14" t="str">
        <x:v>EVID-0160</x:v>
      </x:c>
      <x:c r="B161" s="14" t="str">
        <x:v>VATM-0160</x:v>
      </x:c>
      <x:c r="C161" s="14" t="str">
        <x:v>An toàn hàng không / SMS</x:v>
      </x:c>
      <x:c r="D161" s="14" t="str">
        <x:v>Khung SMS và quản trị an toàn</x:v>
      </x:c>
      <x:c r="E161" s="14" t="str">
        <x:v>Danh mục dữ liệu nhạy cảm; quy trình cấp quyền; nhật ký truy cập/cung cấp; phê duyệt theo thẩm quyền.</x:v>
      </x:c>
      <x:c r="F161" s="14" t="str">
        <x:v>Quy trình/SOP</x:v>
      </x:c>
      <x:c r="G161" s="14" t="str">
        <x:v>Ban An toàn - Chất lượng</x:v>
      </x:c>
      <x:c r="H161" s="14" t="str"/>
      <x:c r="I161" s="58" t="str"/>
      <x:c r="J161" s="58" t="str"/>
      <x:c r="K161" s="14" t="str"/>
      <x:c r="L161" s="14" t="str">
        <x:v>Chưa có</x:v>
      </x:c>
      <x:c r="M161" s="14" t="str">
        <x:v>Theo dõi và cập nhật link/chỉ dẫn hồ sơ sau khi có bằng chứng.</x:v>
      </x:c>
    </x:row>
    <x:row r="162">
      <x:c r="A162" s="14" t="str">
        <x:v>EVID-0161</x:v>
      </x:c>
      <x:c r="B162" s="14" t="str">
        <x:v>VATM-0161</x:v>
      </x:c>
      <x:c r="C162" s="14" t="str">
        <x:v>An toàn hàng không / SMS</x:v>
      </x:c>
      <x:c r="D162" s="14" t="str">
        <x:v>Khung SMS và quản trị an toàn</x:v>
      </x:c>
      <x:c r="E162" s="14" t="str">
        <x:v>Cơ sở dữ liệu an toàn; quy trình chia sẻ; hồ sơ trả lời yêu cầu Cục HKVN; bản tin/khuyến cáo nội bộ.</x:v>
      </x:c>
      <x:c r="F162" s="14" t="str">
        <x:v>Quy trình/SOP</x:v>
      </x:c>
      <x:c r="G162" s="14" t="str">
        <x:v>Ban An toàn - Chất lượng</x:v>
      </x:c>
      <x:c r="H162" s="14" t="str"/>
      <x:c r="I162" s="58" t="str"/>
      <x:c r="J162" s="58" t="str"/>
      <x:c r="K162" s="14" t="str"/>
      <x:c r="L162" s="14" t="str">
        <x:v>Chưa có</x:v>
      </x:c>
      <x:c r="M162" s="14" t="str">
        <x:v>Theo dõi và cập nhật link/chỉ dẫn hồ sơ sau khi có bằng chứng.</x:v>
      </x:c>
    </x:row>
    <x:row r="163">
      <x:c r="A163" s="14" t="str">
        <x:v>EVID-0162</x:v>
      </x:c>
      <x:c r="B163" s="14" t="str">
        <x:v>VATM-0162</x:v>
      </x:c>
      <x:c r="C163" s="14" t="str">
        <x:v>An toàn hàng không / SMS</x:v>
      </x:c>
      <x:c r="D163" s="14" t="str">
        <x:v>Báo cáo MOR, sự cố và điều tra</x:v>
      </x:c>
      <x:c r="E163" s="14" t="str">
        <x:v>Hồ sơ tham gia chương trình, hội nghị, sáng kiến; báo cáo rút kinh nghiệm/áp dụng.</x:v>
      </x:c>
      <x:c r="F163" s="14" t="str">
        <x:v>Báo cáo</x:v>
      </x:c>
      <x:c r="G163" s="14" t="str">
        <x:v>Ban An toàn - Chất lượng</x:v>
      </x:c>
      <x:c r="H163" s="14" t="str"/>
      <x:c r="I163" s="58" t="str"/>
      <x:c r="J163" s="58" t="str"/>
      <x:c r="K163" s="14" t="str"/>
      <x:c r="L163" s="14" t="str">
        <x:v>Chưa có</x:v>
      </x:c>
      <x:c r="M163" s="14" t="str">
        <x:v>Theo dõi và cập nhật link/chỉ dẫn hồ sơ sau khi có bằng chứng.</x:v>
      </x:c>
    </x:row>
    <x:row r="164">
      <x:c r="A164" s="14" t="str">
        <x:v>EVID-0163</x:v>
      </x:c>
      <x:c r="B164" s="14" t="str">
        <x:v>VATM-0163</x:v>
      </x:c>
      <x:c r="C164" s="14" t="str">
        <x:v>An toàn hàng không / SMS</x:v>
      </x:c>
      <x:c r="D164" s="14" t="str">
        <x:v>Báo cáo MOR, sự cố và điều tra</x:v>
      </x:c>
      <x:c r="E164" s="14" t="str">
        <x:v>Quy trình báo cáo; kênh tiếp nhận/gửi Cục HKVN; biểu mẫu; cơ sở dữ liệu báo cáo; phân quyền xử lý.</x:v>
      </x:c>
      <x:c r="F164" s="14" t="str">
        <x:v>Quy trình/SOP</x:v>
      </x:c>
      <x:c r="G164" s="14" t="str">
        <x:v>Ban An toàn - Chất lượng</x:v>
      </x:c>
      <x:c r="H164" s="14" t="str"/>
      <x:c r="I164" s="58" t="str"/>
      <x:c r="J164" s="58" t="str"/>
      <x:c r="K164" s="14" t="str"/>
      <x:c r="L164" s="14" t="str">
        <x:v>Chưa có</x:v>
      </x:c>
      <x:c r="M164" s="14" t="str">
        <x:v>Theo dõi và cập nhật link/chỉ dẫn hồ sơ sau khi có bằng chứng.</x:v>
      </x:c>
    </x:row>
    <x:row r="165">
      <x:c r="A165" s="14" t="str">
        <x:v>EVID-0164</x:v>
      </x:c>
      <x:c r="B165" s="14" t="str">
        <x:v>VATM-0164</x:v>
      </x:c>
      <x:c r="C165" s="14" t="str">
        <x:v>An toàn hàng không / SMS</x:v>
      </x:c>
      <x:c r="D165" s="14" t="str">
        <x:v>Báo cáo MOR, sự cố và điều tra</x:v>
      </x:c>
      <x:c r="E165" s="14" t="str">
        <x:v>Quy chuẩn dữ liệu nội bộ; mã hóa danh mục sự cố; giao diện/kênh gửi dữ liệu; kiểm soát chất lượng dữ liệu.</x:v>
      </x:c>
      <x:c r="F165" s="14" t="str">
        <x:v>Dữ liệu hệ thống</x:v>
      </x:c>
      <x:c r="G165" s="14" t="str">
        <x:v>Ban An toàn - Chất lượng</x:v>
      </x:c>
      <x:c r="H165" s="14" t="str"/>
      <x:c r="I165" s="58" t="str"/>
      <x:c r="J165" s="58" t="str"/>
      <x:c r="K165" s="14" t="str"/>
      <x:c r="L165" s="14" t="str">
        <x:v>Chưa có</x:v>
      </x:c>
      <x:c r="M165" s="14" t="str">
        <x:v>Theo dõi và cập nhật link/chỉ dẫn hồ sơ sau khi có bằng chứng.</x:v>
      </x:c>
    </x:row>
    <x:row r="166">
      <x:c r="A166" s="14" t="str">
        <x:v>EVID-0165</x:v>
      </x:c>
      <x:c r="B166" s="14" t="str">
        <x:v>VATM-0165</x:v>
      </x:c>
      <x:c r="C166" s="14" t="str">
        <x:v>An toàn hàng không / SMS</x:v>
      </x:c>
      <x:c r="D166" s="14" t="str">
        <x:v>Báo cáo MOR, sự cố và điều tra</x:v>
      </x:c>
      <x:c r="E166" s="14" t="str">
        <x:v>Thông báo ban đầu/initial notification; nhật ký liên lạc; thông tin tối thiểu theo quy định.</x:v>
      </x:c>
      <x:c r="F166" s="14" t="str">
        <x:v>Biên bản/nhật ký/log</x:v>
      </x:c>
      <x:c r="G166" s="14" t="str">
        <x:v>Ban An toàn - Chất lượng</x:v>
      </x:c>
      <x:c r="H166" s="14" t="str"/>
      <x:c r="I166" s="58" t="str"/>
      <x:c r="J166" s="58" t="str"/>
      <x:c r="K166" s="14" t="str"/>
      <x:c r="L166" s="14" t="str">
        <x:v>Chưa có</x:v>
      </x:c>
      <x:c r="M166" s="14" t="str">
        <x:v>Theo dõi và cập nhật link/chỉ dẫn hồ sơ sau khi có bằng chứng.</x:v>
      </x:c>
    </x:row>
    <x:row r="167">
      <x:c r="A167" s="14" t="str">
        <x:v>EVID-0166</x:v>
      </x:c>
      <x:c r="B167" s="14" t="str">
        <x:v>VATM-0166</x:v>
      </x:c>
      <x:c r="C167" s="14" t="str">
        <x:v>An toàn hàng không / SMS</x:v>
      </x:c>
      <x:c r="D167" s="14" t="str">
        <x:v>Báo cáo MOR, sự cố và điều tra</x:v>
      </x:c>
      <x:c r="E167" s="14" t="str">
        <x:v>Báo cáo MOR; bằng chứng gửi/nhận; hồ sơ phân loại 24h/72h.</x:v>
      </x:c>
      <x:c r="F167" s="14" t="str">
        <x:v>Báo cáo</x:v>
      </x:c>
      <x:c r="G167" s="14" t="str">
        <x:v>Ban An toàn - Chất lượng</x:v>
      </x:c>
      <x:c r="H167" s="14" t="str"/>
      <x:c r="I167" s="58" t="str"/>
      <x:c r="J167" s="58" t="str"/>
      <x:c r="K167" s="14" t="str"/>
      <x:c r="L167" s="14" t="str">
        <x:v>Chưa có</x:v>
      </x:c>
      <x:c r="M167" s="14" t="str">
        <x:v>Theo dõi và cập nhật link/chỉ dẫn hồ sơ sau khi có bằng chứng.</x:v>
      </x:c>
    </x:row>
    <x:row r="168">
      <x:c r="A168" s="14" t="str">
        <x:v>EVID-0167</x:v>
      </x:c>
      <x:c r="B168" s="14" t="str">
        <x:v>VATM-0167</x:v>
      </x:c>
      <x:c r="C168" s="14" t="str">
        <x:v>An toàn hàng không / SMS</x:v>
      </x:c>
      <x:c r="D168" s="14" t="str">
        <x:v>Báo cáo MOR, sự cố và điều tra</x:v>
      </x:c>
      <x:c r="E168" s="14" t="str">
        <x:v>Báo cáo điều tra/xác minh; root cause; CAPA; phê duyệt; hồ sơ xin gia hạn nếu có.</x:v>
      </x:c>
      <x:c r="F168" s="14" t="str">
        <x:v>Báo cáo</x:v>
      </x:c>
      <x:c r="G168" s="14" t="str">
        <x:v>Ban An toàn - Chất lượng</x:v>
      </x:c>
      <x:c r="H168" s="14" t="str"/>
      <x:c r="I168" s="58" t="str"/>
      <x:c r="J168" s="58" t="str"/>
      <x:c r="K168" s="14" t="str"/>
      <x:c r="L168" s="14" t="str">
        <x:v>Chưa có</x:v>
      </x:c>
      <x:c r="M168" s="14" t="str">
        <x:v>Theo dõi và cập nhật link/chỉ dẫn hồ sơ sau khi có bằng chứng.</x:v>
      </x:c>
    </x:row>
    <x:row r="169">
      <x:c r="A169" s="14" t="str">
        <x:v>EVID-0168</x:v>
      </x:c>
      <x:c r="B169" s="14" t="str">
        <x:v>VATM-0168</x:v>
      </x:c>
      <x:c r="C169" s="14" t="str">
        <x:v>An toàn hàng không / SMS</x:v>
      </x:c>
      <x:c r="D169" s="14" t="str">
        <x:v>Báo cáo MOR, sự cố và điều tra</x:v>
      </x:c>
      <x:c r="E169" s="14" t="str">
        <x:v>Bộ mẫu MOR; hướng dẫn điền; phân loại sự cố; bằng chứng gửi báo cáo.</x:v>
      </x:c>
      <x:c r="F169" s="14" t="str">
        <x:v>Quy trình/SOP</x:v>
      </x:c>
      <x:c r="G169" s="14" t="str">
        <x:v>Ban An toàn - Chất lượng</x:v>
      </x:c>
      <x:c r="H169" s="14" t="str"/>
      <x:c r="I169" s="58" t="str"/>
      <x:c r="J169" s="58" t="str"/>
      <x:c r="K169" s="14" t="str"/>
      <x:c r="L169" s="14" t="str">
        <x:v>Chưa có</x:v>
      </x:c>
      <x:c r="M169" s="14" t="str">
        <x:v>Theo dõi và cập nhật link/chỉ dẫn hồ sơ sau khi có bằng chứng.</x:v>
      </x:c>
    </x:row>
    <x:row r="170">
      <x:c r="A170" s="14" t="str">
        <x:v>EVID-0169</x:v>
      </x:c>
      <x:c r="B170" s="14" t="str">
        <x:v>VATM-0169</x:v>
      </x:c>
      <x:c r="C170" s="14" t="str">
        <x:v>An toàn hàng không / SMS</x:v>
      </x:c>
      <x:c r="D170" s="14" t="str">
        <x:v>Báo cáo MOR, sự cố và điều tra</x:v>
      </x:c>
      <x:c r="E170" s="14" t="str">
        <x:v>Thông báo cho người khai thác cảng/bãi cất hạ cánh; báo cáo Cảng vụ; nhật ký cung cấp thông tin.</x:v>
      </x:c>
      <x:c r="F170" s="14" t="str">
        <x:v>Báo cáo</x:v>
      </x:c>
      <x:c r="G170" s="14" t="str">
        <x:v>Ban An toàn - Chất lượng</x:v>
      </x:c>
      <x:c r="H170" s="14" t="str"/>
      <x:c r="I170" s="58" t="str"/>
      <x:c r="J170" s="58" t="str"/>
      <x:c r="K170" s="14" t="str"/>
      <x:c r="L170" s="14" t="str">
        <x:v>Chưa có</x:v>
      </x:c>
      <x:c r="M170" s="14" t="str">
        <x:v>Theo dõi và cập nhật link/chỉ dẫn hồ sơ sau khi có bằng chứng.</x:v>
      </x:c>
    </x:row>
    <x:row r="171">
      <x:c r="A171" s="14" t="str">
        <x:v>EVID-0170</x:v>
      </x:c>
      <x:c r="B171" s="14" t="str">
        <x:v>VATM-0170</x:v>
      </x:c>
      <x:c r="C171" s="14" t="str">
        <x:v>An toàn hàng không / SMS</x:v>
      </x:c>
      <x:c r="D171" s="14" t="str">
        <x:v>Chính sách, mục tiêu và văn hóa an toàn</x:v>
      </x:c>
      <x:c r="E171" s="14" t="str">
        <x:v>Kênh báo cáo tự nguyện; truyền thông chính sách; hướng dẫn bảo vệ người báo cáo.</x:v>
      </x:c>
      <x:c r="F171" s="14" t="str">
        <x:v>Quy trình/SOP</x:v>
      </x:c>
      <x:c r="G171" s="14" t="str">
        <x:v>Ban An toàn - Chất lượng</x:v>
      </x:c>
      <x:c r="H171" s="14" t="str"/>
      <x:c r="I171" s="58" t="str"/>
      <x:c r="J171" s="58" t="str"/>
      <x:c r="K171" s="14" t="str"/>
      <x:c r="L171" s="14" t="str">
        <x:v>Chưa có</x:v>
      </x:c>
      <x:c r="M171" s="14" t="str">
        <x:v>Theo dõi và cập nhật link/chỉ dẫn hồ sơ sau khi có bằng chứng.</x:v>
      </x:c>
    </x:row>
    <x:row r="172">
      <x:c r="A172" s="14" t="str">
        <x:v>EVID-0171</x:v>
      </x:c>
      <x:c r="B172" s="14" t="str">
        <x:v>VATM-0171</x:v>
      </x:c>
      <x:c r="C172" s="14" t="str">
        <x:v>An toàn hàng không / SMS</x:v>
      </x:c>
      <x:c r="D172" s="14" t="str">
        <x:v>Báo cáo MOR, sự cố và điều tra</x:v>
      </x:c>
      <x:c r="E172" s="14" t="str">
        <x:v>Quy trình rà soát/xác minh; lưu vết chỉnh sửa; xác nhận người báo cáo/tổ chức.</x:v>
      </x:c>
      <x:c r="F172" s="14" t="str">
        <x:v>Quy trình/SOP</x:v>
      </x:c>
      <x:c r="G172" s="14" t="str">
        <x:v>Ban An toàn - Chất lượng</x:v>
      </x:c>
      <x:c r="H172" s="14" t="str"/>
      <x:c r="I172" s="58" t="str"/>
      <x:c r="J172" s="58" t="str"/>
      <x:c r="K172" s="14" t="str"/>
      <x:c r="L172" s="14" t="str">
        <x:v>Chưa có</x:v>
      </x:c>
      <x:c r="M172" s="14" t="str">
        <x:v>Theo dõi và cập nhật link/chỉ dẫn hồ sơ sau khi có bằng chứng.</x:v>
      </x:c>
    </x:row>
    <x:row r="173">
      <x:c r="A173" s="14" t="str">
        <x:v>EVID-0172</x:v>
      </x:c>
      <x:c r="B173" s="14" t="str">
        <x:v>VATM-0172</x:v>
      </x:c>
      <x:c r="C173" s="14" t="str">
        <x:v>An toàn hàng không / SMS</x:v>
      </x:c>
      <x:c r="D173" s="14" t="str">
        <x:v>Báo cáo MOR, sự cố và điều tra</x:v>
      </x:c>
      <x:c r="E173" s="14" t="str">
        <x:v>Quy trình và cơ sở dữ liệu báo cáo tự nguyện; taxonomy phân loại; quy định lưu trữ.</x:v>
      </x:c>
      <x:c r="F173" s="14" t="str">
        <x:v>Quy trình/SOP</x:v>
      </x:c>
      <x:c r="G173" s="14" t="str">
        <x:v>Ban An toàn - Chất lượng</x:v>
      </x:c>
      <x:c r="H173" s="14" t="str"/>
      <x:c r="I173" s="58" t="str"/>
      <x:c r="J173" s="58" t="str"/>
      <x:c r="K173" s="14" t="str"/>
      <x:c r="L173" s="14" t="str">
        <x:v>Chưa có</x:v>
      </x:c>
      <x:c r="M173" s="14" t="str">
        <x:v>Theo dõi và cập nhật link/chỉ dẫn hồ sơ sau khi có bằng chứng.</x:v>
      </x:c>
    </x:row>
    <x:row r="174">
      <x:c r="A174" s="14" t="str">
        <x:v>EVID-0173</x:v>
      </x:c>
      <x:c r="B174" s="14" t="str">
        <x:v>VATM-0173</x:v>
      </x:c>
      <x:c r="C174" s="14" t="str">
        <x:v>An toàn hàng không / SMS</x:v>
      </x:c>
      <x:c r="D174" s="14" t="str">
        <x:v>Báo cáo MOR, sự cố và điều tra</x:v>
      </x:c>
      <x:c r="E174" s="14" t="str">
        <x:v>Quy chế bảo mật; phân quyền; nhật ký truy cập; cơ chế ẩn danh/giả danh nếu phù hợp.</x:v>
      </x:c>
      <x:c r="F174" s="14" t="str">
        <x:v>Quy trình/SOP</x:v>
      </x:c>
      <x:c r="G174" s="14" t="str">
        <x:v>Ban An toàn - Chất lượng</x:v>
      </x:c>
      <x:c r="H174" s="14" t="str"/>
      <x:c r="I174" s="58" t="str"/>
      <x:c r="J174" s="58" t="str"/>
      <x:c r="K174" s="14" t="str"/>
      <x:c r="L174" s="14" t="str">
        <x:v>Chưa có</x:v>
      </x:c>
      <x:c r="M174" s="14" t="str">
        <x:v>Theo dõi và cập nhật link/chỉ dẫn hồ sơ sau khi có bằng chứng.</x:v>
      </x:c>
    </x:row>
    <x:row r="175">
      <x:c r="A175" s="14" t="str">
        <x:v>EVID-0174</x:v>
      </x:c>
      <x:c r="B175" s="14" t="str">
        <x:v>VATM-0174</x:v>
      </x:c>
      <x:c r="C175" s="14" t="str">
        <x:v>An toàn hàng không / SMS</x:v>
      </x:c>
      <x:c r="D175" s="14" t="str">
        <x:v>Quản lý rủi ro và thay đổi</x:v>
      </x:c>
      <x:c r="E175" s="14" t="str">
        <x:v>Báo cáo phân tích; cập nhật hazard register; hành động phòng ngừa.</x:v>
      </x:c>
      <x:c r="F175" s="14" t="str">
        <x:v>Báo cáo</x:v>
      </x:c>
      <x:c r="G175" s="14" t="str">
        <x:v>Ban An toàn - Chất lượng</x:v>
      </x:c>
      <x:c r="H175" s="14" t="str"/>
      <x:c r="I175" s="58" t="str"/>
      <x:c r="J175" s="58" t="str"/>
      <x:c r="K175" s="14" t="str"/>
      <x:c r="L175" s="14" t="str">
        <x:v>Chưa có</x:v>
      </x:c>
      <x:c r="M175" s="14" t="str">
        <x:v>Theo dõi và cập nhật link/chỉ dẫn hồ sơ sau khi có bằng chứng.</x:v>
      </x:c>
    </x:row>
    <x:row r="176">
      <x:c r="A176" s="14" t="str">
        <x:v>EVID-0175</x:v>
      </x:c>
      <x:c r="B176" s="14" t="str">
        <x:v>VATM-0175</x:v>
      </x:c>
      <x:c r="C176" s="14" t="str">
        <x:v>An toàn hàng không / SMS</x:v>
      </x:c>
      <x:c r="D176" s="14" t="str">
        <x:v>Chính sách, mục tiêu và văn hóa an toàn</x:v>
      </x:c>
      <x:c r="E176" s="14" t="str">
        <x:v>Chương trình truyền thông; chính sách khuyến khích; phản hồi cho người báo cáo; bài học kinh nghiệm.</x:v>
      </x:c>
      <x:c r="F176" s="14" t="str">
        <x:v>Báo cáo</x:v>
      </x:c>
      <x:c r="G176" s="14" t="str">
        <x:v>Ban An toàn - Chất lượng</x:v>
      </x:c>
      <x:c r="H176" s="14" t="str"/>
      <x:c r="I176" s="58" t="str"/>
      <x:c r="J176" s="58" t="str"/>
      <x:c r="K176" s="14" t="str"/>
      <x:c r="L176" s="14" t="str">
        <x:v>Chưa có</x:v>
      </x:c>
      <x:c r="M176" s="14" t="str">
        <x:v>Theo dõi và cập nhật link/chỉ dẫn hồ sơ sau khi có bằng chứng.</x:v>
      </x:c>
    </x:row>
    <x:row r="177">
      <x:c r="A177" s="14" t="str">
        <x:v>EVID-0176</x:v>
      </x:c>
      <x:c r="B177" s="14" t="str">
        <x:v>VATM-0176</x:v>
      </x:c>
      <x:c r="C177" s="14" t="str">
        <x:v>An toàn hàng không / SMS</x:v>
      </x:c>
      <x:c r="D177" s="14" t="str">
        <x:v>Chính sách, mục tiêu và văn hóa an toàn</x:v>
      </x:c>
      <x:c r="E177" s="14" t="str">
        <x:v>Hồ sơ giảng bình; báo cáo điều tra/xác minh; biện pháp phòng ngừa/ngăn chặn.</x:v>
      </x:c>
      <x:c r="F177" s="14" t="str">
        <x:v>Báo cáo</x:v>
      </x:c>
      <x:c r="G177" s="14" t="str">
        <x:v>Ban An toàn - Chất lượng</x:v>
      </x:c>
      <x:c r="H177" s="14" t="str"/>
      <x:c r="I177" s="58" t="str"/>
      <x:c r="J177" s="58" t="str"/>
      <x:c r="K177" s="14" t="str"/>
      <x:c r="L177" s="14" t="str">
        <x:v>Chưa có</x:v>
      </x:c>
      <x:c r="M177" s="14" t="str">
        <x:v>Theo dõi và cập nhật link/chỉ dẫn hồ sơ sau khi có bằng chứng.</x:v>
      </x:c>
    </x:row>
    <x:row r="178">
      <x:c r="A178" s="14" t="str">
        <x:v>EVID-0177</x:v>
      </x:c>
      <x:c r="B178" s="14" t="str">
        <x:v>VATM-0177</x:v>
      </x:c>
      <x:c r="C178" s="14" t="str">
        <x:v>An toàn hàng không / SMS</x:v>
      </x:c>
      <x:c r="D178" s="14" t="str">
        <x:v>Báo cáo MOR, sự cố và điều tra</x:v>
      </x:c>
      <x:c r="E178" s="14" t="str">
        <x:v>Bộ báo cáo hoàn chỉnh gửi Cục HKVN.</x:v>
      </x:c>
      <x:c r="F178" s="14" t="str">
        <x:v>Báo cáo</x:v>
      </x:c>
      <x:c r="G178" s="14" t="str">
        <x:v>Ban An toàn - Chất lượng</x:v>
      </x:c>
      <x:c r="H178" s="14" t="str"/>
      <x:c r="I178" s="58" t="str"/>
      <x:c r="J178" s="58" t="str"/>
      <x:c r="K178" s="14" t="str"/>
      <x:c r="L178" s="14" t="str">
        <x:v>Chưa có</x:v>
      </x:c>
      <x:c r="M178" s="14" t="str">
        <x:v>Theo dõi và cập nhật link/chỉ dẫn hồ sơ sau khi có bằng chứng.</x:v>
      </x:c>
    </x:row>
    <x:row r="179">
      <x:c r="A179" s="14" t="str">
        <x:v>EVID-0178</x:v>
      </x:c>
      <x:c r="B179" s="14" t="str">
        <x:v>VATM-0178</x:v>
      </x:c>
      <x:c r="C179" s="14" t="str">
        <x:v>An toàn hàng không / SMS</x:v>
      </x:c>
      <x:c r="D179" s="14" t="str">
        <x:v>Báo cáo MOR, sự cố và điều tra</x:v>
      </x:c>
      <x:c r="E179" s="14" t="str">
        <x:v>Văn bản phê duyệt/ký số; ủy quyền hợp lệ; bản lưu báo cáo.</x:v>
      </x:c>
      <x:c r="F179" s="14" t="str">
        <x:v>Báo cáo</x:v>
      </x:c>
      <x:c r="G179" s="14" t="str">
        <x:v>Ban An toàn - Chất lượng</x:v>
      </x:c>
      <x:c r="H179" s="14" t="str"/>
      <x:c r="I179" s="58" t="str"/>
      <x:c r="J179" s="58" t="str"/>
      <x:c r="K179" s="14" t="str"/>
      <x:c r="L179" s="14" t="str">
        <x:v>Chưa có</x:v>
      </x:c>
      <x:c r="M179" s="14" t="str">
        <x:v>Theo dõi và cập nhật link/chỉ dẫn hồ sơ sau khi có bằng chứng.</x:v>
      </x:c>
    </x:row>
    <x:row r="180">
      <x:c r="A180" s="14" t="str">
        <x:v>EVID-0179</x:v>
      </x:c>
      <x:c r="B180" s="14" t="str">
        <x:v>VATM-0179</x:v>
      </x:c>
      <x:c r="C180" s="14" t="str">
        <x:v>An toàn hàng không / SMS</x:v>
      </x:c>
      <x:c r="D180" s="14" t="str">
        <x:v>Báo cáo MOR, sự cố và điều tra</x:v>
      </x:c>
      <x:c r="E180" s="14" t="str">
        <x:v>Báo cáo định kỳ theo mẫu/nội dung yêu cầu; bằng chứng gửi/nhận.</x:v>
      </x:c>
      <x:c r="F180" s="14" t="str">
        <x:v>Biểu mẫu/Checklist</x:v>
      </x:c>
      <x:c r="G180" s="14" t="str">
        <x:v>Ban An toàn - Chất lượng</x:v>
      </x:c>
      <x:c r="H180" s="14" t="str"/>
      <x:c r="I180" s="58" t="str"/>
      <x:c r="J180" s="58" t="str"/>
      <x:c r="K180" s="14" t="str"/>
      <x:c r="L180" s="14" t="str">
        <x:v>Chưa có</x:v>
      </x:c>
      <x:c r="M180" s="14" t="str">
        <x:v>Theo dõi và cập nhật link/chỉ dẫn hồ sơ sau khi có bằng chứng.</x:v>
      </x:c>
    </x:row>
    <x:row r="181">
      <x:c r="A181" s="14" t="str">
        <x:v>EVID-0180</x:v>
      </x:c>
      <x:c r="B181" s="14" t="str">
        <x:v>VATM-0180</x:v>
      </x:c>
      <x:c r="C181" s="14" t="str">
        <x:v>An toàn hàng không / SMS</x:v>
      </x:c>
      <x:c r="D181" s="14" t="str">
        <x:v>Chính sách, mục tiêu và văn hóa an toàn</x:v>
      </x:c>
      <x:c r="E181" s="14" t="str">
        <x:v>Báo cáo tháng/quý có các mục bắt buộc; dữ liệu hỗ trợ.</x:v>
      </x:c>
      <x:c r="F181" s="14" t="str">
        <x:v>Báo cáo</x:v>
      </x:c>
      <x:c r="G181" s="14" t="str">
        <x:v>Ban An toàn - Chất lượng</x:v>
      </x:c>
      <x:c r="H181" s="14" t="str"/>
      <x:c r="I181" s="58" t="str"/>
      <x:c r="J181" s="58" t="str"/>
      <x:c r="K181" s="14" t="str"/>
      <x:c r="L181" s="14" t="str">
        <x:v>Chưa có</x:v>
      </x:c>
      <x:c r="M181" s="14" t="str">
        <x:v>Theo dõi và cập nhật link/chỉ dẫn hồ sơ sau khi có bằng chứng.</x:v>
      </x:c>
    </x:row>
    <x:row r="182">
      <x:c r="A182" s="14" t="str">
        <x:v>EVID-0181</x:v>
      </x:c>
      <x:c r="B182" s="14" t="str">
        <x:v>VATM-0181</x:v>
      </x:c>
      <x:c r="C182" s="14" t="str">
        <x:v>An toàn hàng không / SMS</x:v>
      </x:c>
      <x:c r="D182" s="14" t="str">
        <x:v>Chính sách, mục tiêu và văn hóa an toàn</x:v>
      </x:c>
      <x:c r="E182" s="14" t="str">
        <x:v>Báo cáo an toàn năm; đánh giá SPT; hazard register đầy đủ; kế hoạch mục tiêu năm sau.</x:v>
      </x:c>
      <x:c r="F182" s="14" t="str">
        <x:v>Quyết định/Kế hoạch</x:v>
      </x:c>
      <x:c r="G182" s="14" t="str">
        <x:v>Ban An toàn - Chất lượng</x:v>
      </x:c>
      <x:c r="H182" s="14" t="str"/>
      <x:c r="I182" s="58" t="str"/>
      <x:c r="J182" s="58" t="str"/>
      <x:c r="K182" s="14" t="str"/>
      <x:c r="L182" s="14" t="str">
        <x:v>Chưa có</x:v>
      </x:c>
      <x:c r="M182" s="14" t="str">
        <x:v>Theo dõi và cập nhật link/chỉ dẫn hồ sơ sau khi có bằng chứng.</x:v>
      </x:c>
    </x:row>
    <x:row r="183">
      <x:c r="A183" s="14" t="str">
        <x:v>EVID-0182</x:v>
      </x:c>
      <x:c r="B183" s="14" t="str">
        <x:v>VATM-0182</x:v>
      </x:c>
      <x:c r="C183" s="14" t="str">
        <x:v>An toàn hàng không / SMS</x:v>
      </x:c>
      <x:c r="D183" s="14" t="str">
        <x:v>Quản lý rủi ro và thay đổi</x:v>
      </x:c>
      <x:c r="E183" s="14" t="str">
        <x:v>Báo cáo vụ việc 72h; phân loại; dữ liệu thống kê; cập nhật mối nguy nếu cần.</x:v>
      </x:c>
      <x:c r="F183" s="14" t="str">
        <x:v>Báo cáo</x:v>
      </x:c>
      <x:c r="G183" s="14" t="str">
        <x:v>Ban An toàn - Chất lượng</x:v>
      </x:c>
      <x:c r="H183" s="14" t="str"/>
      <x:c r="I183" s="58" t="str"/>
      <x:c r="J183" s="58" t="str"/>
      <x:c r="K183" s="14" t="str"/>
      <x:c r="L183" s="14" t="str">
        <x:v>Chưa có</x:v>
      </x:c>
      <x:c r="M183" s="14" t="str">
        <x:v>Theo dõi và cập nhật link/chỉ dẫn hồ sơ sau khi có bằng chứng.</x:v>
      </x:c>
    </x:row>
    <x:row r="184">
      <x:c r="A184" s="14" t="str">
        <x:v>EVID-0183</x:v>
      </x:c>
      <x:c r="B184" s="14" t="str">
        <x:v>VATM-0183</x:v>
      </x:c>
      <x:c r="C184" s="14" t="str">
        <x:v>An toàn hàng không / SMS</x:v>
      </x:c>
      <x:c r="D184" s="14" t="str">
        <x:v>Báo cáo MOR, sự cố và điều tra</x:v>
      </x:c>
      <x:c r="E184" s="14" t="str">
        <x:v>Ma trận tuân thủ áp dụng cho toàn Tổng công ty và đơn vị trực thuộc; phân công đầu mối SMS/MOR.</x:v>
      </x:c>
      <x:c r="F184" s="14" t="str">
        <x:v>Khác</x:v>
      </x:c>
      <x:c r="G184" s="14" t="str">
        <x:v>Ban An toàn - Chất lượng</x:v>
      </x:c>
      <x:c r="H184" s="14" t="str"/>
      <x:c r="I184" s="58" t="str"/>
      <x:c r="J184" s="58" t="str"/>
      <x:c r="K184" s="14" t="str"/>
      <x:c r="L184" s="14" t="str">
        <x:v>Chưa có</x:v>
      </x:c>
      <x:c r="M184" s="14" t="str">
        <x:v>Theo dõi và cập nhật link/chỉ dẫn hồ sơ sau khi có bằng chứng.</x:v>
      </x:c>
    </x:row>
    <x:row r="185">
      <x:c r="A185" s="14" t="str">
        <x:v>EVID-0184</x:v>
      </x:c>
      <x:c r="B185" s="14" t="str">
        <x:v>VATM-0184</x:v>
      </x:c>
      <x:c r="C185" s="14" t="str">
        <x:v>An toàn hàng không / SMS</x:v>
      </x:c>
      <x:c r="D185" s="14" t="str">
        <x:v>Chính sách, mục tiêu và văn hóa an toàn</x:v>
      </x:c>
      <x:c r="E185" s="14" t="str">
        <x:v>SMS manual; quy trình nhận diện mối nguy, đánh giá rủi ro, quản lý thay đổi, đào tạo/truyền thông; hồ sơ SMS.</x:v>
      </x:c>
      <x:c r="F185" s="14" t="str">
        <x:v>Quy trình/SOP</x:v>
      </x:c>
      <x:c r="G185" s="14" t="str">
        <x:v>Ban An toàn - Chất lượng</x:v>
      </x:c>
      <x:c r="H185" s="14" t="str"/>
      <x:c r="I185" s="58" t="str"/>
      <x:c r="J185" s="58" t="str"/>
      <x:c r="K185" s="14" t="str"/>
      <x:c r="L185" s="14" t="str">
        <x:v>Chưa có</x:v>
      </x:c>
      <x:c r="M185" s="14" t="str">
        <x:v>Theo dõi và cập nhật link/chỉ dẫn hồ sơ sau khi có bằng chứng.</x:v>
      </x:c>
    </x:row>
    <x:row r="186">
      <x:c r="A186" s="14" t="str">
        <x:v>EVID-0185</x:v>
      </x:c>
      <x:c r="B186" s="14" t="str">
        <x:v>VATM-0185</x:v>
      </x:c>
      <x:c r="C186" s="14" t="str">
        <x:v>An toàn hàng không / SMS</x:v>
      </x:c>
      <x:c r="D186" s="14" t="str">
        <x:v>Chính sách, mục tiêu và văn hóa an toàn</x:v>
      </x:c>
      <x:c r="E186" s="14" t="str">
        <x:v>Chính sách an toàn ký bởi người đứng đầu; mục tiêu an toàn năm/giai đoạn; bằng chứng phổ biến và rà soát.</x:v>
      </x:c>
      <x:c r="F186" s="14" t="str">
        <x:v>Khác</x:v>
      </x:c>
      <x:c r="G186" s="14" t="str">
        <x:v>Ban An toàn - Chất lượng</x:v>
      </x:c>
      <x:c r="H186" s="14" t="str"/>
      <x:c r="I186" s="58" t="str"/>
      <x:c r="J186" s="58" t="str"/>
      <x:c r="K186" s="14" t="str"/>
      <x:c r="L186" s="14" t="str">
        <x:v>Chưa có</x:v>
      </x:c>
      <x:c r="M186" s="14" t="str">
        <x:v>Theo dõi và cập nhật link/chỉ dẫn hồ sơ sau khi có bằng chứng.</x:v>
      </x:c>
    </x:row>
    <x:row r="187">
      <x:c r="A187" s="14" t="str">
        <x:v>EVID-0186</x:v>
      </x:c>
      <x:c r="B187" s="14" t="str">
        <x:v>VATM-0186</x:v>
      </x:c>
      <x:c r="C187" s="14" t="str">
        <x:v>An toàn hàng không / SMS</x:v>
      </x:c>
      <x:c r="D187" s="14" t="str">
        <x:v>Quản lý rủi ro và thay đổi</x:v>
      </x:c>
      <x:c r="E187" s="14" t="str">
        <x:v>Quyết định/bản mô tả trách nhiệm; ma trận phân quyền rủi ro; quyết định bổ nhiệm safety manager; sơ đồ tổ chức SMS.</x:v>
      </x:c>
      <x:c r="F187" s="14" t="str">
        <x:v>Khác</x:v>
      </x:c>
      <x:c r="G187" s="14" t="str">
        <x:v>Ban An toàn - Chất lượng</x:v>
      </x:c>
      <x:c r="H187" s="14" t="str"/>
      <x:c r="I187" s="58" t="str"/>
      <x:c r="J187" s="58" t="str"/>
      <x:c r="K187" s="14" t="str"/>
      <x:c r="L187" s="14" t="str">
        <x:v>Chưa có</x:v>
      </x:c>
      <x:c r="M187" s="14" t="str">
        <x:v>Theo dõi và cập nhật link/chỉ dẫn hồ sơ sau khi có bằng chứng.</x:v>
      </x:c>
    </x:row>
    <x:row r="188">
      <x:c r="A188" s="14" t="str">
        <x:v>EVID-0187</x:v>
      </x:c>
      <x:c r="B188" s="14" t="str">
        <x:v>VATM-0187</x:v>
      </x:c>
      <x:c r="C188" s="14" t="str">
        <x:v>An toàn hàng không / SMS</x:v>
      </x:c>
      <x:c r="D188" s="14" t="str">
        <x:v>Báo cáo MOR, sự cố và điều tra</x:v>
      </x:c>
      <x:c r="E188" s="14" t="str">
        <x:v>Kế hoạch ERP; danh bạ liên lạc; kịch bản phối hợp; biên bản diễn tập/kiểm tra.</x:v>
      </x:c>
      <x:c r="F188" s="14" t="str">
        <x:v>Quyết định/Kế hoạch</x:v>
      </x:c>
      <x:c r="G188" s="14" t="str">
        <x:v>Ban An toàn - Chất lượng</x:v>
      </x:c>
      <x:c r="H188" s="14" t="str"/>
      <x:c r="I188" s="58" t="str"/>
      <x:c r="J188" s="58" t="str"/>
      <x:c r="K188" s="14" t="str"/>
      <x:c r="L188" s="14" t="str">
        <x:v>Chưa có</x:v>
      </x:c>
      <x:c r="M188" s="14" t="str">
        <x:v>Theo dõi và cập nhật link/chỉ dẫn hồ sơ sau khi có bằng chứng.</x:v>
      </x:c>
    </x:row>
    <x:row r="189">
      <x:c r="A189" s="14" t="str">
        <x:v>EVID-0188</x:v>
      </x:c>
      <x:c r="B189" s="14" t="str">
        <x:v>VATM-0188</x:v>
      </x:c>
      <x:c r="C189" s="14" t="str">
        <x:v>An toàn hàng không / SMS</x:v>
      </x:c>
      <x:c r="D189" s="14" t="str">
        <x:v>Chính sách, mục tiêu và văn hóa an toàn</x:v>
      </x:c>
      <x:c r="E189" s="14" t="str">
        <x:v>SMS manual; quy trình SMS; hồ sơ đánh giá rủi ro, hành động, đào tạo, truyền thông, thay đổi, họp an toàn.</x:v>
      </x:c>
      <x:c r="F189" s="14" t="str">
        <x:v>Quy trình/SOP</x:v>
      </x:c>
      <x:c r="G189" s="14" t="str">
        <x:v>Ban An toàn - Chất lượng</x:v>
      </x:c>
      <x:c r="H189" s="14" t="str"/>
      <x:c r="I189" s="58" t="str"/>
      <x:c r="J189" s="58" t="str"/>
      <x:c r="K189" s="14" t="str"/>
      <x:c r="L189" s="14" t="str">
        <x:v>Chưa có</x:v>
      </x:c>
      <x:c r="M189" s="14" t="str">
        <x:v>Theo dõi và cập nhật link/chỉ dẫn hồ sơ sau khi có bằng chứng.</x:v>
      </x:c>
    </x:row>
    <x:row r="190">
      <x:c r="A190" s="14" t="str">
        <x:v>EVID-0189</x:v>
      </x:c>
      <x:c r="B190" s="14" t="str">
        <x:v>VATM-0189</x:v>
      </x:c>
      <x:c r="C190" s="14" t="str">
        <x:v>An toàn hàng không / SMS</x:v>
      </x:c>
      <x:c r="D190" s="14" t="str">
        <x:v>Quản lý rủi ro và thay đổi</x:v>
      </x:c>
      <x:c r="E190" s="14" t="str">
        <x:v>Hazard register ANS; risk matrix; biện pháp kiểm soát; đánh giá hiệu quả; hồ sơ từ báo cáo bắt buộc/tự nguyện, giám sát và thay đổi.</x:v>
      </x:c>
      <x:c r="F190" s="14" t="str">
        <x:v>Báo cáo</x:v>
      </x:c>
      <x:c r="G190" s="14" t="str">
        <x:v>Ban An toàn - Chất lượng</x:v>
      </x:c>
      <x:c r="H190" s="14" t="str"/>
      <x:c r="I190" s="58" t="str"/>
      <x:c r="J190" s="58" t="str"/>
      <x:c r="K190" s="14" t="str"/>
      <x:c r="L190" s="14" t="str">
        <x:v>Chưa có</x:v>
      </x:c>
      <x:c r="M190" s="14" t="str">
        <x:v>Theo dõi và cập nhật link/chỉ dẫn hồ sơ sau khi có bằng chứng.</x:v>
      </x:c>
    </x:row>
    <x:row r="191">
      <x:c r="A191" s="14" t="str">
        <x:v>EVID-0190</x:v>
      </x:c>
      <x:c r="B191" s="14" t="str">
        <x:v>VATM-0190</x:v>
      </x:c>
      <x:c r="C191" s="14" t="str">
        <x:v>An toàn hàng không / SMS</x:v>
      </x:c>
      <x:c r="D191" s="14" t="str">
        <x:v>Quản lý rủi ro và thay đổi</x:v>
      </x:c>
      <x:c r="E191" s="14" t="str">
        <x:v>Change safety assessment; hồ sơ phê duyệt thay đổi; kế hoạch giảm thiểu; xác nhận sau triển khai.</x:v>
      </x:c>
      <x:c r="F191" s="14" t="str">
        <x:v>Quyết định/Kế hoạch</x:v>
      </x:c>
      <x:c r="G191" s="14" t="str">
        <x:v>Ban An toàn - Chất lượng</x:v>
      </x:c>
      <x:c r="H191" s="14" t="str"/>
      <x:c r="I191" s="58" t="str"/>
      <x:c r="J191" s="58" t="str"/>
      <x:c r="K191" s="14" t="str"/>
      <x:c r="L191" s="14" t="str">
        <x:v>Chưa có</x:v>
      </x:c>
      <x:c r="M191" s="14" t="str">
        <x:v>Theo dõi và cập nhật link/chỉ dẫn hồ sơ sau khi có bằng chứng.</x:v>
      </x:c>
    </x:row>
    <x:row r="192">
      <x:c r="A192" s="14" t="str">
        <x:v>EVID-0191</x:v>
      </x:c>
      <x:c r="B192" s="14" t="str">
        <x:v>VATM-0191</x:v>
      </x:c>
      <x:c r="C192" s="14" t="str">
        <x:v>An toàn hàng không / SMS</x:v>
      </x:c>
      <x:c r="D192" s="14" t="str">
        <x:v>Chính sách, mục tiêu và văn hóa an toàn</x:v>
      </x:c>
      <x:c r="E192" s="14" t="str">
        <x:v>Dashboard SPI/SPT; phân tích xu hướng; báo cáo hiệu quả biện pháp; kết quả kiểm tra/đánh giá nội bộ.</x:v>
      </x:c>
      <x:c r="F192" s="14" t="str">
        <x:v>Báo cáo</x:v>
      </x:c>
      <x:c r="G192" s="14" t="str">
        <x:v>Ban An toàn - Chất lượng</x:v>
      </x:c>
      <x:c r="H192" s="14" t="str"/>
      <x:c r="I192" s="58" t="str"/>
      <x:c r="J192" s="58" t="str"/>
      <x:c r="K192" s="14" t="str"/>
      <x:c r="L192" s="14" t="str">
        <x:v>Chưa có</x:v>
      </x:c>
      <x:c r="M192" s="14" t="str">
        <x:v>Theo dõi và cập nhật link/chỉ dẫn hồ sơ sau khi có bằng chứng.</x:v>
      </x:c>
    </x:row>
    <x:row r="193">
      <x:c r="A193" s="14" t="str">
        <x:v>EVID-0192</x:v>
      </x:c>
      <x:c r="B193" s="14" t="str">
        <x:v>VATM-0192</x:v>
      </x:c>
      <x:c r="C193" s="14" t="str">
        <x:v>An toàn hàng không / SMS</x:v>
      </x:c>
      <x:c r="D193" s="14" t="str">
        <x:v>Bảo đảm an toàn, giám sát và audit</x:v>
      </x:c>
      <x:c r="E193" s="14" t="str">
        <x:v>Kế hoạch cải tiến SMS; kết quả đánh giá nội bộ; bài học kinh nghiệm; hành động cải tiến.</x:v>
      </x:c>
      <x:c r="F193" s="14" t="str">
        <x:v>Quyết định/Kế hoạch</x:v>
      </x:c>
      <x:c r="G193" s="14" t="str">
        <x:v>Ban An toàn - Chất lượng</x:v>
      </x:c>
      <x:c r="H193" s="14" t="str"/>
      <x:c r="I193" s="58" t="str"/>
      <x:c r="J193" s="58" t="str"/>
      <x:c r="K193" s="14" t="str"/>
      <x:c r="L193" s="14" t="str">
        <x:v>Chưa có</x:v>
      </x:c>
      <x:c r="M193" s="14" t="str">
        <x:v>Theo dõi và cập nhật link/chỉ dẫn hồ sơ sau khi có bằng chứng.</x:v>
      </x:c>
    </x:row>
    <x:row r="194">
      <x:c r="A194" s="14" t="str">
        <x:v>EVID-0193</x:v>
      </x:c>
      <x:c r="B194" s="14" t="str">
        <x:v>VATM-0193</x:v>
      </x:c>
      <x:c r="C194" s="14" t="str">
        <x:v>An toàn hàng không / SMS</x:v>
      </x:c>
      <x:c r="D194" s="14" t="str">
        <x:v>Khung SMS và quản trị an toàn</x:v>
      </x:c>
      <x:c r="E194" s="14" t="str">
        <x:v>Ma trận năng lực SMS; chương trình đào tạo; hồ sơ hoàn thành; đánh giá sau đào tạo.</x:v>
      </x:c>
      <x:c r="F194" s="14" t="str">
        <x:v>Khác</x:v>
      </x:c>
      <x:c r="G194" s="14" t="str">
        <x:v>Ban An toàn - Chất lượng</x:v>
      </x:c>
      <x:c r="H194" s="14" t="str"/>
      <x:c r="I194" s="58" t="str"/>
      <x:c r="J194" s="58" t="str"/>
      <x:c r="K194" s="14" t="str"/>
      <x:c r="L194" s="14" t="str">
        <x:v>Chưa có</x:v>
      </x:c>
      <x:c r="M194" s="14" t="str">
        <x:v>Theo dõi và cập nhật link/chỉ dẫn hồ sơ sau khi có bằng chứng.</x:v>
      </x:c>
    </x:row>
    <x:row r="195">
      <x:c r="A195" s="14" t="str">
        <x:v>EVID-0194</x:v>
      </x:c>
      <x:c r="B195" s="14" t="str">
        <x:v>VATM-0194</x:v>
      </x:c>
      <x:c r="C195" s="14" t="str">
        <x:v>An toàn hàng không / SMS</x:v>
      </x:c>
      <x:c r="D195" s="14" t="str">
        <x:v>Khung SMS và quản trị an toàn</x:v>
      </x:c>
      <x:c r="E195" s="14" t="str">
        <x:v>Bản tin an toàn; safety notice; briefing; kênh nội bộ; hồ sơ xác nhận phổ biến.</x:v>
      </x:c>
      <x:c r="F195" s="14" t="str">
        <x:v>Khác</x:v>
      </x:c>
      <x:c r="G195" s="14" t="str">
        <x:v>Ban An toàn - Chất lượng</x:v>
      </x:c>
      <x:c r="H195" s="14" t="str"/>
      <x:c r="I195" s="58" t="str"/>
      <x:c r="J195" s="58" t="str"/>
      <x:c r="K195" s="14" t="str"/>
      <x:c r="L195" s="14" t="str">
        <x:v>Chưa có</x:v>
      </x:c>
      <x:c r="M195" s="14" t="str">
        <x:v>Theo dõi và cập nhật link/chỉ dẫn hồ sơ sau khi có bằng chứng.</x:v>
      </x:c>
    </x:row>
    <x:row r="196">
      <x:c r="A196" s="14" t="str">
        <x:v>EVID-0195</x:v>
      </x:c>
      <x:c r="B196" s="14" t="str">
        <x:v>VATM-0195</x:v>
      </x:c>
      <x:c r="C196" s="14" t="str">
        <x:v>An toàn hàng không / SMS</x:v>
      </x:c>
      <x:c r="D196" s="14" t="str">
        <x:v>Bảo đảm an toàn, giám sát và audit</x:v>
      </x:c>
      <x:c r="E196" s="14" t="str">
        <x:v>Quy định quản lý dữ liệu ghi âm/giám sát; phân quyền; log truy cập; quy trình cung cấp dữ liệu; hồ sơ yêu cầu/phê duyệt.</x:v>
      </x:c>
      <x:c r="F196" s="14" t="str">
        <x:v>Quy trình/SOP</x:v>
      </x:c>
      <x:c r="G196" s="14" t="str">
        <x:v>Ban An toàn - Chất lượng</x:v>
      </x:c>
      <x:c r="H196" s="14" t="str"/>
      <x:c r="I196" s="58" t="str"/>
      <x:c r="J196" s="58" t="str"/>
      <x:c r="K196" s="14" t="str"/>
      <x:c r="L196" s="14" t="str">
        <x:v>Chưa có</x:v>
      </x:c>
      <x:c r="M196" s="14" t="str">
        <x:v>Theo dõi và cập nhật link/chỉ dẫn hồ sơ sau khi có bằng chứng.</x:v>
      </x:c>
    </x:row>
    <x:row r="197">
      <x:c r="A197" s="14" t="str">
        <x:v>EVID-0196</x:v>
      </x:c>
      <x:c r="B197" s="14" t="str">
        <x:v>VATM-0196</x:v>
      </x:c>
      <x:c r="C197" s="14" t="str">
        <x:v>An toàn hàng không / SMS</x:v>
      </x:c>
      <x:c r="D197" s="14" t="str">
        <x:v>Báo cáo MOR, sự cố và điều tra</x:v>
      </x:c>
      <x:c r="E197" s="14" t="str">
        <x:v>Quy trình MOR/VOR/giảng bình/báo cáo định kỳ; cơ sở dữ liệu báo cáo; phân quyền xử lý; mẫu biểu.</x:v>
      </x:c>
      <x:c r="F197" s="14" t="str">
        <x:v>Quy trình/SOP</x:v>
      </x:c>
      <x:c r="G197" s="14" t="str">
        <x:v>Ban An toàn - Chất lượng</x:v>
      </x:c>
      <x:c r="H197" s="14" t="str"/>
      <x:c r="I197" s="58" t="str"/>
      <x:c r="J197" s="58" t="str"/>
      <x:c r="K197" s="14" t="str"/>
      <x:c r="L197" s="14" t="str">
        <x:v>Chưa có</x:v>
      </x:c>
      <x:c r="M197" s="14" t="str">
        <x:v>Theo dõi và cập nhật link/chỉ dẫn hồ sơ sau khi có bằng chứng.</x:v>
      </x:c>
    </x:row>
    <x:row r="198">
      <x:c r="A198" s="14" t="str">
        <x:v>EVID-0197</x:v>
      </x:c>
      <x:c r="B198" s="14" t="str">
        <x:v>VATM-0197</x:v>
      </x:c>
      <x:c r="C198" s="14" t="str">
        <x:v>An toàn hàng không / SMS</x:v>
      </x:c>
      <x:c r="D198" s="14" t="str">
        <x:v>Báo cáo MOR, sự cố và điều tra</x:v>
      </x:c>
      <x:c r="E198" s="14" t="str">
        <x:v>Báo cáo MOR; phân loại theo Mục 1-3; thông báo ban đầu; điều tra/xác minh nội bộ.</x:v>
      </x:c>
      <x:c r="F198" s="14" t="str">
        <x:v>Báo cáo</x:v>
      </x:c>
      <x:c r="G198" s="14" t="str">
        <x:v>Ban An toàn - Chất lượng</x:v>
      </x:c>
      <x:c r="H198" s="14" t="str"/>
      <x:c r="I198" s="58" t="str"/>
      <x:c r="J198" s="58" t="str"/>
      <x:c r="K198" s="14" t="str"/>
      <x:c r="L198" s="14" t="str">
        <x:v>Chưa có</x:v>
      </x:c>
      <x:c r="M198" s="14" t="str">
        <x:v>Theo dõi và cập nhật link/chỉ dẫn hồ sơ sau khi có bằng chứng.</x:v>
      </x:c>
    </x:row>
    <x:row r="199">
      <x:c r="A199" s="14" t="str">
        <x:v>EVID-0198</x:v>
      </x:c>
      <x:c r="B199" s="14" t="str">
        <x:v>VATM-0198</x:v>
      </x:c>
      <x:c r="C199" s="14" t="str">
        <x:v>An toàn hàng không / SMS</x:v>
      </x:c>
      <x:c r="D199" s="14" t="str">
        <x:v>Quản lý rủi ro và thay đổi</x:v>
      </x:c>
      <x:c r="E199" s="14" t="str">
        <x:v>Báo cáo vụ việc; dữ liệu thống kê; cập nhật hazard register nếu cần.</x:v>
      </x:c>
      <x:c r="F199" s="14" t="str">
        <x:v>Báo cáo</x:v>
      </x:c>
      <x:c r="G199" s="14" t="str">
        <x:v>Ban An toàn - Chất lượng</x:v>
      </x:c>
      <x:c r="H199" s="14" t="str"/>
      <x:c r="I199" s="58" t="str"/>
      <x:c r="J199" s="58" t="str"/>
      <x:c r="K199" s="14" t="str"/>
      <x:c r="L199" s="14" t="str">
        <x:v>Chưa có</x:v>
      </x:c>
      <x:c r="M199" s="14" t="str">
        <x:v>Theo dõi và cập nhật link/chỉ dẫn hồ sơ sau khi có bằng chứng.</x:v>
      </x:c>
    </x:row>
    <x:row r="200">
      <x:c r="A200" s="14" t="str">
        <x:v>EVID-0199</x:v>
      </x:c>
      <x:c r="B200" s="14" t="str">
        <x:v>VATM-0199</x:v>
      </x:c>
      <x:c r="C200" s="14" t="str">
        <x:v>An toàn hàng không / SMS</x:v>
      </x:c>
      <x:c r="D200" s="14" t="str">
        <x:v>Báo cáo MOR, sự cố và điều tra</x:v>
      </x:c>
      <x:c r="E200" s="14" t="str">
        <x:v>Bảng SPI; phương pháp tính; nguồn dữ liệu; trend; ngưỡng cảnh báo; hành động cải thiện.</x:v>
      </x:c>
      <x:c r="F200" s="14" t="str">
        <x:v>Dữ liệu hệ thống</x:v>
      </x:c>
      <x:c r="G200" s="14" t="str">
        <x:v>Ban An toàn - Chất lượng</x:v>
      </x:c>
      <x:c r="H200" s="14" t="str"/>
      <x:c r="I200" s="58" t="str"/>
      <x:c r="J200" s="58" t="str"/>
      <x:c r="K200" s="14" t="str"/>
      <x:c r="L200" s="14" t="str">
        <x:v>Chưa có</x:v>
      </x:c>
      <x:c r="M200" s="14" t="str">
        <x:v>Theo dõi và cập nhật link/chỉ dẫn hồ sơ sau khi có bằng chứng.</x:v>
      </x:c>
    </x:row>
    <x:row r="201">
      <x:c r="A201" s="14" t="str">
        <x:v>EVID-0200</x:v>
      </x:c>
      <x:c r="B201" s="14" t="str">
        <x:v>VATM-0200</x:v>
      </x:c>
      <x:c r="C201" s="14" t="str">
        <x:v>An toàn hàng không / SMS</x:v>
      </x:c>
      <x:c r="D201" s="14" t="str">
        <x:v>Quản lý rủi ro và thay đổi</x:v>
      </x:c>
      <x:c r="E201" s="14" t="str">
        <x:v>Báo cáo tháng/quý/năm; phụ lục SPI ANS/GEN; hazard register; kế hoạch năm sau.</x:v>
      </x:c>
      <x:c r="F201" s="14" t="str">
        <x:v>Quyết định/Kế hoạch</x:v>
      </x:c>
      <x:c r="G201" s="14" t="str">
        <x:v>Ban An toàn - Chất lượng</x:v>
      </x:c>
      <x:c r="H201" s="14" t="str"/>
      <x:c r="I201" s="58" t="str"/>
      <x:c r="J201" s="58" t="str"/>
      <x:c r="K201" s="14" t="str"/>
      <x:c r="L201" s="14" t="str">
        <x:v>Chưa có</x:v>
      </x:c>
      <x:c r="M201" s="14" t="str">
        <x:v>Theo dõi và cập nhật link/chỉ dẫn hồ sơ sau khi có bằng chứng.</x:v>
      </x:c>
    </x:row>
    <x:row r="202">
      <x:c r="A202" s="14" t="str">
        <x:v>EVID-0201</x:v>
      </x:c>
      <x:c r="B202" s="14" t="str">
        <x:v>VATM-0201</x:v>
      </x:c>
      <x:c r="C202" s="14" t="str">
        <x:v>An toàn hàng không / SMS</x:v>
      </x:c>
      <x:c r="D202" s="14" t="str">
        <x:v>Quản lý rủi ro và thay đổi</x:v>
      </x:c>
      <x:c r="E202" s="14" t="str">
        <x:v>Kế hoạch CAPA; bằng chứng đóng hành động; báo cáo tiến độ; theo dõi GEN-02/GEN-03.</x:v>
      </x:c>
      <x:c r="F202" s="14" t="str">
        <x:v>Quyết định/Kế hoạch</x:v>
      </x:c>
      <x:c r="G202" s="14" t="str">
        <x:v>Ban An toàn - Chất lượng</x:v>
      </x:c>
      <x:c r="H202" s="14" t="str"/>
      <x:c r="I202" s="58" t="str"/>
      <x:c r="J202" s="58" t="str"/>
      <x:c r="K202" s="14" t="str"/>
      <x:c r="L202" s="14" t="str">
        <x:v>Chưa có</x:v>
      </x:c>
      <x:c r="M202" s="14" t="str">
        <x:v>Theo dõi và cập nhật link/chỉ dẫn hồ sơ sau khi có bằng chứng.</x:v>
      </x:c>
    </x:row>
    <x:row r="203">
      <x:c r="A203" s="14" t="str">
        <x:v>EVID-0202</x:v>
      </x:c>
      <x:c r="B203" s="14" t="str">
        <x:v>VATM-0202</x:v>
      </x:c>
      <x:c r="C203" s="14" t="str">
        <x:v>An toàn hàng không / SMS</x:v>
      </x:c>
      <x:c r="D203" s="14" t="str">
        <x:v>Khung SMS và quản trị an toàn</x:v>
      </x:c>
      <x:c r="E203" s="14" t="str">
        <x:v>Cơ sở dữ liệu an toàn; bản tin/khuyến cáo; hồ sơ cung cấp dữ liệu; log phổ biến đến ca/kíp/đơn vị.</x:v>
      </x:c>
      <x:c r="F203" s="14" t="str">
        <x:v>Biên bản/nhật ký/log</x:v>
      </x:c>
      <x:c r="G203" s="14" t="str">
        <x:v>Ban An toàn - Chất lượng</x:v>
      </x:c>
      <x:c r="H203" s="14" t="str"/>
      <x:c r="I203" s="58" t="str"/>
      <x:c r="J203" s="58" t="str"/>
      <x:c r="K203" s="14" t="str"/>
      <x:c r="L203" s="14" t="str">
        <x:v>Chưa có</x:v>
      </x:c>
      <x:c r="M203" s="14" t="str">
        <x:v>Theo dõi và cập nhật link/chỉ dẫn hồ sơ sau khi có bằng chứng.</x:v>
      </x:c>
    </x:row>
    <x:row r="204">
      <x:c r="A204" s="14" t="str">
        <x:v>EVID-0203</x:v>
      </x:c>
      <x:c r="B204" s="14" t="str">
        <x:v>VATM-0203</x:v>
      </x:c>
      <x:c r="C204" s="14" t="str">
        <x:v>An toàn hàng không / SMS</x:v>
      </x:c>
      <x:c r="D204" s="14" t="str">
        <x:v>Khung SMS và quản trị an toàn</x:v>
      </x:c>
      <x:c r="E204" s="14" t="str">
        <x:v>Chính sách an toàn; thông điệp/cam kết của lãnh đạo; chương trình văn hóa an toàn.</x:v>
      </x:c>
      <x:c r="F204" s="14" t="str">
        <x:v>Khác</x:v>
      </x:c>
      <x:c r="G204" s="14" t="str">
        <x:v>Ban An toàn - Chất lượng</x:v>
      </x:c>
      <x:c r="H204" s="14" t="str"/>
      <x:c r="I204" s="58" t="str"/>
      <x:c r="J204" s="58" t="str"/>
      <x:c r="K204" s="14" t="str"/>
      <x:c r="L204" s="14" t="str">
        <x:v>Chưa có</x:v>
      </x:c>
      <x:c r="M204" s="14" t="str">
        <x:v>Theo dõi và cập nhật link/chỉ dẫn hồ sơ sau khi có bằng chứng.</x:v>
      </x:c>
    </x:row>
    <x:row r="205">
      <x:c r="A205" s="14" t="str">
        <x:v>EVID-0204</x:v>
      </x:c>
      <x:c r="B205" s="14" t="str">
        <x:v>VATM-0204</x:v>
      </x:c>
      <x:c r="C205" s="14" t="str">
        <x:v>An toàn hàng không / SMS</x:v>
      </x:c>
      <x:c r="D205" s="14" t="str">
        <x:v>Khung SMS và quản trị an toàn</x:v>
      </x:c>
      <x:c r="E205" s="14" t="str">
        <x:v>Tuyên bố nguồn lực; kế hoạch nhân lực/tài chính/công cụ cho SMS.</x:v>
      </x:c>
      <x:c r="F205" s="14" t="str">
        <x:v>Quyết định/Kế hoạch</x:v>
      </x:c>
      <x:c r="G205" s="14" t="str">
        <x:v>Ban An toàn - Chất lượng</x:v>
      </x:c>
      <x:c r="H205" s="14" t="str"/>
      <x:c r="I205" s="58" t="str"/>
      <x:c r="J205" s="58" t="str"/>
      <x:c r="K205" s="14" t="str"/>
      <x:c r="L205" s="14" t="str">
        <x:v>Chưa có</x:v>
      </x:c>
      <x:c r="M205" s="14" t="str">
        <x:v>Theo dõi và cập nhật link/chỉ dẫn hồ sơ sau khi có bằng chứng.</x:v>
      </x:c>
    </x:row>
    <x:row r="206">
      <x:c r="A206" s="14" t="str">
        <x:v>EVID-0205</x:v>
      </x:c>
      <x:c r="B206" s="14" t="str">
        <x:v>VATM-0205</x:v>
      </x:c>
      <x:c r="C206" s="14" t="str">
        <x:v>An toàn hàng không / SMS</x:v>
      </x:c>
      <x:c r="D206" s="14" t="str">
        <x:v>Khung SMS và quản trị an toàn</x:v>
      </x:c>
      <x:c r="E206" s="14" t="str">
        <x:v>Quy trình báo cáo bắt buộc/tự nguyện/giảng bình/định kỳ; kênh tiếp nhận.</x:v>
      </x:c>
      <x:c r="F206" s="14" t="str">
        <x:v>Quy trình/SOP</x:v>
      </x:c>
      <x:c r="G206" s="14" t="str">
        <x:v>Ban An toàn - Chất lượng</x:v>
      </x:c>
      <x:c r="H206" s="14" t="str"/>
      <x:c r="I206" s="58" t="str"/>
      <x:c r="J206" s="58" t="str"/>
      <x:c r="K206" s="14" t="str"/>
      <x:c r="L206" s="14" t="str">
        <x:v>Chưa có</x:v>
      </x:c>
      <x:c r="M206" s="14" t="str">
        <x:v>Theo dõi và cập nhật link/chỉ dẫn hồ sơ sau khi có bằng chứng.</x:v>
      </x:c>
    </x:row>
    <x:row r="207">
      <x:c r="A207" s="14" t="str">
        <x:v>EVID-0206</x:v>
      </x:c>
      <x:c r="B207" s="14" t="str">
        <x:v>VATM-0206</x:v>
      </x:c>
      <x:c r="C207" s="14" t="str">
        <x:v>An toàn hàng không / SMS</x:v>
      </x:c>
      <x:c r="D207" s="14" t="str">
        <x:v>Khung SMS và quản trị an toàn</x:v>
      </x:c>
      <x:c r="E207" s="14" t="str">
        <x:v>Chính sách văn hóa công bằng/just culture nội bộ; tiêu chí hành vi không chấp nhận; nguyên tắc không kỷ luật phù hợp pháp luật.</x:v>
      </x:c>
      <x:c r="F207" s="14" t="str">
        <x:v>Khác</x:v>
      </x:c>
      <x:c r="G207" s="14" t="str">
        <x:v>Ban An toàn - Chất lượng</x:v>
      </x:c>
      <x:c r="H207" s="14" t="str"/>
      <x:c r="I207" s="58" t="str"/>
      <x:c r="J207" s="58" t="str"/>
      <x:c r="K207" s="14" t="str"/>
      <x:c r="L207" s="14" t="str">
        <x:v>Chưa có</x:v>
      </x:c>
      <x:c r="M207" s="14" t="str">
        <x:v>Theo dõi và cập nhật link/chỉ dẫn hồ sơ sau khi có bằng chứng.</x:v>
      </x:c>
    </x:row>
    <x:row r="208">
      <x:c r="A208" s="14" t="str">
        <x:v>EVID-0207</x:v>
      </x:c>
      <x:c r="B208" s="14" t="str">
        <x:v>VATM-0207</x:v>
      </x:c>
      <x:c r="C208" s="14" t="str">
        <x:v>An toàn hàng không / SMS</x:v>
      </x:c>
      <x:c r="D208" s="14" t="str">
        <x:v>Khung SMS và quản trị an toàn</x:v>
      </x:c>
      <x:c r="E208" s="14" t="str">
        <x:v>Bản chính sách có chữ ký/chữ ký số hợp lệ.</x:v>
      </x:c>
      <x:c r="F208" s="14" t="str">
        <x:v>Khác</x:v>
      </x:c>
      <x:c r="G208" s="14" t="str">
        <x:v>Ban An toàn - Chất lượng</x:v>
      </x:c>
      <x:c r="H208" s="14" t="str"/>
      <x:c r="I208" s="58" t="str"/>
      <x:c r="J208" s="58" t="str"/>
      <x:c r="K208" s="14" t="str"/>
      <x:c r="L208" s="14" t="str">
        <x:v>Chưa có</x:v>
      </x:c>
      <x:c r="M208" s="14" t="str">
        <x:v>Theo dõi và cập nhật link/chỉ dẫn hồ sơ sau khi có bằng chứng.</x:v>
      </x:c>
    </x:row>
    <x:row r="209">
      <x:c r="A209" s="14" t="str">
        <x:v>EVID-0208</x:v>
      </x:c>
      <x:c r="B209" s="14" t="str">
        <x:v>VATM-0208</x:v>
      </x:c>
      <x:c r="C209" s="14" t="str">
        <x:v>An toàn hàng không / SMS</x:v>
      </x:c>
      <x:c r="D209" s="14" t="str">
        <x:v>Khung SMS và quản trị an toàn</x:v>
      </x:c>
      <x:c r="E209" s="14" t="str">
        <x:v>Bằng chứng phổ biến; biên bản rà soát; phiên bản chính sách.</x:v>
      </x:c>
      <x:c r="F209" s="14" t="str">
        <x:v>Biên bản/nhật ký/log</x:v>
      </x:c>
      <x:c r="G209" s="14" t="str">
        <x:v>Ban An toàn - Chất lượng</x:v>
      </x:c>
      <x:c r="H209" s="14" t="str"/>
      <x:c r="I209" s="58" t="str"/>
      <x:c r="J209" s="58" t="str"/>
      <x:c r="K209" s="14" t="str"/>
      <x:c r="L209" s="14" t="str">
        <x:v>Chưa có</x:v>
      </x:c>
      <x:c r="M209" s="14" t="str">
        <x:v>Theo dõi và cập nhật link/chỉ dẫn hồ sơ sau khi có bằng chứng.</x:v>
      </x:c>
    </x:row>
    <x:row r="210">
      <x:c r="A210" s="14" t="str">
        <x:v>EVID-0209</x:v>
      </x:c>
      <x:c r="B210" s="14" t="str">
        <x:v>VATM-0209</x:v>
      </x:c>
      <x:c r="C210" s="14" t="str">
        <x:v>An toàn hàng không / SMS</x:v>
      </x:c>
      <x:c r="D210" s="14" t="str">
        <x:v>Khung SMS và quản trị an toàn</x:v>
      </x:c>
      <x:c r="E210" s="14" t="str">
        <x:v>Mục tiêu an toàn gắn với SPI/SPT; tiêu chí đo lường.</x:v>
      </x:c>
      <x:c r="F210" s="14" t="str">
        <x:v>Khác</x:v>
      </x:c>
      <x:c r="G210" s="14" t="str">
        <x:v>Ban An toàn - Chất lượng</x:v>
      </x:c>
      <x:c r="H210" s="14" t="str"/>
      <x:c r="I210" s="58" t="str"/>
      <x:c r="J210" s="58" t="str"/>
      <x:c r="K210" s="14" t="str"/>
      <x:c r="L210" s="14" t="str">
        <x:v>Chưa có</x:v>
      </x:c>
      <x:c r="M210" s="14" t="str">
        <x:v>Theo dõi và cập nhật link/chỉ dẫn hồ sơ sau khi có bằng chứng.</x:v>
      </x:c>
    </x:row>
    <x:row r="211">
      <x:c r="A211" s="14" t="str">
        <x:v>EVID-0210</x:v>
      </x:c>
      <x:c r="B211" s="14" t="str">
        <x:v>VATM-0210</x:v>
      </x:c>
      <x:c r="C211" s="14" t="str">
        <x:v>An toàn hàng không / SMS</x:v>
      </x:c>
      <x:c r="D211" s="14" t="str">
        <x:v>Khung SMS và quản trị an toàn</x:v>
      </x:c>
      <x:c r="E211" s="14" t="str">
        <x:v>Mục tiêu cải tiến SMS; chỉ tiêu/hoạt động cải tiến.</x:v>
      </x:c>
      <x:c r="F211" s="14" t="str">
        <x:v>Khác</x:v>
      </x:c>
      <x:c r="G211" s="14" t="str">
        <x:v>Ban An toàn - Chất lượng</x:v>
      </x:c>
      <x:c r="H211" s="14" t="str"/>
      <x:c r="I211" s="58" t="str"/>
      <x:c r="J211" s="58" t="str"/>
      <x:c r="K211" s="14" t="str"/>
      <x:c r="L211" s="14" t="str">
        <x:v>Chưa có</x:v>
      </x:c>
      <x:c r="M211" s="14" t="str">
        <x:v>Theo dõi và cập nhật link/chỉ dẫn hồ sơ sau khi có bằng chứng.</x:v>
      </x:c>
    </x:row>
    <x:row r="212">
      <x:c r="A212" s="14" t="str">
        <x:v>EVID-0211</x:v>
      </x:c>
      <x:c r="B212" s="14" t="str">
        <x:v>VATM-0211</x:v>
      </x:c>
      <x:c r="C212" s="14" t="str">
        <x:v>An toàn hàng không / SMS</x:v>
      </x:c>
      <x:c r="D212" s="14" t="str">
        <x:v>Khung SMS và quản trị an toàn</x:v>
      </x:c>
      <x:c r="E212" s="14" t="str">
        <x:v>Bằng chứng phổ biến mục tiêu; biên bản rà soát.</x:v>
      </x:c>
      <x:c r="F212" s="14" t="str">
        <x:v>Biên bản/nhật ký/log</x:v>
      </x:c>
      <x:c r="G212" s="14" t="str">
        <x:v>Ban An toàn - Chất lượng</x:v>
      </x:c>
      <x:c r="H212" s="14" t="str"/>
      <x:c r="I212" s="58" t="str"/>
      <x:c r="J212" s="58" t="str"/>
      <x:c r="K212" s="14" t="str"/>
      <x:c r="L212" s="14" t="str">
        <x:v>Chưa có</x:v>
      </x:c>
      <x:c r="M212" s="14" t="str">
        <x:v>Theo dõi và cập nhật link/chỉ dẫn hồ sơ sau khi có bằng chứng.</x:v>
      </x:c>
    </x:row>
    <x:row r="213">
      <x:c r="A213" s="14" t="str">
        <x:v>EVID-0212</x:v>
      </x:c>
      <x:c r="B213" s="14" t="str">
        <x:v>VATM-0212</x:v>
      </x:c>
      <x:c r="C213" s="14" t="str">
        <x:v>An toàn hàng không / SMS</x:v>
      </x:c>
      <x:c r="D213" s="14" t="str">
        <x:v>Khung SMS và quản trị an toàn</x:v>
      </x:c>
      <x:c r="E213" s="14" t="str">
        <x:v>Quy định trách nhiệm người đứng đầu; cam kết SMS; mô tả thẩm quyền.</x:v>
      </x:c>
      <x:c r="F213" s="14" t="str">
        <x:v>Khác</x:v>
      </x:c>
      <x:c r="G213" s="14" t="str">
        <x:v>Ban An toàn - Chất lượng</x:v>
      </x:c>
      <x:c r="H213" s="14" t="str"/>
      <x:c r="I213" s="58" t="str"/>
      <x:c r="J213" s="58" t="str"/>
      <x:c r="K213" s="14" t="str"/>
      <x:c r="L213" s="14" t="str">
        <x:v>Chưa có</x:v>
      </x:c>
      <x:c r="M213" s="14" t="str">
        <x:v>Theo dõi và cập nhật link/chỉ dẫn hồ sơ sau khi có bằng chứng.</x:v>
      </x:c>
    </x:row>
    <x:row r="214">
      <x:c r="A214" s="14" t="str">
        <x:v>EVID-0213</x:v>
      </x:c>
      <x:c r="B214" s="14" t="str">
        <x:v>VATM-0213</x:v>
      </x:c>
      <x:c r="C214" s="14" t="str">
        <x:v>An toàn hàng không / SMS</x:v>
      </x:c>
      <x:c r="D214" s="14" t="str">
        <x:v>Khung SMS và quản trị an toàn</x:v>
      </x:c>
      <x:c r="E214" s="14" t="str">
        <x:v>Ma trận trách nhiệm/authority; mô tả chức năng an toàn; bằng chứng phổ biến.</x:v>
      </x:c>
      <x:c r="F214" s="14" t="str">
        <x:v>Khác</x:v>
      </x:c>
      <x:c r="G214" s="14" t="str">
        <x:v>Ban An toàn - Chất lượng</x:v>
      </x:c>
      <x:c r="H214" s="14" t="str"/>
      <x:c r="I214" s="58" t="str"/>
      <x:c r="J214" s="58" t="str"/>
      <x:c r="K214" s="14" t="str"/>
      <x:c r="L214" s="14" t="str">
        <x:v>Chưa có</x:v>
      </x:c>
      <x:c r="M214" s="14" t="str">
        <x:v>Theo dõi và cập nhật link/chỉ dẫn hồ sơ sau khi có bằng chứng.</x:v>
      </x:c>
    </x:row>
    <x:row r="215">
      <x:c r="A215" s="14" t="str">
        <x:v>EVID-0214</x:v>
      </x:c>
      <x:c r="B215" s="14" t="str">
        <x:v>VATM-0214</x:v>
      </x:c>
      <x:c r="C215" s="14" t="str">
        <x:v>An toàn hàng không / SMS</x:v>
      </x:c>
      <x:c r="D215" s="14" t="str">
        <x:v>Khung SMS và quản trị an toàn</x:v>
      </x:c>
      <x:c r="E215" s="14" t="str">
        <x:v>Ma trận chấp nhận rủi ro; quy trình phê duyệt rủi ro.</x:v>
      </x:c>
      <x:c r="F215" s="14" t="str">
        <x:v>Quy trình/SOP</x:v>
      </x:c>
      <x:c r="G215" s="14" t="str">
        <x:v>Ban An toàn - Chất lượng</x:v>
      </x:c>
      <x:c r="H215" s="14" t="str"/>
      <x:c r="I215" s="58" t="str"/>
      <x:c r="J215" s="58" t="str"/>
      <x:c r="K215" s="14" t="str"/>
      <x:c r="L215" s="14" t="str">
        <x:v>Chưa có</x:v>
      </x:c>
      <x:c r="M215" s="14" t="str">
        <x:v>Theo dõi và cập nhật link/chỉ dẫn hồ sơ sau khi có bằng chứng.</x:v>
      </x:c>
    </x:row>
    <x:row r="216">
      <x:c r="A216" s="14" t="str">
        <x:v>EVID-0215</x:v>
      </x:c>
      <x:c r="B216" s="14" t="str">
        <x:v>VATM-0215</x:v>
      </x:c>
      <x:c r="C216" s="14" t="str">
        <x:v>An toàn hàng không / SMS</x:v>
      </x:c>
      <x:c r="D216" s="14" t="str">
        <x:v>Khung SMS và quản trị an toàn</x:v>
      </x:c>
      <x:c r="E216" s="14" t="str">
        <x:v>Quyết định bổ nhiệm; mô tả nhiệm vụ; tiêu chuẩn năng lực.</x:v>
      </x:c>
      <x:c r="F216" s="14" t="str">
        <x:v>Khác</x:v>
      </x:c>
      <x:c r="G216" s="14" t="str">
        <x:v>Ban An toàn - Chất lượng</x:v>
      </x:c>
      <x:c r="H216" s="14" t="str"/>
      <x:c r="I216" s="58" t="str"/>
      <x:c r="J216" s="58" t="str"/>
      <x:c r="K216" s="14" t="str"/>
      <x:c r="L216" s="14" t="str">
        <x:v>Chưa có</x:v>
      </x:c>
      <x:c r="M216" s="14" t="str">
        <x:v>Theo dõi và cập nhật link/chỉ dẫn hồ sơ sau khi có bằng chứng.</x:v>
      </x:c>
    </x:row>
    <x:row r="217">
      <x:c r="A217" s="14" t="str">
        <x:v>EVID-0216</x:v>
      </x:c>
      <x:c r="B217" s="14" t="str">
        <x:v>VATM-0216</x:v>
      </x:c>
      <x:c r="C217" s="14" t="str">
        <x:v>An toàn hàng không / SMS</x:v>
      </x:c>
      <x:c r="D217" s="14" t="str">
        <x:v>Khung SMS và quản trị an toàn</x:v>
      </x:c>
      <x:c r="E217" s="14" t="str">
        <x:v>Đánh giá xung đột lợi ích; quyết định phân công/kiêm nhiệm.</x:v>
      </x:c>
      <x:c r="F217" s="14" t="str">
        <x:v>Khác</x:v>
      </x:c>
      <x:c r="G217" s="14" t="str">
        <x:v>Ban An toàn - Chất lượng</x:v>
      </x:c>
      <x:c r="H217" s="14" t="str"/>
      <x:c r="I217" s="58" t="str"/>
      <x:c r="J217" s="58" t="str"/>
      <x:c r="K217" s="14" t="str"/>
      <x:c r="L217" s="14" t="str">
        <x:v>Chưa có</x:v>
      </x:c>
      <x:c r="M217" s="14" t="str">
        <x:v>Theo dõi và cập nhật link/chỉ dẫn hồ sơ sau khi có bằng chứng.</x:v>
      </x:c>
    </x:row>
    <x:row r="218">
      <x:c r="A218" s="14" t="str">
        <x:v>EVID-0217</x:v>
      </x:c>
      <x:c r="B218" s="14" t="str">
        <x:v>VATM-0217</x:v>
      </x:c>
      <x:c r="C218" s="14" t="str">
        <x:v>An toàn hàng không / SMS</x:v>
      </x:c>
      <x:c r="D218" s="14" t="str">
        <x:v>Khung SMS và quản trị an toàn</x:v>
      </x:c>
      <x:c r="E218" s="14" t="str">
        <x:v>Kế hoạch ERP; danh bạ phối hợp; kịch bản diễn tập; biên bản kiểm tra/diễn tập.</x:v>
      </x:c>
      <x:c r="F218" s="14" t="str">
        <x:v>Quyết định/Kế hoạch</x:v>
      </x:c>
      <x:c r="G218" s="14" t="str">
        <x:v>Ban An toàn - Chất lượng</x:v>
      </x:c>
      <x:c r="H218" s="14" t="str"/>
      <x:c r="I218" s="58" t="str"/>
      <x:c r="J218" s="58" t="str"/>
      <x:c r="K218" s="14" t="str"/>
      <x:c r="L218" s="14" t="str">
        <x:v>Chưa có</x:v>
      </x:c>
      <x:c r="M218" s="14" t="str">
        <x:v>Theo dõi và cập nhật link/chỉ dẫn hồ sơ sau khi có bằng chứng.</x:v>
      </x:c>
    </x:row>
    <x:row r="219">
      <x:c r="A219" s="14" t="str">
        <x:v>EVID-0218</x:v>
      </x:c>
      <x:c r="B219" s="14" t="str">
        <x:v>VATM-0218</x:v>
      </x:c>
      <x:c r="C219" s="14" t="str">
        <x:v>An toàn hàng không / SMS</x:v>
      </x:c>
      <x:c r="D219" s="14" t="str">
        <x:v>Khung SMS và quản trị an toàn</x:v>
      </x:c>
      <x:c r="E219" s="14" t="str">
        <x:v>SMS Manual; quy trình/thủ tục SMS; ma trận trách nhiệm; kiểm soát phiên bản.</x:v>
      </x:c>
      <x:c r="F219" s="14" t="str">
        <x:v>Quy trình/SOP</x:v>
      </x:c>
      <x:c r="G219" s="14" t="str">
        <x:v>Ban An toàn - Chất lượng</x:v>
      </x:c>
      <x:c r="H219" s="14" t="str"/>
      <x:c r="I219" s="58" t="str"/>
      <x:c r="J219" s="58" t="str"/>
      <x:c r="K219" s="14" t="str"/>
      <x:c r="L219" s="14" t="str">
        <x:v>Chưa có</x:v>
      </x:c>
      <x:c r="M219" s="14" t="str">
        <x:v>Theo dõi và cập nhật link/chỉ dẫn hồ sơ sau khi có bằng chứng.</x:v>
      </x:c>
    </x:row>
    <x:row r="220">
      <x:c r="A220" s="14" t="str">
        <x:v>EVID-0219</x:v>
      </x:c>
      <x:c r="B220" s="14" t="str">
        <x:v>VATM-0219</x:v>
      </x:c>
      <x:c r="C220" s="14" t="str">
        <x:v>An toàn hàng không / SMS</x:v>
      </x:c>
      <x:c r="D220" s="14" t="str">
        <x:v>Khung SMS và quản trị an toàn</x:v>
      </x:c>
      <x:c r="E220" s="14" t="str">
        <x:v>Hồ sơ đánh giá rủi ro, kiểm soát thay đổi, đào tạo, truyền thông, báo cáo, cuộc họp, kiểm tra/đánh giá.</x:v>
      </x:c>
      <x:c r="F220" s="14" t="str">
        <x:v>Báo cáo</x:v>
      </x:c>
      <x:c r="G220" s="14" t="str">
        <x:v>Ban An toàn - Chất lượng</x:v>
      </x:c>
      <x:c r="H220" s="14" t="str"/>
      <x:c r="I220" s="58" t="str"/>
      <x:c r="J220" s="58" t="str"/>
      <x:c r="K220" s="14" t="str"/>
      <x:c r="L220" s="14" t="str">
        <x:v>Chưa có</x:v>
      </x:c>
      <x:c r="M220" s="14" t="str">
        <x:v>Theo dõi và cập nhật link/chỉ dẫn hồ sơ sau khi có bằng chứng.</x:v>
      </x:c>
    </x:row>
    <x:row r="221">
      <x:c r="A221" s="14" t="str">
        <x:v>EVID-0220</x:v>
      </x:c>
      <x:c r="B221" s="14" t="str">
        <x:v>VATM-0220</x:v>
      </x:c>
      <x:c r="C221" s="14" t="str">
        <x:v>An toàn hàng không / SMS</x:v>
      </x:c>
      <x:c r="D221" s="14" t="str">
        <x:v>Khung SMS và quản trị an toàn</x:v>
      </x:c>
      <x:c r="E221" s="14" t="str">
        <x:v>Quy trình hazard identification; hazard register; danh mục giao diện nội bộ/bên ngoài.</x:v>
      </x:c>
      <x:c r="F221" s="14" t="str">
        <x:v>Quy trình/SOP</x:v>
      </x:c>
      <x:c r="G221" s="14" t="str">
        <x:v>Ban An toàn - Chất lượng</x:v>
      </x:c>
      <x:c r="H221" s="14" t="str"/>
      <x:c r="I221" s="58" t="str"/>
      <x:c r="J221" s="58" t="str"/>
      <x:c r="K221" s="14" t="str"/>
      <x:c r="L221" s="14" t="str">
        <x:v>Chưa có</x:v>
      </x:c>
      <x:c r="M221" s="14" t="str">
        <x:v>Theo dõi và cập nhật link/chỉ dẫn hồ sơ sau khi có bằng chứng.</x:v>
      </x:c>
    </x:row>
    <x:row r="222">
      <x:c r="A222" s="14" t="str">
        <x:v>EVID-0221</x:v>
      </x:c>
      <x:c r="B222" s="14" t="str">
        <x:v>VATM-0221</x:v>
      </x:c>
      <x:c r="C222" s="14" t="str">
        <x:v>An toàn hàng không / SMS</x:v>
      </x:c>
      <x:c r="D222" s="14" t="str">
        <x:v>Khung SMS và quản trị an toàn</x:v>
      </x:c>
      <x:c r="E222" s="14" t="str">
        <x:v>Nguồn nhận diện từ sự cố/MOR/VOR, kiểm tra, audit, thay đổi, dữ liệu SPI, khảo sát, safety review.</x:v>
      </x:c>
      <x:c r="F222" s="14" t="str">
        <x:v>Dữ liệu hệ thống</x:v>
      </x:c>
      <x:c r="G222" s="14" t="str">
        <x:v>Ban An toàn - Chất lượng</x:v>
      </x:c>
      <x:c r="H222" s="14" t="str"/>
      <x:c r="I222" s="58" t="str"/>
      <x:c r="J222" s="58" t="str"/>
      <x:c r="K222" s="14" t="str"/>
      <x:c r="L222" s="14" t="str">
        <x:v>Chưa có</x:v>
      </x:c>
      <x:c r="M222" s="14" t="str">
        <x:v>Theo dõi và cập nhật link/chỉ dẫn hồ sơ sau khi có bằng chứng.</x:v>
      </x:c>
    </x:row>
    <x:row r="223">
      <x:c r="A223" s="14" t="str">
        <x:v>EVID-0222</x:v>
      </x:c>
      <x:c r="B223" s="14" t="str">
        <x:v>VATM-0222</x:v>
      </x:c>
      <x:c r="C223" s="14" t="str">
        <x:v>An toàn hàng không / SMS</x:v>
      </x:c>
      <x:c r="D223" s="14" t="str">
        <x:v>Khung SMS và quản trị an toàn</x:v>
      </x:c>
      <x:c r="E223" s="14" t="str">
        <x:v>Risk matrix; hồ sơ đánh giá; biện pháp kiểm soát; theo dõi hiệu lực.</x:v>
      </x:c>
      <x:c r="F223" s="14" t="str">
        <x:v>Khác</x:v>
      </x:c>
      <x:c r="G223" s="14" t="str">
        <x:v>Ban An toàn - Chất lượng</x:v>
      </x:c>
      <x:c r="H223" s="14" t="str"/>
      <x:c r="I223" s="58" t="str"/>
      <x:c r="J223" s="58" t="str"/>
      <x:c r="K223" s="14" t="str"/>
      <x:c r="L223" s="14" t="str">
        <x:v>Chưa có</x:v>
      </x:c>
      <x:c r="M223" s="14" t="str">
        <x:v>Theo dõi và cập nhật link/chỉ dẫn hồ sơ sau khi có bằng chứng.</x:v>
      </x:c>
    </x:row>
    <x:row r="224">
      <x:c r="A224" s="14" t="str">
        <x:v>EVID-0223</x:v>
      </x:c>
      <x:c r="B224" s="14" t="str">
        <x:v>VATM-0223</x:v>
      </x:c>
      <x:c r="C224" s="14" t="str">
        <x:v>An toàn hàng không / SMS</x:v>
      </x:c>
      <x:c r="D224" s="14" t="str">
        <x:v>Khung SMS và quản trị an toàn</x:v>
      </x:c>
      <x:c r="E224" s="14" t="str">
        <x:v>Chương trình giám sát an toàn; dashboard; audit/inspection; safety review; đánh giá hiệu quả CAPA.</x:v>
      </x:c>
      <x:c r="F224" s="14" t="str">
        <x:v>Dữ liệu hệ thống</x:v>
      </x:c>
      <x:c r="G224" s="14" t="str">
        <x:v>Ban An toàn - Chất lượng</x:v>
      </x:c>
      <x:c r="H224" s="14" t="str"/>
      <x:c r="I224" s="58" t="str"/>
      <x:c r="J224" s="58" t="str"/>
      <x:c r="K224" s="14" t="str"/>
      <x:c r="L224" s="14" t="str">
        <x:v>Chưa có</x:v>
      </x:c>
      <x:c r="M224" s="14" t="str">
        <x:v>Theo dõi và cập nhật link/chỉ dẫn hồ sơ sau khi có bằng chứng.</x:v>
      </x:c>
    </x:row>
    <x:row r="225">
      <x:c r="A225" s="14" t="str">
        <x:v>EVID-0224</x:v>
      </x:c>
      <x:c r="B225" s="14" t="str">
        <x:v>VATM-0224</x:v>
      </x:c>
      <x:c r="C225" s="14" t="str">
        <x:v>An toàn hàng không / SMS</x:v>
      </x:c>
      <x:c r="D225" s="14" t="str">
        <x:v>Khung SMS và quản trị an toàn</x:v>
      </x:c>
      <x:c r="E225" s="14" t="str">
        <x:v>Danh mục SPI/SPT SMS; trend; ngưỡng cảnh báo; báo cáo đánh giá.</x:v>
      </x:c>
      <x:c r="F225" s="14" t="str">
        <x:v>Báo cáo</x:v>
      </x:c>
      <x:c r="G225" s="14" t="str">
        <x:v>Ban An toàn - Chất lượng</x:v>
      </x:c>
      <x:c r="H225" s="14" t="str"/>
      <x:c r="I225" s="58" t="str"/>
      <x:c r="J225" s="58" t="str"/>
      <x:c r="K225" s="14" t="str"/>
      <x:c r="L225" s="14" t="str">
        <x:v>Chưa có</x:v>
      </x:c>
      <x:c r="M225" s="14" t="str">
        <x:v>Theo dõi và cập nhật link/chỉ dẫn hồ sơ sau khi có bằng chứng.</x:v>
      </x:c>
    </x:row>
    <x:row r="226">
      <x:c r="A226" s="14" t="str">
        <x:v>EVID-0225</x:v>
      </x:c>
      <x:c r="B226" s="14" t="str">
        <x:v>VATM-0225</x:v>
      </x:c>
      <x:c r="C226" s="14" t="str">
        <x:v>An toàn hàng không / SMS</x:v>
      </x:c>
      <x:c r="D226" s="14" t="str">
        <x:v>Khung SMS và quản trị an toàn</x:v>
      </x:c>
      <x:c r="E226" s="14" t="str">
        <x:v>Change management procedure; safety assessment; phê duyệt thay đổi; kiểm tra sau triển khai.</x:v>
      </x:c>
      <x:c r="F226" s="14" t="str">
        <x:v>Hồ sơ phê duyệt</x:v>
      </x:c>
      <x:c r="G226" s="14" t="str">
        <x:v>Ban An toàn - Chất lượng</x:v>
      </x:c>
      <x:c r="H226" s="14" t="str"/>
      <x:c r="I226" s="58" t="str"/>
      <x:c r="J226" s="58" t="str"/>
      <x:c r="K226" s="14" t="str"/>
      <x:c r="L226" s="14" t="str">
        <x:v>Chưa có</x:v>
      </x:c>
      <x:c r="M226" s="14" t="str">
        <x:v>Theo dõi và cập nhật link/chỉ dẫn hồ sơ sau khi có bằng chứng.</x:v>
      </x:c>
    </x:row>
    <x:row r="227">
      <x:c r="A227" s="14" t="str">
        <x:v>EVID-0226</x:v>
      </x:c>
      <x:c r="B227" s="14" t="str">
        <x:v>VATM-0226</x:v>
      </x:c>
      <x:c r="C227" s="14" t="str">
        <x:v>An toàn hàng không / SMS</x:v>
      </x:c>
      <x:c r="D227" s="14" t="str">
        <x:v>Khung SMS và quản trị an toàn</x:v>
      </x:c>
      <x:c r="E227" s="14" t="str">
        <x:v>Kế hoạch cải tiến; kết quả tự đánh giá; hành động cải tiến.</x:v>
      </x:c>
      <x:c r="F227" s="14" t="str">
        <x:v>Quyết định/Kế hoạch</x:v>
      </x:c>
      <x:c r="G227" s="14" t="str">
        <x:v>Ban An toàn - Chất lượng</x:v>
      </x:c>
      <x:c r="H227" s="14" t="str"/>
      <x:c r="I227" s="58" t="str"/>
      <x:c r="J227" s="58" t="str"/>
      <x:c r="K227" s="14" t="str"/>
      <x:c r="L227" s="14" t="str">
        <x:v>Chưa có</x:v>
      </x:c>
      <x:c r="M227" s="14" t="str">
        <x:v>Theo dõi và cập nhật link/chỉ dẫn hồ sơ sau khi có bằng chứng.</x:v>
      </x:c>
    </x:row>
    <x:row r="228">
      <x:c r="A228" s="14" t="str">
        <x:v>EVID-0227</x:v>
      </x:c>
      <x:c r="B228" s="14" t="str">
        <x:v>VATM-0227</x:v>
      </x:c>
      <x:c r="C228" s="14" t="str">
        <x:v>An toàn hàng không / SMS</x:v>
      </x:c>
      <x:c r="D228" s="14" t="str">
        <x:v>Khung SMS và quản trị an toàn</x:v>
      </x:c>
      <x:c r="E228" s="14" t="str">
        <x:v>Chương trình đào tạo; ma trận năng lực; hồ sơ đào tạo; kết quả đánh giá.</x:v>
      </x:c>
      <x:c r="F228" s="14" t="str">
        <x:v>Khác</x:v>
      </x:c>
      <x:c r="G228" s="14" t="str">
        <x:v>Ban An toàn - Chất lượng</x:v>
      </x:c>
      <x:c r="H228" s="14" t="str"/>
      <x:c r="I228" s="58" t="str"/>
      <x:c r="J228" s="58" t="str"/>
      <x:c r="K228" s="14" t="str"/>
      <x:c r="L228" s="14" t="str">
        <x:v>Chưa có</x:v>
      </x:c>
      <x:c r="M228" s="14" t="str">
        <x:v>Theo dõi và cập nhật link/chỉ dẫn hồ sơ sau khi có bằng chứng.</x:v>
      </x:c>
    </x:row>
    <x:row r="229">
      <x:c r="A229" s="14" t="str">
        <x:v>EVID-0228</x:v>
      </x:c>
      <x:c r="B229" s="14" t="str">
        <x:v>VATM-0228</x:v>
      </x:c>
      <x:c r="C229" s="14" t="str">
        <x:v>An toàn hàng không / SMS</x:v>
      </x:c>
      <x:c r="D229" s="14" t="str">
        <x:v>Khung SMS và quản trị an toàn</x:v>
      </x:c>
      <x:c r="E229" s="14" t="str">
        <x:v>Ma trận đối tượng đào tạo; nội dung theo vai trò; tiêu chuẩn năng lực.</x:v>
      </x:c>
      <x:c r="F229" s="14" t="str">
        <x:v>Khác</x:v>
      </x:c>
      <x:c r="G229" s="14" t="str">
        <x:v>Ban An toàn - Chất lượng</x:v>
      </x:c>
      <x:c r="H229" s="14" t="str"/>
      <x:c r="I229" s="58" t="str"/>
      <x:c r="J229" s="58" t="str"/>
      <x:c r="K229" s="14" t="str"/>
      <x:c r="L229" s="14" t="str">
        <x:v>Chưa có</x:v>
      </x:c>
      <x:c r="M229" s="14" t="str">
        <x:v>Theo dõi và cập nhật link/chỉ dẫn hồ sơ sau khi có bằng chứng.</x:v>
      </x:c>
    </x:row>
    <x:row r="230">
      <x:c r="A230" s="14" t="str">
        <x:v>EVID-0229</x:v>
      </x:c>
      <x:c r="B230" s="14" t="str">
        <x:v>VATM-0229</x:v>
      </x:c>
      <x:c r="C230" s="14" t="str">
        <x:v>An toàn hàng không / SMS</x:v>
      </x:c>
      <x:c r="D230" s="14" t="str">
        <x:v>Khung SMS và quản trị an toàn</x:v>
      </x:c>
      <x:c r="E230" s="14" t="str">
        <x:v>Bản tin an toàn; safety briefing; thông báo thay đổi; lưu vết phổ biến/nhận biết.</x:v>
      </x:c>
      <x:c r="F230" s="14" t="str">
        <x:v>Khác</x:v>
      </x:c>
      <x:c r="G230" s="14" t="str">
        <x:v>Ban An toàn - Chất lượng</x:v>
      </x:c>
      <x:c r="H230" s="14" t="str"/>
      <x:c r="I230" s="58" t="str"/>
      <x:c r="J230" s="58" t="str"/>
      <x:c r="K230" s="14" t="str"/>
      <x:c r="L230" s="14" t="str">
        <x:v>Chưa có</x:v>
      </x:c>
      <x:c r="M230" s="14" t="str">
        <x:v>Theo dõi và cập nhật link/chỉ dẫn hồ sơ sau khi có bằng chứng.</x:v>
      </x:c>
    </x:row>
    <x:row r="231">
      <x:c r="A231" s="14" t="str">
        <x:v>EVID-0230</x:v>
      </x:c>
      <x:c r="B231" s="14" t="str">
        <x:v>VATM-0230</x:v>
      </x:c>
      <x:c r="C231" s="14" t="str">
        <x:v>An toàn hàng không / SMS</x:v>
      </x:c>
      <x:c r="D231" s="14" t="str">
        <x:v>SPI/SPT và chỉ số an toàn</x:v>
      </x:c>
      <x:c r="E231" s="14" t="str">
        <x:v>Bổ sung bằng chứng theo yêu cầu nhiệm vụ</x:v>
      </x:c>
      <x:c r="F231" s="14" t="str">
        <x:v>Khác</x:v>
      </x:c>
      <x:c r="G231" s="14" t="str">
        <x:v>Ban An toàn - Chất lượng</x:v>
      </x:c>
      <x:c r="H231" s="14" t="str"/>
      <x:c r="I231" s="58" t="str"/>
      <x:c r="J231" s="58" t="str"/>
      <x:c r="K231" s="14" t="str"/>
      <x:c r="L231" s="14" t="str">
        <x:v>Chưa có</x:v>
      </x:c>
      <x:c r="M231" s="14" t="str">
        <x:v>Theo dõi và cập nhật link/chỉ dẫn hồ sơ sau khi có bằng chứng.</x:v>
      </x:c>
    </x:row>
    <x:row r="232">
      <x:c r="A232" s="14" t="str">
        <x:v>EVID-0231</x:v>
      </x:c>
      <x:c r="B232" s="14" t="str">
        <x:v>VATM-0231</x:v>
      </x:c>
      <x:c r="C232" s="14" t="str">
        <x:v>An toàn hàng không / SMS</x:v>
      </x:c>
      <x:c r="D232" s="14" t="str">
        <x:v>SPI/SPT và chỉ số an toàn</x:v>
      </x:c>
      <x:c r="E232" s="14" t="str">
        <x:v>Bổ sung bằng chứng theo yêu cầu nhiệm vụ</x:v>
      </x:c>
      <x:c r="F232" s="14" t="str">
        <x:v>Khác</x:v>
      </x:c>
      <x:c r="G232" s="14" t="str">
        <x:v>Ban An toàn - Chất lượng</x:v>
      </x:c>
      <x:c r="H232" s="14" t="str"/>
      <x:c r="I232" s="58" t="str"/>
      <x:c r="J232" s="58" t="str"/>
      <x:c r="K232" s="14" t="str"/>
      <x:c r="L232" s="14" t="str">
        <x:v>Chưa có</x:v>
      </x:c>
      <x:c r="M232" s="14" t="str">
        <x:v>Theo dõi và cập nhật link/chỉ dẫn hồ sơ sau khi có bằng chứng.</x:v>
      </x:c>
    </x:row>
    <x:row r="233">
      <x:c r="A233" s="14" t="str">
        <x:v>EVID-0232</x:v>
      </x:c>
      <x:c r="B233" s="14" t="str">
        <x:v>VATM-0232</x:v>
      </x:c>
      <x:c r="C233" s="14" t="str">
        <x:v>An toàn hàng không / SMS</x:v>
      </x:c>
      <x:c r="D233" s="14" t="str">
        <x:v>SPI/SPT và chỉ số an toàn</x:v>
      </x:c>
      <x:c r="E233" s="14" t="str">
        <x:v>Bổ sung bằng chứng theo yêu cầu nhiệm vụ</x:v>
      </x:c>
      <x:c r="F233" s="14" t="str">
        <x:v>Khác</x:v>
      </x:c>
      <x:c r="G233" s="14" t="str">
        <x:v>Ban An toàn - Chất lượng</x:v>
      </x:c>
      <x:c r="H233" s="14" t="str"/>
      <x:c r="I233" s="58" t="str"/>
      <x:c r="J233" s="58" t="str"/>
      <x:c r="K233" s="14" t="str"/>
      <x:c r="L233" s="14" t="str">
        <x:v>Chưa có</x:v>
      </x:c>
      <x:c r="M233" s="14" t="str">
        <x:v>Theo dõi và cập nhật link/chỉ dẫn hồ sơ sau khi có bằng chứng.</x:v>
      </x:c>
    </x:row>
    <x:row r="234">
      <x:c r="A234" s="14" t="str">
        <x:v>EVID-0233</x:v>
      </x:c>
      <x:c r="B234" s="14" t="str">
        <x:v>VATM-0233</x:v>
      </x:c>
      <x:c r="C234" s="14" t="str">
        <x:v>An toàn hàng không / SMS</x:v>
      </x:c>
      <x:c r="D234" s="14" t="str">
        <x:v>SPI/SPT và chỉ số an toàn</x:v>
      </x:c>
      <x:c r="E234" s="14" t="str">
        <x:v>Bổ sung bằng chứng theo yêu cầu nhiệm vụ</x:v>
      </x:c>
      <x:c r="F234" s="14" t="str">
        <x:v>Khác</x:v>
      </x:c>
      <x:c r="G234" s="14" t="str">
        <x:v>Ban An toàn - Chất lượng</x:v>
      </x:c>
      <x:c r="H234" s="14" t="str"/>
      <x:c r="I234" s="58" t="str"/>
      <x:c r="J234" s="58" t="str"/>
      <x:c r="K234" s="14" t="str"/>
      <x:c r="L234" s="14" t="str">
        <x:v>Chưa có</x:v>
      </x:c>
      <x:c r="M234" s="14" t="str">
        <x:v>Theo dõi và cập nhật link/chỉ dẫn hồ sơ sau khi có bằng chứng.</x:v>
      </x:c>
    </x:row>
    <x:row r="235">
      <x:c r="A235" s="14" t="str">
        <x:v>EVID-0234</x:v>
      </x:c>
      <x:c r="B235" s="14" t="str">
        <x:v>VATM-0234</x:v>
      </x:c>
      <x:c r="C235" s="14" t="str">
        <x:v>An toàn hàng không / SMS</x:v>
      </x:c>
      <x:c r="D235" s="14" t="str">
        <x:v>SPI/SPT và chỉ số an toàn</x:v>
      </x:c>
      <x:c r="E235" s="14" t="str">
        <x:v>Bổ sung bằng chứng theo yêu cầu nhiệm vụ</x:v>
      </x:c>
      <x:c r="F235" s="14" t="str">
        <x:v>Khác</x:v>
      </x:c>
      <x:c r="G235" s="14" t="str">
        <x:v>Ban An toàn - Chất lượng</x:v>
      </x:c>
      <x:c r="H235" s="14" t="str"/>
      <x:c r="I235" s="58" t="str"/>
      <x:c r="J235" s="58" t="str"/>
      <x:c r="K235" s="14" t="str"/>
      <x:c r="L235" s="14" t="str">
        <x:v>Chưa có</x:v>
      </x:c>
      <x:c r="M235" s="14" t="str">
        <x:v>Theo dõi và cập nhật link/chỉ dẫn hồ sơ sau khi có bằng chứng.</x:v>
      </x:c>
    </x:row>
    <x:row r="236">
      <x:c r="A236" s="14" t="str">
        <x:v>EVID-0235</x:v>
      </x:c>
      <x:c r="B236" s="14" t="str">
        <x:v>VATM-0235</x:v>
      </x:c>
      <x:c r="C236" s="14" t="str">
        <x:v>An toàn hàng không / SMS</x:v>
      </x:c>
      <x:c r="D236" s="14" t="str">
        <x:v>SPI/SPT và chỉ số an toàn</x:v>
      </x:c>
      <x:c r="E236" s="14" t="str">
        <x:v>Bổ sung bằng chứng theo yêu cầu nhiệm vụ</x:v>
      </x:c>
      <x:c r="F236" s="14" t="str">
        <x:v>Khác</x:v>
      </x:c>
      <x:c r="G236" s="14" t="str">
        <x:v>Ban An toàn - Chất lượng</x:v>
      </x:c>
      <x:c r="H236" s="14" t="str"/>
      <x:c r="I236" s="58" t="str"/>
      <x:c r="J236" s="58" t="str"/>
      <x:c r="K236" s="14" t="str"/>
      <x:c r="L236" s="14" t="str">
        <x:v>Chưa có</x:v>
      </x:c>
      <x:c r="M236" s="14" t="str">
        <x:v>Theo dõi và cập nhật link/chỉ dẫn hồ sơ sau khi có bằng chứng.</x:v>
      </x:c>
    </x:row>
    <x:row r="237">
      <x:c r="A237" s="14" t="str">
        <x:v>EVID-0236</x:v>
      </x:c>
      <x:c r="B237" s="14" t="str">
        <x:v>VATM-0236</x:v>
      </x:c>
      <x:c r="C237" s="14" t="str">
        <x:v>An toàn hàng không / SMS</x:v>
      </x:c>
      <x:c r="D237" s="14" t="str">
        <x:v>SPI/SPT và chỉ số an toàn</x:v>
      </x:c>
      <x:c r="E237" s="14" t="str">
        <x:v>Bổ sung bằng chứng theo yêu cầu nhiệm vụ</x:v>
      </x:c>
      <x:c r="F237" s="14" t="str">
        <x:v>Khác</x:v>
      </x:c>
      <x:c r="G237" s="14" t="str">
        <x:v>Ban An toàn - Chất lượng</x:v>
      </x:c>
      <x:c r="H237" s="14" t="str"/>
      <x:c r="I237" s="58" t="str"/>
      <x:c r="J237" s="58" t="str"/>
      <x:c r="K237" s="14" t="str"/>
      <x:c r="L237" s="14" t="str">
        <x:v>Chưa có</x:v>
      </x:c>
      <x:c r="M237" s="14" t="str">
        <x:v>Theo dõi và cập nhật link/chỉ dẫn hồ sơ sau khi có bằng chứng.</x:v>
      </x:c>
    </x:row>
    <x:row r="238">
      <x:c r="A238" s="14" t="str">
        <x:v>EVID-0237</x:v>
      </x:c>
      <x:c r="B238" s="14" t="str">
        <x:v>VATM-0237</x:v>
      </x:c>
      <x:c r="C238" s="14" t="str">
        <x:v>An toàn hàng không / SMS</x:v>
      </x:c>
      <x:c r="D238" s="14" t="str">
        <x:v>SPI/SPT và chỉ số an toàn</x:v>
      </x:c>
      <x:c r="E238" s="14" t="str">
        <x:v>Bổ sung bằng chứng theo yêu cầu nhiệm vụ</x:v>
      </x:c>
      <x:c r="F238" s="14" t="str">
        <x:v>Khác</x:v>
      </x:c>
      <x:c r="G238" s="14" t="str">
        <x:v>Ban An toàn - Chất lượng</x:v>
      </x:c>
      <x:c r="H238" s="14" t="str"/>
      <x:c r="I238" s="58" t="str"/>
      <x:c r="J238" s="58" t="str"/>
      <x:c r="K238" s="14" t="str"/>
      <x:c r="L238" s="14" t="str">
        <x:v>Chưa có</x:v>
      </x:c>
      <x:c r="M238" s="14" t="str">
        <x:v>Theo dõi và cập nhật link/chỉ dẫn hồ sơ sau khi có bằng chứng.</x:v>
      </x:c>
    </x:row>
    <x:row r="239">
      <x:c r="A239" s="14" t="str">
        <x:v>EVID-0238</x:v>
      </x:c>
      <x:c r="B239" s="14" t="str">
        <x:v>VATM-0238</x:v>
      </x:c>
      <x:c r="C239" s="14" t="str">
        <x:v>An toàn hàng không / SMS</x:v>
      </x:c>
      <x:c r="D239" s="14" t="str">
        <x:v>SPI/SPT và chỉ số an toàn</x:v>
      </x:c>
      <x:c r="E239" s="14" t="str">
        <x:v>Bổ sung bằng chứng theo yêu cầu nhiệm vụ</x:v>
      </x:c>
      <x:c r="F239" s="14" t="str">
        <x:v>Khác</x:v>
      </x:c>
      <x:c r="G239" s="14" t="str">
        <x:v>Ban An toàn - Chất lượng</x:v>
      </x:c>
      <x:c r="H239" s="14" t="str"/>
      <x:c r="I239" s="58" t="str"/>
      <x:c r="J239" s="58" t="str"/>
      <x:c r="K239" s="14" t="str"/>
      <x:c r="L239" s="14" t="str">
        <x:v>Chưa có</x:v>
      </x:c>
      <x:c r="M239" s="14" t="str">
        <x:v>Theo dõi và cập nhật link/chỉ dẫn hồ sơ sau khi có bằng chứng.</x:v>
      </x:c>
    </x:row>
    <x:row r="240">
      <x:c r="A240" s="14" t="str">
        <x:v>EVID-0239</x:v>
      </x:c>
      <x:c r="B240" s="14" t="str">
        <x:v>VATM-0239</x:v>
      </x:c>
      <x:c r="C240" s="14" t="str">
        <x:v>An toàn hàng không / SMS</x:v>
      </x:c>
      <x:c r="D240" s="14" t="str">
        <x:v>SPI/SPT và chỉ số an toàn</x:v>
      </x:c>
      <x:c r="E240" s="14" t="str">
        <x:v>Bổ sung bằng chứng theo yêu cầu nhiệm vụ</x:v>
      </x:c>
      <x:c r="F240" s="14" t="str">
        <x:v>Khác</x:v>
      </x:c>
      <x:c r="G240" s="14" t="str">
        <x:v>Ban An toàn - Chất lượng</x:v>
      </x:c>
      <x:c r="H240" s="14" t="str"/>
      <x:c r="I240" s="58" t="str"/>
      <x:c r="J240" s="58" t="str"/>
      <x:c r="K240" s="14" t="str"/>
      <x:c r="L240" s="14" t="str">
        <x:v>Chưa có</x:v>
      </x:c>
      <x:c r="M240" s="14" t="str">
        <x:v>Theo dõi và cập nhật link/chỉ dẫn hồ sơ sau khi có bằng chứng.</x:v>
      </x:c>
    </x:row>
    <x:row r="241">
      <x:c r="A241" s="14" t="str">
        <x:v>EVID-0240</x:v>
      </x:c>
      <x:c r="B241" s="14" t="str">
        <x:v>VATM-0240</x:v>
      </x:c>
      <x:c r="C241" s="14" t="str">
        <x:v>An toàn hàng không / SMS</x:v>
      </x:c>
      <x:c r="D241" s="14" t="str">
        <x:v>SPI/SPT và chỉ số an toàn</x:v>
      </x:c>
      <x:c r="E241" s="14" t="str">
        <x:v>Bổ sung bằng chứng theo yêu cầu nhiệm vụ</x:v>
      </x:c>
      <x:c r="F241" s="14" t="str">
        <x:v>Khác</x:v>
      </x:c>
      <x:c r="G241" s="14" t="str">
        <x:v>Ban An toàn - Chất lượng</x:v>
      </x:c>
      <x:c r="H241" s="14" t="str"/>
      <x:c r="I241" s="58" t="str"/>
      <x:c r="J241" s="58" t="str"/>
      <x:c r="K241" s="14" t="str"/>
      <x:c r="L241" s="14" t="str">
        <x:v>Chưa có</x:v>
      </x:c>
      <x:c r="M241" s="14" t="str">
        <x:v>Theo dõi và cập nhật link/chỉ dẫn hồ sơ sau khi có bằng chứng.</x:v>
      </x:c>
    </x:row>
    <x:row r="242">
      <x:c r="A242" s="14" t="str">
        <x:v>EVID-0241</x:v>
      </x:c>
      <x:c r="B242" s="14" t="str">
        <x:v>VATM-0241</x:v>
      </x:c>
      <x:c r="C242" s="14" t="str">
        <x:v>An toàn hàng không / SMS</x:v>
      </x:c>
      <x:c r="D242" s="14" t="str">
        <x:v>SPI/SPT và chỉ số an toàn</x:v>
      </x:c>
      <x:c r="E242" s="14" t="str">
        <x:v>Bổ sung bằng chứng theo yêu cầu nhiệm vụ</x:v>
      </x:c>
      <x:c r="F242" s="14" t="str">
        <x:v>Khác</x:v>
      </x:c>
      <x:c r="G242" s="14" t="str">
        <x:v>Ban An toàn - Chất lượng</x:v>
      </x:c>
      <x:c r="H242" s="14" t="str"/>
      <x:c r="I242" s="58" t="str"/>
      <x:c r="J242" s="58" t="str"/>
      <x:c r="K242" s="14" t="str"/>
      <x:c r="L242" s="14" t="str">
        <x:v>Chưa có</x:v>
      </x:c>
      <x:c r="M242" s="14" t="str">
        <x:v>Theo dõi và cập nhật link/chỉ dẫn hồ sơ sau khi có bằng chứng.</x:v>
      </x:c>
    </x:row>
    <x:row r="243">
      <x:c r="A243" s="14" t="str">
        <x:v>EVID-0242</x:v>
      </x:c>
      <x:c r="B243" s="14" t="str">
        <x:v>VATM-0242</x:v>
      </x:c>
      <x:c r="C243" s="14" t="str">
        <x:v>An toàn hàng không / SMS</x:v>
      </x:c>
      <x:c r="D243" s="14" t="str">
        <x:v>SPI/SPT và chỉ số an toàn</x:v>
      </x:c>
      <x:c r="E243" s="14" t="str">
        <x:v>Bổ sung bằng chứng theo yêu cầu nhiệm vụ</x:v>
      </x:c>
      <x:c r="F243" s="14" t="str">
        <x:v>Khác</x:v>
      </x:c>
      <x:c r="G243" s="14" t="str">
        <x:v>Ban An toàn - Chất lượng</x:v>
      </x:c>
      <x:c r="H243" s="14" t="str"/>
      <x:c r="I243" s="58" t="str"/>
      <x:c r="J243" s="58" t="str"/>
      <x:c r="K243" s="14" t="str"/>
      <x:c r="L243" s="14" t="str">
        <x:v>Chưa có</x:v>
      </x:c>
      <x:c r="M243" s="14" t="str">
        <x:v>Theo dõi và cập nhật link/chỉ dẫn hồ sơ sau khi có bằng chứng.</x:v>
      </x:c>
    </x:row>
    <x:row r="244">
      <x:c r="A244" s="14" t="str">
        <x:v>EVID-0243</x:v>
      </x:c>
      <x:c r="B244" s="14" t="str">
        <x:v>VATM-0243</x:v>
      </x:c>
      <x:c r="C244" s="14" t="str">
        <x:v>An toàn hàng không / SMS</x:v>
      </x:c>
      <x:c r="D244" s="14" t="str">
        <x:v>SPI/SPT và chỉ số an toàn</x:v>
      </x:c>
      <x:c r="E244" s="14" t="str">
        <x:v>Bổ sung bằng chứng theo yêu cầu nhiệm vụ</x:v>
      </x:c>
      <x:c r="F244" s="14" t="str">
        <x:v>Khác</x:v>
      </x:c>
      <x:c r="G244" s="14" t="str">
        <x:v>Ban An toàn - Chất lượng</x:v>
      </x:c>
      <x:c r="H244" s="14" t="str"/>
      <x:c r="I244" s="58" t="str"/>
      <x:c r="J244" s="58" t="str"/>
      <x:c r="K244" s="14" t="str"/>
      <x:c r="L244" s="14" t="str">
        <x:v>Chưa có</x:v>
      </x:c>
      <x:c r="M244" s="14" t="str">
        <x:v>Theo dõi và cập nhật link/chỉ dẫn hồ sơ sau khi có bằng chứng.</x:v>
      </x:c>
    </x:row>
    <x:row r="245">
      <x:c r="A245" s="14" t="str">
        <x:v>EVID-0244</x:v>
      </x:c>
      <x:c r="B245" s="14" t="str">
        <x:v>VATM-0244</x:v>
      </x:c>
      <x:c r="C245" s="14" t="str">
        <x:v>An toàn hàng không / SMS</x:v>
      </x:c>
      <x:c r="D245" s="14" t="str">
        <x:v>SPI/SPT và chỉ số an toàn</x:v>
      </x:c>
      <x:c r="E245" s="14" t="str">
        <x:v>Bổ sung bằng chứng theo yêu cầu nhiệm vụ</x:v>
      </x:c>
      <x:c r="F245" s="14" t="str">
        <x:v>Khác</x:v>
      </x:c>
      <x:c r="G245" s="14" t="str">
        <x:v>Ban An toàn - Chất lượng</x:v>
      </x:c>
      <x:c r="H245" s="14" t="str"/>
      <x:c r="I245" s="58" t="str"/>
      <x:c r="J245" s="58" t="str"/>
      <x:c r="K245" s="14" t="str"/>
      <x:c r="L245" s="14" t="str">
        <x:v>Chưa có</x:v>
      </x:c>
      <x:c r="M245" s="14" t="str">
        <x:v>Theo dõi và cập nhật link/chỉ dẫn hồ sơ sau khi có bằng chứng.</x:v>
      </x:c>
    </x:row>
    <x:row r="246">
      <x:c r="A246" s="14" t="str">
        <x:v>EVID-0245</x:v>
      </x:c>
      <x:c r="B246" s="14" t="str">
        <x:v>VATM-0245</x:v>
      </x:c>
      <x:c r="C246" s="14" t="str">
        <x:v>An toàn hàng không / SMS</x:v>
      </x:c>
      <x:c r="D246" s="14" t="str">
        <x:v>SPI/SPT và chỉ số an toàn</x:v>
      </x:c>
      <x:c r="E246" s="14" t="str">
        <x:v>Bổ sung bằng chứng theo yêu cầu nhiệm vụ</x:v>
      </x:c>
      <x:c r="F246" s="14" t="str">
        <x:v>Khác</x:v>
      </x:c>
      <x:c r="G246" s="14" t="str">
        <x:v>Ban An toàn - Chất lượng</x:v>
      </x:c>
      <x:c r="H246" s="14" t="str"/>
      <x:c r="I246" s="58" t="str"/>
      <x:c r="J246" s="58" t="str"/>
      <x:c r="K246" s="14" t="str"/>
      <x:c r="L246" s="14" t="str">
        <x:v>Chưa có</x:v>
      </x:c>
      <x:c r="M246" s="14" t="str">
        <x:v>Theo dõi và cập nhật link/chỉ dẫn hồ sơ sau khi có bằng chứng.</x:v>
      </x:c>
    </x:row>
    <x:row r="247">
      <x:c r="A247" s="14" t="str">
        <x:v>EVID-0246</x:v>
      </x:c>
      <x:c r="B247" s="14" t="str">
        <x:v>VATM-0246</x:v>
      </x:c>
      <x:c r="C247" s="14" t="str">
        <x:v>An toàn hàng không / SMS</x:v>
      </x:c>
      <x:c r="D247" s="14" t="str">
        <x:v>SPI/SPT và chỉ số an toàn</x:v>
      </x:c>
      <x:c r="E247" s="14" t="str">
        <x:v>Bổ sung bằng chứng theo yêu cầu nhiệm vụ</x:v>
      </x:c>
      <x:c r="F247" s="14" t="str">
        <x:v>Khác</x:v>
      </x:c>
      <x:c r="G247" s="14" t="str">
        <x:v>Ban An toàn - Chất lượng</x:v>
      </x:c>
      <x:c r="H247" s="14" t="str"/>
      <x:c r="I247" s="58" t="str"/>
      <x:c r="J247" s="58" t="str"/>
      <x:c r="K247" s="14" t="str"/>
      <x:c r="L247" s="14" t="str">
        <x:v>Chưa có</x:v>
      </x:c>
      <x:c r="M247" s="14" t="str">
        <x:v>Theo dõi và cập nhật link/chỉ dẫn hồ sơ sau khi có bằng chứng.</x:v>
      </x:c>
    </x:row>
    <x:row r="248">
      <x:c r="A248" s="14" t="str">
        <x:v>EVID-0247</x:v>
      </x:c>
      <x:c r="B248" s="14" t="str">
        <x:v>VATM-0247</x:v>
      </x:c>
      <x:c r="C248" s="14" t="str">
        <x:v>An toàn hàng không / SMS</x:v>
      </x:c>
      <x:c r="D248" s="14" t="str">
        <x:v>SPI/SPT và chỉ số an toàn</x:v>
      </x:c>
      <x:c r="E248" s="14" t="str">
        <x:v>Bổ sung bằng chứng theo yêu cầu nhiệm vụ</x:v>
      </x:c>
      <x:c r="F248" s="14" t="str">
        <x:v>Khác</x:v>
      </x:c>
      <x:c r="G248" s="14" t="str">
        <x:v>Ban An toàn - Chất lượng</x:v>
      </x:c>
      <x:c r="H248" s="14" t="str"/>
      <x:c r="I248" s="58" t="str"/>
      <x:c r="J248" s="58" t="str"/>
      <x:c r="K248" s="14" t="str"/>
      <x:c r="L248" s="14" t="str">
        <x:v>Chưa có</x:v>
      </x:c>
      <x:c r="M248" s="14" t="str">
        <x:v>Theo dõi và cập nhật link/chỉ dẫn hồ sơ sau khi có bằng chứng.</x:v>
      </x:c>
    </x:row>
    <x:row r="249">
      <x:c r="A249" s="14" t="str">
        <x:v>EVID-0248</x:v>
      </x:c>
      <x:c r="B249" s="14" t="str">
        <x:v>VATM-0248</x:v>
      </x:c>
      <x:c r="C249" s="14" t="str">
        <x:v>An toàn hàng không / SMS</x:v>
      </x:c>
      <x:c r="D249" s="14" t="str">
        <x:v>SPI/SPT và chỉ số an toàn</x:v>
      </x:c>
      <x:c r="E249" s="14" t="str">
        <x:v>Bổ sung bằng chứng theo yêu cầu nhiệm vụ</x:v>
      </x:c>
      <x:c r="F249" s="14" t="str">
        <x:v>Khác</x:v>
      </x:c>
      <x:c r="G249" s="14" t="str">
        <x:v>Ban An toàn - Chất lượng</x:v>
      </x:c>
      <x:c r="H249" s="14" t="str"/>
      <x:c r="I249" s="58" t="str"/>
      <x:c r="J249" s="58" t="str"/>
      <x:c r="K249" s="14" t="str"/>
      <x:c r="L249" s="14" t="str">
        <x:v>Chưa có</x:v>
      </x:c>
      <x:c r="M249" s="14" t="str">
        <x:v>Theo dõi và cập nhật link/chỉ dẫn hồ sơ sau khi có bằng chứng.</x:v>
      </x:c>
    </x:row>
    <x:row r="250">
      <x:c r="A250" s="14" t="str">
        <x:v>EVID-0249</x:v>
      </x:c>
      <x:c r="B250" s="14" t="str">
        <x:v>VATM-0249</x:v>
      </x:c>
      <x:c r="C250" s="14" t="str">
        <x:v>An toàn hàng không / SMS</x:v>
      </x:c>
      <x:c r="D250" s="14" t="str">
        <x:v>SPI/SPT và chỉ số an toàn</x:v>
      </x:c>
      <x:c r="E250" s="14" t="str">
        <x:v>Bổ sung bằng chứng theo yêu cầu nhiệm vụ</x:v>
      </x:c>
      <x:c r="F250" s="14" t="str">
        <x:v>Khác</x:v>
      </x:c>
      <x:c r="G250" s="14" t="str">
        <x:v>Ban An toàn - Chất lượng</x:v>
      </x:c>
      <x:c r="H250" s="14" t="str"/>
      <x:c r="I250" s="58" t="str"/>
      <x:c r="J250" s="58" t="str"/>
      <x:c r="K250" s="14" t="str"/>
      <x:c r="L250" s="14" t="str">
        <x:v>Chưa có</x:v>
      </x:c>
      <x:c r="M250" s="14" t="str">
        <x:v>Theo dõi và cập nhật link/chỉ dẫn hồ sơ sau khi có bằng chứng.</x:v>
      </x:c>
    </x:row>
    <x:row r="251">
      <x:c r="A251" s="14" t="str">
        <x:v>EVID-0250</x:v>
      </x:c>
      <x:c r="B251" s="14" t="str">
        <x:v>VATM-0250</x:v>
      </x:c>
      <x:c r="C251" s="14" t="str">
        <x:v>An toàn hàng không / SMS</x:v>
      </x:c>
      <x:c r="D251" s="14" t="str">
        <x:v>SPI/SPT và chỉ số an toàn</x:v>
      </x:c>
      <x:c r="E251" s="14" t="str">
        <x:v>Bổ sung bằng chứng theo yêu cầu nhiệm vụ</x:v>
      </x:c>
      <x:c r="F251" s="14" t="str">
        <x:v>Khác</x:v>
      </x:c>
      <x:c r="G251" s="14" t="str">
        <x:v>Ban An toàn - Chất lượng</x:v>
      </x:c>
      <x:c r="H251" s="14" t="str"/>
      <x:c r="I251" s="58" t="str"/>
      <x:c r="J251" s="58" t="str"/>
      <x:c r="K251" s="14" t="str"/>
      <x:c r="L251" s="14" t="str">
        <x:v>Chưa có</x:v>
      </x:c>
      <x:c r="M251" s="14" t="str">
        <x:v>Theo dõi và cập nhật link/chỉ dẫn hồ sơ sau khi có bằng chứng.</x:v>
      </x:c>
    </x:row>
    <x:row r="252">
      <x:c r="A252" s="14" t="str">
        <x:v>EVID-0251</x:v>
      </x:c>
      <x:c r="B252" s="14" t="str">
        <x:v>VATM-0251</x:v>
      </x:c>
      <x:c r="C252" s="14" t="str">
        <x:v>An toàn hàng không / SMS</x:v>
      </x:c>
      <x:c r="D252" s="14" t="str">
        <x:v>SPI/SPT và chỉ số an toàn</x:v>
      </x:c>
      <x:c r="E252" s="14" t="str">
        <x:v>Bổ sung bằng chứng theo yêu cầu nhiệm vụ</x:v>
      </x:c>
      <x:c r="F252" s="14" t="str">
        <x:v>Khác</x:v>
      </x:c>
      <x:c r="G252" s="14" t="str">
        <x:v>Ban An toàn - Chất lượng</x:v>
      </x:c>
      <x:c r="H252" s="14" t="str"/>
      <x:c r="I252" s="58" t="str"/>
      <x:c r="J252" s="58" t="str"/>
      <x:c r="K252" s="14" t="str"/>
      <x:c r="L252" s="14" t="str">
        <x:v>Chưa có</x:v>
      </x:c>
      <x:c r="M252" s="14" t="str">
        <x:v>Theo dõi và cập nhật link/chỉ dẫn hồ sơ sau khi có bằng chứng.</x:v>
      </x:c>
    </x:row>
    <x:row r="253">
      <x:c r="A253" s="14" t="str">
        <x:v>EVID-0252</x:v>
      </x:c>
      <x:c r="B253" s="14" t="str">
        <x:v>VATM-0252</x:v>
      </x:c>
      <x:c r="C253" s="14" t="str">
        <x:v>An toàn hàng không / SMS</x:v>
      </x:c>
      <x:c r="D253" s="14" t="str">
        <x:v>SPI/SPT và chỉ số an toàn</x:v>
      </x:c>
      <x:c r="E253" s="14" t="str">
        <x:v>Bổ sung bằng chứng theo yêu cầu nhiệm vụ</x:v>
      </x:c>
      <x:c r="F253" s="14" t="str">
        <x:v>Khác</x:v>
      </x:c>
      <x:c r="G253" s="14" t="str">
        <x:v>Ban An toàn - Chất lượng</x:v>
      </x:c>
      <x:c r="H253" s="14" t="str"/>
      <x:c r="I253" s="58" t="str"/>
      <x:c r="J253" s="58" t="str"/>
      <x:c r="K253" s="14" t="str"/>
      <x:c r="L253" s="14" t="str">
        <x:v>Chưa có</x:v>
      </x:c>
      <x:c r="M253" s="14" t="str">
        <x:v>Theo dõi và cập nhật link/chỉ dẫn hồ sơ sau khi có bằng chứng.</x:v>
      </x:c>
    </x:row>
    <x:row r="254">
      <x:c r="A254" s="14" t="str">
        <x:v>EVID-0253</x:v>
      </x:c>
      <x:c r="B254" s="14" t="str">
        <x:v>VATM-0253</x:v>
      </x:c>
      <x:c r="C254" s="14" t="str">
        <x:v>An toàn hàng không / SMS</x:v>
      </x:c>
      <x:c r="D254" s="14" t="str">
        <x:v>SPI/SPT và chỉ số an toàn</x:v>
      </x:c>
      <x:c r="E254" s="14" t="str">
        <x:v>Bổ sung bằng chứng theo yêu cầu nhiệm vụ</x:v>
      </x:c>
      <x:c r="F254" s="14" t="str">
        <x:v>Khác</x:v>
      </x:c>
      <x:c r="G254" s="14" t="str">
        <x:v>Ban An toàn - Chất lượng</x:v>
      </x:c>
      <x:c r="H254" s="14" t="str"/>
      <x:c r="I254" s="58" t="str"/>
      <x:c r="J254" s="58" t="str"/>
      <x:c r="K254" s="14" t="str"/>
      <x:c r="L254" s="14" t="str">
        <x:v>Chưa có</x:v>
      </x:c>
      <x:c r="M254" s="14" t="str">
        <x:v>Theo dõi và cập nhật link/chỉ dẫn hồ sơ sau khi có bằng chứng.</x:v>
      </x:c>
    </x:row>
    <x:row r="255">
      <x:c r="A255" s="14" t="str">
        <x:v>EVID-0254</x:v>
      </x:c>
      <x:c r="B255" s="14" t="str">
        <x:v>VATM-0254</x:v>
      </x:c>
      <x:c r="C255" s="14" t="str">
        <x:v>An toàn hàng không / SMS</x:v>
      </x:c>
      <x:c r="D255" s="14" t="str">
        <x:v>SPI/SPT và chỉ số an toàn</x:v>
      </x:c>
      <x:c r="E255" s="14" t="str">
        <x:v>Bổ sung bằng chứng theo yêu cầu nhiệm vụ</x:v>
      </x:c>
      <x:c r="F255" s="14" t="str">
        <x:v>Khác</x:v>
      </x:c>
      <x:c r="G255" s="14" t="str">
        <x:v>Ban An toàn - Chất lượng</x:v>
      </x:c>
      <x:c r="H255" s="14" t="str"/>
      <x:c r="I255" s="58" t="str"/>
      <x:c r="J255" s="58" t="str"/>
      <x:c r="K255" s="14" t="str"/>
      <x:c r="L255" s="14" t="str">
        <x:v>Chưa có</x:v>
      </x:c>
      <x:c r="M255" s="14" t="str">
        <x:v>Theo dõi và cập nhật link/chỉ dẫn hồ sơ sau khi có bằng chứng.</x:v>
      </x:c>
    </x:row>
    <x:row r="256">
      <x:c r="A256" s="14" t="str">
        <x:v>EVID-0255</x:v>
      </x:c>
      <x:c r="B256" s="14" t="str">
        <x:v>VATM-0255</x:v>
      </x:c>
      <x:c r="C256" s="14" t="str">
        <x:v>An toàn hàng không / SMS</x:v>
      </x:c>
      <x:c r="D256" s="14" t="str">
        <x:v>SPI/SPT và chỉ số an toàn</x:v>
      </x:c>
      <x:c r="E256" s="14" t="str">
        <x:v>Bổ sung bằng chứng theo yêu cầu nhiệm vụ</x:v>
      </x:c>
      <x:c r="F256" s="14" t="str">
        <x:v>Khác</x:v>
      </x:c>
      <x:c r="G256" s="14" t="str">
        <x:v>Ban An toàn - Chất lượng</x:v>
      </x:c>
      <x:c r="H256" s="14" t="str"/>
      <x:c r="I256" s="58" t="str"/>
      <x:c r="J256" s="58" t="str"/>
      <x:c r="K256" s="14" t="str"/>
      <x:c r="L256" s="14" t="str">
        <x:v>Chưa có</x:v>
      </x:c>
      <x:c r="M256" s="14" t="str">
        <x:v>Theo dõi và cập nhật link/chỉ dẫn hồ sơ sau khi có bằng chứng.</x:v>
      </x:c>
    </x:row>
    <x:row r="257">
      <x:c r="A257" s="14" t="str">
        <x:v>EVID-0256</x:v>
      </x:c>
      <x:c r="B257" s="14" t="str">
        <x:v>VATM-0256</x:v>
      </x:c>
      <x:c r="C257" s="14" t="str">
        <x:v>An toàn hàng không / SMS</x:v>
      </x:c>
      <x:c r="D257" s="14" t="str">
        <x:v>SPI/SPT và chỉ số an toàn</x:v>
      </x:c>
      <x:c r="E257" s="14" t="str">
        <x:v>Bổ sung bằng chứng theo yêu cầu nhiệm vụ</x:v>
      </x:c>
      <x:c r="F257" s="14" t="str">
        <x:v>Khác</x:v>
      </x:c>
      <x:c r="G257" s="14" t="str">
        <x:v>Ban An toàn - Chất lượng</x:v>
      </x:c>
      <x:c r="H257" s="14" t="str"/>
      <x:c r="I257" s="58" t="str"/>
      <x:c r="J257" s="58" t="str"/>
      <x:c r="K257" s="14" t="str"/>
      <x:c r="L257" s="14" t="str">
        <x:v>Chưa có</x:v>
      </x:c>
      <x:c r="M257" s="14" t="str">
        <x:v>Theo dõi và cập nhật link/chỉ dẫn hồ sơ sau khi có bằng chứng.</x:v>
      </x:c>
    </x:row>
    <x:row r="258">
      <x:c r="A258" s="14" t="str">
        <x:v>EVID-0257</x:v>
      </x:c>
      <x:c r="B258" s="14" t="str">
        <x:v>VATM-0257</x:v>
      </x:c>
      <x:c r="C258" s="14" t="str">
        <x:v>An toàn hàng không / SMS</x:v>
      </x:c>
      <x:c r="D258" s="14" t="str">
        <x:v>SPI/SPT và chỉ số an toàn</x:v>
      </x:c>
      <x:c r="E258" s="14" t="str">
        <x:v>Bổ sung bằng chứng theo yêu cầu nhiệm vụ</x:v>
      </x:c>
      <x:c r="F258" s="14" t="str">
        <x:v>Khác</x:v>
      </x:c>
      <x:c r="G258" s="14" t="str">
        <x:v>Ban An toàn - Chất lượng</x:v>
      </x:c>
      <x:c r="H258" s="14" t="str"/>
      <x:c r="I258" s="58" t="str"/>
      <x:c r="J258" s="58" t="str"/>
      <x:c r="K258" s="14" t="str"/>
      <x:c r="L258" s="14" t="str">
        <x:v>Chưa có</x:v>
      </x:c>
      <x:c r="M258" s="14" t="str">
        <x:v>Theo dõi và cập nhật link/chỉ dẫn hồ sơ sau khi có bằng chứng.</x:v>
      </x:c>
    </x:row>
    <x:row r="259">
      <x:c r="A259" s="14" t="str">
        <x:v>EVID-0258</x:v>
      </x:c>
      <x:c r="B259" s="14" t="str">
        <x:v>VATM-0258</x:v>
      </x:c>
      <x:c r="C259" s="14" t="str">
        <x:v>An toàn hàng không / SMS</x:v>
      </x:c>
      <x:c r="D259" s="14" t="str">
        <x:v>SPI/SPT và chỉ số an toàn</x:v>
      </x:c>
      <x:c r="E259" s="14" t="str">
        <x:v>Bổ sung bằng chứng theo yêu cầu nhiệm vụ</x:v>
      </x:c>
      <x:c r="F259" s="14" t="str">
        <x:v>Khác</x:v>
      </x:c>
      <x:c r="G259" s="14" t="str">
        <x:v>Ban An toàn - Chất lượng</x:v>
      </x:c>
      <x:c r="H259" s="14" t="str"/>
      <x:c r="I259" s="58" t="str"/>
      <x:c r="J259" s="58" t="str"/>
      <x:c r="K259" s="14" t="str"/>
      <x:c r="L259" s="14" t="str">
        <x:v>Chưa có</x:v>
      </x:c>
      <x:c r="M259" s="14" t="str">
        <x:v>Theo dõi và cập nhật link/chỉ dẫn hồ sơ sau khi có bằng chứng.</x:v>
      </x:c>
    </x:row>
    <x:row r="260">
      <x:c r="A260" s="14" t="str">
        <x:v>EVID-0259</x:v>
      </x:c>
      <x:c r="B260" s="14" t="str">
        <x:v>VATM-0259</x:v>
      </x:c>
      <x:c r="C260" s="14" t="str">
        <x:v>An toàn hàng không / SMS</x:v>
      </x:c>
      <x:c r="D260" s="14" t="str">
        <x:v>SPI/SPT và chỉ số an toàn</x:v>
      </x:c>
      <x:c r="E260" s="14" t="str">
        <x:v>Bổ sung bằng chứng theo yêu cầu nhiệm vụ</x:v>
      </x:c>
      <x:c r="F260" s="14" t="str">
        <x:v>Khác</x:v>
      </x:c>
      <x:c r="G260" s="14" t="str">
        <x:v>Ban An toàn - Chất lượng</x:v>
      </x:c>
      <x:c r="H260" s="14" t="str"/>
      <x:c r="I260" s="58" t="str"/>
      <x:c r="J260" s="58" t="str"/>
      <x:c r="K260" s="14" t="str"/>
      <x:c r="L260" s="14" t="str">
        <x:v>Chưa có</x:v>
      </x:c>
      <x:c r="M260" s="14" t="str">
        <x:v>Theo dõi và cập nhật link/chỉ dẫn hồ sơ sau khi có bằng chứng.</x:v>
      </x:c>
    </x:row>
    <x:row r="261">
      <x:c r="A261" s="14" t="str">
        <x:v>EVID-0260</x:v>
      </x:c>
      <x:c r="B261" s="14" t="str">
        <x:v>VATM-0260</x:v>
      </x:c>
      <x:c r="C261" s="14" t="str">
        <x:v>An toàn hàng không / SMS</x:v>
      </x:c>
      <x:c r="D261" s="14" t="str">
        <x:v>SPI/SPT và chỉ số an toàn</x:v>
      </x:c>
      <x:c r="E261" s="14" t="str">
        <x:v>Bổ sung bằng chứng theo yêu cầu nhiệm vụ</x:v>
      </x:c>
      <x:c r="F261" s="14" t="str">
        <x:v>Khác</x:v>
      </x:c>
      <x:c r="G261" s="14" t="str">
        <x:v>Ban An toàn - Chất lượng</x:v>
      </x:c>
      <x:c r="H261" s="14" t="str"/>
      <x:c r="I261" s="58" t="str"/>
      <x:c r="J261" s="58" t="str"/>
      <x:c r="K261" s="14" t="str"/>
      <x:c r="L261" s="14" t="str">
        <x:v>Chưa có</x:v>
      </x:c>
      <x:c r="M261" s="14" t="str">
        <x:v>Theo dõi và cập nhật link/chỉ dẫn hồ sơ sau khi có bằng chứng.</x:v>
      </x:c>
    </x:row>
    <x:row r="262">
      <x:c r="A262" s="14" t="str">
        <x:v>EVID-0261</x:v>
      </x:c>
      <x:c r="B262" s="14" t="str">
        <x:v>VATM-0261</x:v>
      </x:c>
      <x:c r="C262" s="14" t="str">
        <x:v>An toàn hàng không / SMS</x:v>
      </x:c>
      <x:c r="D262" s="14" t="str">
        <x:v>SPI/SPT và chỉ số an toàn</x:v>
      </x:c>
      <x:c r="E262" s="14" t="str">
        <x:v>Bổ sung bằng chứng theo yêu cầu nhiệm vụ</x:v>
      </x:c>
      <x:c r="F262" s="14" t="str">
        <x:v>Khác</x:v>
      </x:c>
      <x:c r="G262" s="14" t="str">
        <x:v>Ban An toàn - Chất lượng</x:v>
      </x:c>
      <x:c r="H262" s="14" t="str"/>
      <x:c r="I262" s="58" t="str"/>
      <x:c r="J262" s="58" t="str"/>
      <x:c r="K262" s="14" t="str"/>
      <x:c r="L262" s="14" t="str">
        <x:v>Chưa có</x:v>
      </x:c>
      <x:c r="M262" s="14" t="str">
        <x:v>Theo dõi và cập nhật link/chỉ dẫn hồ sơ sau khi có bằng chứng.</x:v>
      </x:c>
    </x:row>
    <x:row r="263">
      <x:c r="A263" s="14" t="str">
        <x:v>EVID-0262</x:v>
      </x:c>
      <x:c r="B263" s="14" t="str">
        <x:v>VATM-0262</x:v>
      </x:c>
      <x:c r="C263" s="14" t="str">
        <x:v>An toàn hàng không / SMS</x:v>
      </x:c>
      <x:c r="D263" s="14" t="str">
        <x:v>SPI/SPT và chỉ số an toàn</x:v>
      </x:c>
      <x:c r="E263" s="14" t="str">
        <x:v>Bổ sung bằng chứng theo yêu cầu nhiệm vụ</x:v>
      </x:c>
      <x:c r="F263" s="14" t="str">
        <x:v>Khác</x:v>
      </x:c>
      <x:c r="G263" s="14" t="str">
        <x:v>Ban An toàn - Chất lượng</x:v>
      </x:c>
      <x:c r="H263" s="14" t="str"/>
      <x:c r="I263" s="58" t="str"/>
      <x:c r="J263" s="58" t="str"/>
      <x:c r="K263" s="14" t="str"/>
      <x:c r="L263" s="14" t="str">
        <x:v>Chưa có</x:v>
      </x:c>
      <x:c r="M263" s="14" t="str">
        <x:v>Theo dõi và cập nhật link/chỉ dẫn hồ sơ sau khi có bằng chứng.</x:v>
      </x:c>
    </x:row>
    <x:row r="264">
      <x:c r="A264" s="14" t="str">
        <x:v>EVID-0263</x:v>
      </x:c>
      <x:c r="B264" s="14" t="str">
        <x:v>VATM-0263</x:v>
      </x:c>
      <x:c r="C264" s="14" t="str">
        <x:v>An toàn hàng không / SMS</x:v>
      </x:c>
      <x:c r="D264" s="14" t="str">
        <x:v>SPI/SPT và chỉ số an toàn</x:v>
      </x:c>
      <x:c r="E264" s="14" t="str">
        <x:v>Bổ sung bằng chứng theo yêu cầu nhiệm vụ</x:v>
      </x:c>
      <x:c r="F264" s="14" t="str">
        <x:v>Khác</x:v>
      </x:c>
      <x:c r="G264" s="14" t="str">
        <x:v>Ban An toàn - Chất lượng</x:v>
      </x:c>
      <x:c r="H264" s="14" t="str"/>
      <x:c r="I264" s="58" t="str"/>
      <x:c r="J264" s="58" t="str"/>
      <x:c r="K264" s="14" t="str"/>
      <x:c r="L264" s="14" t="str">
        <x:v>Chưa có</x:v>
      </x:c>
      <x:c r="M264" s="14" t="str">
        <x:v>Theo dõi và cập nhật link/chỉ dẫn hồ sơ sau khi có bằng chứng.</x:v>
      </x:c>
    </x:row>
    <x:row r="265">
      <x:c r="A265" s="14" t="str">
        <x:v>EVID-0264</x:v>
      </x:c>
      <x:c r="B265" s="14" t="str">
        <x:v>VATM-0264</x:v>
      </x:c>
      <x:c r="C265" s="14" t="str">
        <x:v>An toàn hàng không / SMS</x:v>
      </x:c>
      <x:c r="D265" s="14" t="str">
        <x:v>SPI/SPT và chỉ số an toàn</x:v>
      </x:c>
      <x:c r="E265" s="14" t="str">
        <x:v>Bổ sung bằng chứng theo yêu cầu nhiệm vụ</x:v>
      </x:c>
      <x:c r="F265" s="14" t="str">
        <x:v>Khác</x:v>
      </x:c>
      <x:c r="G265" s="14" t="str">
        <x:v>Ban An toàn - Chất lượng</x:v>
      </x:c>
      <x:c r="H265" s="14" t="str"/>
      <x:c r="I265" s="58" t="str"/>
      <x:c r="J265" s="58" t="str"/>
      <x:c r="K265" s="14" t="str"/>
      <x:c r="L265" s="14" t="str">
        <x:v>Chưa có</x:v>
      </x:c>
      <x:c r="M265" s="14" t="str">
        <x:v>Theo dõi và cập nhật link/chỉ dẫn hồ sơ sau khi có bằng chứng.</x:v>
      </x:c>
    </x:row>
    <x:row r="266">
      <x:c r="A266" s="14" t="str">
        <x:v>EVID-0265</x:v>
      </x:c>
      <x:c r="B266" s="14" t="str">
        <x:v>VATM-0265</x:v>
      </x:c>
      <x:c r="C266" s="14" t="str">
        <x:v>An toàn hàng không / SMS</x:v>
      </x:c>
      <x:c r="D266" s="14" t="str">
        <x:v>Báo cáo MOR, sự cố và điều tra</x:v>
      </x:c>
      <x:c r="E266" s="14" t="str">
        <x:v>Bổ sung bằng chứng theo yêu cầu nhiệm vụ</x:v>
      </x:c>
      <x:c r="F266" s="14" t="str">
        <x:v>Khác</x:v>
      </x:c>
      <x:c r="G266" s="14" t="str">
        <x:v>Ban An toàn - Chất lượng</x:v>
      </x:c>
      <x:c r="H266" s="14" t="str"/>
      <x:c r="I266" s="58" t="str"/>
      <x:c r="J266" s="58" t="str"/>
      <x:c r="K266" s="14" t="str"/>
      <x:c r="L266" s="14" t="str">
        <x:v>Chưa có</x:v>
      </x:c>
      <x:c r="M266" s="14" t="str">
        <x:v>Theo dõi và cập nhật link/chỉ dẫn hồ sơ sau khi có bằng chứng.</x:v>
      </x:c>
    </x:row>
    <x:row r="267">
      <x:c r="A267" s="14" t="str">
        <x:v>EVID-0266</x:v>
      </x:c>
      <x:c r="B267" s="14" t="str">
        <x:v>VATM-0266</x:v>
      </x:c>
      <x:c r="C267" s="14" t="str">
        <x:v>An toàn hàng không / SMS</x:v>
      </x:c>
      <x:c r="D267" s="14" t="str">
        <x:v>Báo cáo MOR, sự cố và điều tra</x:v>
      </x:c>
      <x:c r="E267" s="14" t="str">
        <x:v>Bổ sung bằng chứng theo yêu cầu nhiệm vụ</x:v>
      </x:c>
      <x:c r="F267" s="14" t="str">
        <x:v>Khác</x:v>
      </x:c>
      <x:c r="G267" s="14" t="str">
        <x:v>Ban An toàn - Chất lượng</x:v>
      </x:c>
      <x:c r="H267" s="14" t="str"/>
      <x:c r="I267" s="58" t="str"/>
      <x:c r="J267" s="58" t="str"/>
      <x:c r="K267" s="14" t="str"/>
      <x:c r="L267" s="14" t="str">
        <x:v>Chưa có</x:v>
      </x:c>
      <x:c r="M267" s="14" t="str">
        <x:v>Theo dõi và cập nhật link/chỉ dẫn hồ sơ sau khi có bằng chứng.</x:v>
      </x:c>
    </x:row>
    <x:row r="268">
      <x:c r="A268" s="14" t="str">
        <x:v>EVID-0267</x:v>
      </x:c>
      <x:c r="B268" s="14" t="str">
        <x:v>VATM-0267</x:v>
      </x:c>
      <x:c r="C268" s="14" t="str">
        <x:v>An toàn hàng không / SMS</x:v>
      </x:c>
      <x:c r="D268" s="14" t="str">
        <x:v>Báo cáo MOR, sự cố và điều tra</x:v>
      </x:c>
      <x:c r="E268" s="14" t="str">
        <x:v>Bổ sung bằng chứng theo yêu cầu nhiệm vụ</x:v>
      </x:c>
      <x:c r="F268" s="14" t="str">
        <x:v>Khác</x:v>
      </x:c>
      <x:c r="G268" s="14" t="str">
        <x:v>Ban An toàn - Chất lượng</x:v>
      </x:c>
      <x:c r="H268" s="14" t="str"/>
      <x:c r="I268" s="58" t="str"/>
      <x:c r="J268" s="58" t="str"/>
      <x:c r="K268" s="14" t="str"/>
      <x:c r="L268" s="14" t="str">
        <x:v>Chưa có</x:v>
      </x:c>
      <x:c r="M268" s="14" t="str">
        <x:v>Theo dõi và cập nhật link/chỉ dẫn hồ sơ sau khi có bằng chứng.</x:v>
      </x:c>
    </x:row>
    <x:row r="269">
      <x:c r="A269" s="14" t="str">
        <x:v>EVID-0268</x:v>
      </x:c>
      <x:c r="B269" s="14" t="str">
        <x:v>VATM-0268</x:v>
      </x:c>
      <x:c r="C269" s="14" t="str">
        <x:v>An toàn hàng không / SMS</x:v>
      </x:c>
      <x:c r="D269" s="14" t="str">
        <x:v>Báo cáo MOR, sự cố và điều tra</x:v>
      </x:c>
      <x:c r="E269" s="14" t="str">
        <x:v>Bổ sung bằng chứng theo yêu cầu nhiệm vụ</x:v>
      </x:c>
      <x:c r="F269" s="14" t="str">
        <x:v>Khác</x:v>
      </x:c>
      <x:c r="G269" s="14" t="str">
        <x:v>Ban An toàn - Chất lượng</x:v>
      </x:c>
      <x:c r="H269" s="14" t="str"/>
      <x:c r="I269" s="58" t="str"/>
      <x:c r="J269" s="58" t="str"/>
      <x:c r="K269" s="14" t="str"/>
      <x:c r="L269" s="14" t="str">
        <x:v>Chưa có</x:v>
      </x:c>
      <x:c r="M269" s="14" t="str">
        <x:v>Theo dõi và cập nhật link/chỉ dẫn hồ sơ sau khi có bằng chứng.</x:v>
      </x:c>
    </x:row>
    <x:row r="270">
      <x:c r="A270" s="14" t="str">
        <x:v>EVID-0269</x:v>
      </x:c>
      <x:c r="B270" s="14" t="str">
        <x:v>VATM-0269</x:v>
      </x:c>
      <x:c r="C270" s="14" t="str">
        <x:v>An toàn hàng không / SMS</x:v>
      </x:c>
      <x:c r="D270" s="14" t="str">
        <x:v>Báo cáo MOR, sự cố và điều tra</x:v>
      </x:c>
      <x:c r="E270" s="14" t="str">
        <x:v>Bổ sung bằng chứng theo yêu cầu nhiệm vụ</x:v>
      </x:c>
      <x:c r="F270" s="14" t="str">
        <x:v>Khác</x:v>
      </x:c>
      <x:c r="G270" s="14" t="str">
        <x:v>Ban An toàn - Chất lượng</x:v>
      </x:c>
      <x:c r="H270" s="14" t="str"/>
      <x:c r="I270" s="58" t="str"/>
      <x:c r="J270" s="58" t="str"/>
      <x:c r="K270" s="14" t="str"/>
      <x:c r="L270" s="14" t="str">
        <x:v>Chưa có</x:v>
      </x:c>
      <x:c r="M270" s="14" t="str">
        <x:v>Theo dõi và cập nhật link/chỉ dẫn hồ sơ sau khi có bằng chứng.</x:v>
      </x:c>
    </x:row>
    <x:row r="271">
      <x:c r="A271" s="14" t="str">
        <x:v>EVID-0270</x:v>
      </x:c>
      <x:c r="B271" s="14" t="str">
        <x:v>VATM-0270</x:v>
      </x:c>
      <x:c r="C271" s="14" t="str">
        <x:v>An toàn hàng không / SMS</x:v>
      </x:c>
      <x:c r="D271" s="14" t="str">
        <x:v>Báo cáo MOR, sự cố và điều tra</x:v>
      </x:c>
      <x:c r="E271" s="14" t="str">
        <x:v>Bổ sung bằng chứng theo yêu cầu nhiệm vụ</x:v>
      </x:c>
      <x:c r="F271" s="14" t="str">
        <x:v>Khác</x:v>
      </x:c>
      <x:c r="G271" s="14" t="str">
        <x:v>Ban An toàn - Chất lượng</x:v>
      </x:c>
      <x:c r="H271" s="14" t="str"/>
      <x:c r="I271" s="58" t="str"/>
      <x:c r="J271" s="58" t="str"/>
      <x:c r="K271" s="14" t="str"/>
      <x:c r="L271" s="14" t="str">
        <x:v>Chưa có</x:v>
      </x:c>
      <x:c r="M271" s="14" t="str">
        <x:v>Theo dõi và cập nhật link/chỉ dẫn hồ sơ sau khi có bằng chứng.</x:v>
      </x:c>
    </x:row>
    <x:row r="272">
      <x:c r="A272" s="14" t="str">
        <x:v>EVID-0271</x:v>
      </x:c>
      <x:c r="B272" s="14" t="str">
        <x:v>VATM-0271</x:v>
      </x:c>
      <x:c r="C272" s="14" t="str">
        <x:v>An toàn hàng không / SMS</x:v>
      </x:c>
      <x:c r="D272" s="14" t="str">
        <x:v>Báo cáo MOR, sự cố và điều tra</x:v>
      </x:c>
      <x:c r="E272" s="14" t="str">
        <x:v>Bổ sung bằng chứng theo yêu cầu nhiệm vụ</x:v>
      </x:c>
      <x:c r="F272" s="14" t="str">
        <x:v>Khác</x:v>
      </x:c>
      <x:c r="G272" s="14" t="str">
        <x:v>Ban An toàn - Chất lượng</x:v>
      </x:c>
      <x:c r="H272" s="14" t="str"/>
      <x:c r="I272" s="58" t="str"/>
      <x:c r="J272" s="58" t="str"/>
      <x:c r="K272" s="14" t="str"/>
      <x:c r="L272" s="14" t="str">
        <x:v>Chưa có</x:v>
      </x:c>
      <x:c r="M272" s="14" t="str">
        <x:v>Theo dõi và cập nhật link/chỉ dẫn hồ sơ sau khi có bằng chứng.</x:v>
      </x:c>
    </x:row>
    <x:row r="273">
      <x:c r="A273" s="14" t="str">
        <x:v>EVID-0272</x:v>
      </x:c>
      <x:c r="B273" s="14" t="str">
        <x:v>VATM-0272</x:v>
      </x:c>
      <x:c r="C273" s="14" t="str">
        <x:v>An toàn hàng không / SMS</x:v>
      </x:c>
      <x:c r="D273" s="14" t="str">
        <x:v>Báo cáo MOR, sự cố và điều tra</x:v>
      </x:c>
      <x:c r="E273" s="14" t="str">
        <x:v>Bổ sung bằng chứng theo yêu cầu nhiệm vụ</x:v>
      </x:c>
      <x:c r="F273" s="14" t="str">
        <x:v>Khác</x:v>
      </x:c>
      <x:c r="G273" s="14" t="str">
        <x:v>Ban An toàn - Chất lượng</x:v>
      </x:c>
      <x:c r="H273" s="14" t="str"/>
      <x:c r="I273" s="58" t="str"/>
      <x:c r="J273" s="58" t="str"/>
      <x:c r="K273" s="14" t="str"/>
      <x:c r="L273" s="14" t="str">
        <x:v>Chưa có</x:v>
      </x:c>
      <x:c r="M273" s="14" t="str">
        <x:v>Theo dõi và cập nhật link/chỉ dẫn hồ sơ sau khi có bằng chứng.</x:v>
      </x:c>
    </x:row>
    <x:row r="274">
      <x:c r="A274" s="14" t="str">
        <x:v>EVID-0273</x:v>
      </x:c>
      <x:c r="B274" s="14" t="str">
        <x:v>VATM-0273</x:v>
      </x:c>
      <x:c r="C274" s="14" t="str">
        <x:v>An toàn hàng không / SMS</x:v>
      </x:c>
      <x:c r="D274" s="14" t="str">
        <x:v>Báo cáo MOR, sự cố và điều tra</x:v>
      </x:c>
      <x:c r="E274" s="14" t="str">
        <x:v>Bổ sung bằng chứng theo yêu cầu nhiệm vụ</x:v>
      </x:c>
      <x:c r="F274" s="14" t="str">
        <x:v>Khác</x:v>
      </x:c>
      <x:c r="G274" s="14" t="str">
        <x:v>Ban An toàn - Chất lượng</x:v>
      </x:c>
      <x:c r="H274" s="14" t="str"/>
      <x:c r="I274" s="58" t="str"/>
      <x:c r="J274" s="58" t="str"/>
      <x:c r="K274" s="14" t="str"/>
      <x:c r="L274" s="14" t="str">
        <x:v>Chưa có</x:v>
      </x:c>
      <x:c r="M274" s="14" t="str">
        <x:v>Theo dõi và cập nhật link/chỉ dẫn hồ sơ sau khi có bằng chứng.</x:v>
      </x:c>
    </x:row>
    <x:row r="275">
      <x:c r="A275" s="14" t="str">
        <x:v>EVID-0274</x:v>
      </x:c>
      <x:c r="B275" s="14" t="str">
        <x:v>VATM-0274</x:v>
      </x:c>
      <x:c r="C275" s="14" t="str">
        <x:v>An toàn hàng không / SMS</x:v>
      </x:c>
      <x:c r="D275" s="14" t="str">
        <x:v>Báo cáo MOR, sự cố và điều tra</x:v>
      </x:c>
      <x:c r="E275" s="14" t="str">
        <x:v>Bổ sung bằng chứng theo yêu cầu nhiệm vụ</x:v>
      </x:c>
      <x:c r="F275" s="14" t="str">
        <x:v>Khác</x:v>
      </x:c>
      <x:c r="G275" s="14" t="str">
        <x:v>Ban An toàn - Chất lượng</x:v>
      </x:c>
      <x:c r="H275" s="14" t="str"/>
      <x:c r="I275" s="58" t="str"/>
      <x:c r="J275" s="58" t="str"/>
      <x:c r="K275" s="14" t="str"/>
      <x:c r="L275" s="14" t="str">
        <x:v>Chưa có</x:v>
      </x:c>
      <x:c r="M275" s="14" t="str">
        <x:v>Theo dõi và cập nhật link/chỉ dẫn hồ sơ sau khi có bằng chứng.</x:v>
      </x:c>
    </x:row>
    <x:row r="276">
      <x:c r="A276" s="14" t="str">
        <x:v>EVID-0275</x:v>
      </x:c>
      <x:c r="B276" s="14" t="str">
        <x:v>VATM-0275</x:v>
      </x:c>
      <x:c r="C276" s="14" t="str">
        <x:v>An toàn hàng không / SMS</x:v>
      </x:c>
      <x:c r="D276" s="14" t="str">
        <x:v>Báo cáo MOR, sự cố và điều tra</x:v>
      </x:c>
      <x:c r="E276" s="14" t="str">
        <x:v>Bổ sung bằng chứng theo yêu cầu nhiệm vụ</x:v>
      </x:c>
      <x:c r="F276" s="14" t="str">
        <x:v>Khác</x:v>
      </x:c>
      <x:c r="G276" s="14" t="str">
        <x:v>Ban An toàn - Chất lượng</x:v>
      </x:c>
      <x:c r="H276" s="14" t="str"/>
      <x:c r="I276" s="58" t="str"/>
      <x:c r="J276" s="58" t="str"/>
      <x:c r="K276" s="14" t="str"/>
      <x:c r="L276" s="14" t="str">
        <x:v>Chưa có</x:v>
      </x:c>
      <x:c r="M276" s="14" t="str">
        <x:v>Theo dõi và cập nhật link/chỉ dẫn hồ sơ sau khi có bằng chứng.</x:v>
      </x:c>
    </x:row>
    <x:row r="277">
      <x:c r="A277" s="14" t="str">
        <x:v>EVID-0276</x:v>
      </x:c>
      <x:c r="B277" s="14" t="str">
        <x:v>VATM-0276</x:v>
      </x:c>
      <x:c r="C277" s="14" t="str">
        <x:v>An toàn hàng không / SMS</x:v>
      </x:c>
      <x:c r="D277" s="14" t="str">
        <x:v>Báo cáo MOR, sự cố và điều tra</x:v>
      </x:c>
      <x:c r="E277" s="14" t="str">
        <x:v>Bổ sung bằng chứng theo yêu cầu nhiệm vụ</x:v>
      </x:c>
      <x:c r="F277" s="14" t="str">
        <x:v>Khác</x:v>
      </x:c>
      <x:c r="G277" s="14" t="str">
        <x:v>Ban An toàn - Chất lượng</x:v>
      </x:c>
      <x:c r="H277" s="14" t="str"/>
      <x:c r="I277" s="58" t="str"/>
      <x:c r="J277" s="58" t="str"/>
      <x:c r="K277" s="14" t="str"/>
      <x:c r="L277" s="14" t="str">
        <x:v>Chưa có</x:v>
      </x:c>
      <x:c r="M277" s="14" t="str">
        <x:v>Theo dõi và cập nhật link/chỉ dẫn hồ sơ sau khi có bằng chứng.</x:v>
      </x:c>
    </x:row>
    <x:row r="278">
      <x:c r="A278" s="14" t="str">
        <x:v>EVID-0277</x:v>
      </x:c>
      <x:c r="B278" s="14" t="str">
        <x:v>VATM-0277</x:v>
      </x:c>
      <x:c r="C278" s="14" t="str">
        <x:v>An toàn hàng không / SMS</x:v>
      </x:c>
      <x:c r="D278" s="14" t="str">
        <x:v>Báo cáo MOR, sự cố và điều tra</x:v>
      </x:c>
      <x:c r="E278" s="14" t="str">
        <x:v>Bổ sung bằng chứng theo yêu cầu nhiệm vụ</x:v>
      </x:c>
      <x:c r="F278" s="14" t="str">
        <x:v>Khác</x:v>
      </x:c>
      <x:c r="G278" s="14" t="str">
        <x:v>Ban An toàn - Chất lượng</x:v>
      </x:c>
      <x:c r="H278" s="14" t="str"/>
      <x:c r="I278" s="58" t="str"/>
      <x:c r="J278" s="58" t="str"/>
      <x:c r="K278" s="14" t="str"/>
      <x:c r="L278" s="14" t="str">
        <x:v>Chưa có</x:v>
      </x:c>
      <x:c r="M278" s="14" t="str">
        <x:v>Theo dõi và cập nhật link/chỉ dẫn hồ sơ sau khi có bằng chứng.</x:v>
      </x:c>
    </x:row>
    <x:row r="279">
      <x:c r="A279" s="14" t="str">
        <x:v>EVID-0278</x:v>
      </x:c>
      <x:c r="B279" s="14" t="str">
        <x:v>VATM-0278</x:v>
      </x:c>
      <x:c r="C279" s="14" t="str">
        <x:v>An toàn hàng không / SMS</x:v>
      </x:c>
      <x:c r="D279" s="14" t="str">
        <x:v>Báo cáo MOR, sự cố và điều tra</x:v>
      </x:c>
      <x:c r="E279" s="14" t="str">
        <x:v>Bổ sung bằng chứng theo yêu cầu nhiệm vụ</x:v>
      </x:c>
      <x:c r="F279" s="14" t="str">
        <x:v>Khác</x:v>
      </x:c>
      <x:c r="G279" s="14" t="str">
        <x:v>Ban An toàn - Chất lượng</x:v>
      </x:c>
      <x:c r="H279" s="14" t="str"/>
      <x:c r="I279" s="58" t="str"/>
      <x:c r="J279" s="58" t="str"/>
      <x:c r="K279" s="14" t="str"/>
      <x:c r="L279" s="14" t="str">
        <x:v>Chưa có</x:v>
      </x:c>
      <x:c r="M279" s="14" t="str">
        <x:v>Theo dõi và cập nhật link/chỉ dẫn hồ sơ sau khi có bằng chứng.</x:v>
      </x:c>
    </x:row>
    <x:row r="280">
      <x:c r="A280" s="14" t="str">
        <x:v>EVID-0279</x:v>
      </x:c>
      <x:c r="B280" s="14" t="str">
        <x:v>VATM-0279</x:v>
      </x:c>
      <x:c r="C280" s="14" t="str">
        <x:v>An toàn hàng không / SMS</x:v>
      </x:c>
      <x:c r="D280" s="14" t="str">
        <x:v>Báo cáo MOR, sự cố và điều tra</x:v>
      </x:c>
      <x:c r="E280" s="14" t="str">
        <x:v>Bổ sung bằng chứng theo yêu cầu nhiệm vụ</x:v>
      </x:c>
      <x:c r="F280" s="14" t="str">
        <x:v>Khác</x:v>
      </x:c>
      <x:c r="G280" s="14" t="str">
        <x:v>Ban An toàn - Chất lượng</x:v>
      </x:c>
      <x:c r="H280" s="14" t="str"/>
      <x:c r="I280" s="58" t="str"/>
      <x:c r="J280" s="58" t="str"/>
      <x:c r="K280" s="14" t="str"/>
      <x:c r="L280" s="14" t="str">
        <x:v>Chưa có</x:v>
      </x:c>
      <x:c r="M280" s="14" t="str">
        <x:v>Theo dõi và cập nhật link/chỉ dẫn hồ sơ sau khi có bằng chứng.</x:v>
      </x:c>
    </x:row>
    <x:row r="281">
      <x:c r="A281" s="14" t="str">
        <x:v>EVID-0280</x:v>
      </x:c>
      <x:c r="B281" s="14" t="str">
        <x:v>VATM-0280</x:v>
      </x:c>
      <x:c r="C281" s="14" t="str">
        <x:v>An toàn hàng không / SMS</x:v>
      </x:c>
      <x:c r="D281" s="14" t="str">
        <x:v>Báo cáo MOR, sự cố và điều tra</x:v>
      </x:c>
      <x:c r="E281" s="14" t="str">
        <x:v>Bổ sung bằng chứng theo yêu cầu nhiệm vụ</x:v>
      </x:c>
      <x:c r="F281" s="14" t="str">
        <x:v>Khác</x:v>
      </x:c>
      <x:c r="G281" s="14" t="str">
        <x:v>Ban An toàn - Chất lượng</x:v>
      </x:c>
      <x:c r="H281" s="14" t="str"/>
      <x:c r="I281" s="58" t="str"/>
      <x:c r="J281" s="58" t="str"/>
      <x:c r="K281" s="14" t="str"/>
      <x:c r="L281" s="14" t="str">
        <x:v>Chưa có</x:v>
      </x:c>
      <x:c r="M281" s="14" t="str">
        <x:v>Theo dõi và cập nhật link/chỉ dẫn hồ sơ sau khi có bằng chứng.</x:v>
      </x:c>
    </x:row>
    <x:row r="282">
      <x:c r="A282" s="14" t="str">
        <x:v>EVID-0281</x:v>
      </x:c>
      <x:c r="B282" s="14" t="str">
        <x:v>VATM-0281</x:v>
      </x:c>
      <x:c r="C282" s="14" t="str">
        <x:v>An toàn hàng không / SMS</x:v>
      </x:c>
      <x:c r="D282" s="14" t="str">
        <x:v>Báo cáo MOR, sự cố và điều tra</x:v>
      </x:c>
      <x:c r="E282" s="14" t="str">
        <x:v>Bổ sung bằng chứng theo yêu cầu nhiệm vụ</x:v>
      </x:c>
      <x:c r="F282" s="14" t="str">
        <x:v>Khác</x:v>
      </x:c>
      <x:c r="G282" s="14" t="str">
        <x:v>Ban An toàn - Chất lượng</x:v>
      </x:c>
      <x:c r="H282" s="14" t="str"/>
      <x:c r="I282" s="58" t="str"/>
      <x:c r="J282" s="58" t="str"/>
      <x:c r="K282" s="14" t="str"/>
      <x:c r="L282" s="14" t="str">
        <x:v>Chưa có</x:v>
      </x:c>
      <x:c r="M282" s="14" t="str">
        <x:v>Theo dõi và cập nhật link/chỉ dẫn hồ sơ sau khi có bằng chứng.</x:v>
      </x:c>
    </x:row>
    <x:row r="283">
      <x:c r="A283" s="14" t="str">
        <x:v>EVID-0282</x:v>
      </x:c>
      <x:c r="B283" s="14" t="str">
        <x:v>VATM-0282</x:v>
      </x:c>
      <x:c r="C283" s="14" t="str">
        <x:v>An toàn hàng không / SMS</x:v>
      </x:c>
      <x:c r="D283" s="14" t="str">
        <x:v>Báo cáo MOR, sự cố và điều tra</x:v>
      </x:c>
      <x:c r="E283" s="14" t="str">
        <x:v>Bổ sung bằng chứng theo yêu cầu nhiệm vụ</x:v>
      </x:c>
      <x:c r="F283" s="14" t="str">
        <x:v>Khác</x:v>
      </x:c>
      <x:c r="G283" s="14" t="str">
        <x:v>Ban An toàn - Chất lượng</x:v>
      </x:c>
      <x:c r="H283" s="14" t="str"/>
      <x:c r="I283" s="58" t="str"/>
      <x:c r="J283" s="58" t="str"/>
      <x:c r="K283" s="14" t="str"/>
      <x:c r="L283" s="14" t="str">
        <x:v>Chưa có</x:v>
      </x:c>
      <x:c r="M283" s="14" t="str">
        <x:v>Theo dõi và cập nhật link/chỉ dẫn hồ sơ sau khi có bằng chứng.</x:v>
      </x:c>
    </x:row>
    <x:row r="284">
      <x:c r="A284" s="14" t="str">
        <x:v>EVID-0283</x:v>
      </x:c>
      <x:c r="B284" s="14" t="str">
        <x:v>VATM-0283</x:v>
      </x:c>
      <x:c r="C284" s="14" t="str">
        <x:v>An toàn hàng không / SMS</x:v>
      </x:c>
      <x:c r="D284" s="14" t="str">
        <x:v>Báo cáo MOR, sự cố và điều tra</x:v>
      </x:c>
      <x:c r="E284" s="14" t="str">
        <x:v>Bổ sung bằng chứng theo yêu cầu nhiệm vụ</x:v>
      </x:c>
      <x:c r="F284" s="14" t="str">
        <x:v>Khác</x:v>
      </x:c>
      <x:c r="G284" s="14" t="str">
        <x:v>Ban An toàn - Chất lượng</x:v>
      </x:c>
      <x:c r="H284" s="14" t="str"/>
      <x:c r="I284" s="58" t="str"/>
      <x:c r="J284" s="58" t="str"/>
      <x:c r="K284" s="14" t="str"/>
      <x:c r="L284" s="14" t="str">
        <x:v>Chưa có</x:v>
      </x:c>
      <x:c r="M284" s="14" t="str">
        <x:v>Theo dõi và cập nhật link/chỉ dẫn hồ sơ sau khi có bằng chứng.</x:v>
      </x:c>
    </x:row>
    <x:row r="285">
      <x:c r="A285" s="14" t="str">
        <x:v>EVID-0284</x:v>
      </x:c>
      <x:c r="B285" s="14" t="str">
        <x:v>VATM-0284</x:v>
      </x:c>
      <x:c r="C285" s="14" t="str">
        <x:v>An toàn hàng không / SMS</x:v>
      </x:c>
      <x:c r="D285" s="14" t="str">
        <x:v>Báo cáo MOR, sự cố và điều tra</x:v>
      </x:c>
      <x:c r="E285" s="14" t="str">
        <x:v>Bổ sung bằng chứng theo yêu cầu nhiệm vụ</x:v>
      </x:c>
      <x:c r="F285" s="14" t="str">
        <x:v>Khác</x:v>
      </x:c>
      <x:c r="G285" s="14" t="str">
        <x:v>Ban An toàn - Chất lượng</x:v>
      </x:c>
      <x:c r="H285" s="14" t="str"/>
      <x:c r="I285" s="58" t="str"/>
      <x:c r="J285" s="58" t="str"/>
      <x:c r="K285" s="14" t="str"/>
      <x:c r="L285" s="14" t="str">
        <x:v>Chưa có</x:v>
      </x:c>
      <x:c r="M285" s="14" t="str">
        <x:v>Theo dõi và cập nhật link/chỉ dẫn hồ sơ sau khi có bằng chứng.</x:v>
      </x:c>
    </x:row>
    <x:row r="286">
      <x:c r="A286" s="14" t="str">
        <x:v>EVID-0285</x:v>
      </x:c>
      <x:c r="B286" s="14" t="str">
        <x:v>VATM-0285</x:v>
      </x:c>
      <x:c r="C286" s="14" t="str">
        <x:v>An toàn hàng không / SMS</x:v>
      </x:c>
      <x:c r="D286" s="14" t="str">
        <x:v>Báo cáo MOR, sự cố và điều tra</x:v>
      </x:c>
      <x:c r="E286" s="14" t="str">
        <x:v>Bổ sung bằng chứng theo yêu cầu nhiệm vụ</x:v>
      </x:c>
      <x:c r="F286" s="14" t="str">
        <x:v>Khác</x:v>
      </x:c>
      <x:c r="G286" s="14" t="str">
        <x:v>Ban An toàn - Chất lượng</x:v>
      </x:c>
      <x:c r="H286" s="14" t="str"/>
      <x:c r="I286" s="58" t="str"/>
      <x:c r="J286" s="58" t="str"/>
      <x:c r="K286" s="14" t="str"/>
      <x:c r="L286" s="14" t="str">
        <x:v>Chưa có</x:v>
      </x:c>
      <x:c r="M286" s="14" t="str">
        <x:v>Theo dõi và cập nhật link/chỉ dẫn hồ sơ sau khi có bằng chứng.</x:v>
      </x:c>
    </x:row>
    <x:row r="287">
      <x:c r="A287" s="14" t="str">
        <x:v>EVID-0286</x:v>
      </x:c>
      <x:c r="B287" s="14" t="str">
        <x:v>VATM-0286</x:v>
      </x:c>
      <x:c r="C287" s="14" t="str">
        <x:v>An toàn hàng không / SMS</x:v>
      </x:c>
      <x:c r="D287" s="14" t="str">
        <x:v>Báo cáo MOR, sự cố và điều tra</x:v>
      </x:c>
      <x:c r="E287" s="14" t="str">
        <x:v>Bổ sung bằng chứng theo yêu cầu nhiệm vụ</x:v>
      </x:c>
      <x:c r="F287" s="14" t="str">
        <x:v>Khác</x:v>
      </x:c>
      <x:c r="G287" s="14" t="str">
        <x:v>Ban An toàn - Chất lượng</x:v>
      </x:c>
      <x:c r="H287" s="14" t="str"/>
      <x:c r="I287" s="58" t="str"/>
      <x:c r="J287" s="58" t="str"/>
      <x:c r="K287" s="14" t="str"/>
      <x:c r="L287" s="14" t="str">
        <x:v>Chưa có</x:v>
      </x:c>
      <x:c r="M287" s="14" t="str">
        <x:v>Theo dõi và cập nhật link/chỉ dẫn hồ sơ sau khi có bằng chứng.</x:v>
      </x:c>
    </x:row>
    <x:row r="288">
      <x:c r="A288" s="14" t="str">
        <x:v>EVID-0287</x:v>
      </x:c>
      <x:c r="B288" s="14" t="str">
        <x:v>VATM-0287</x:v>
      </x:c>
      <x:c r="C288" s="14" t="str">
        <x:v>An toàn hàng không / SMS</x:v>
      </x:c>
      <x:c r="D288" s="14" t="str">
        <x:v>Báo cáo MOR, sự cố và điều tra</x:v>
      </x:c>
      <x:c r="E288" s="14" t="str">
        <x:v>Bổ sung bằng chứng theo yêu cầu nhiệm vụ</x:v>
      </x:c>
      <x:c r="F288" s="14" t="str">
        <x:v>Khác</x:v>
      </x:c>
      <x:c r="G288" s="14" t="str">
        <x:v>Ban An toàn - Chất lượng</x:v>
      </x:c>
      <x:c r="H288" s="14" t="str"/>
      <x:c r="I288" s="58" t="str"/>
      <x:c r="J288" s="58" t="str"/>
      <x:c r="K288" s="14" t="str"/>
      <x:c r="L288" s="14" t="str">
        <x:v>Chưa có</x:v>
      </x:c>
      <x:c r="M288" s="14" t="str">
        <x:v>Theo dõi và cập nhật link/chỉ dẫn hồ sơ sau khi có bằng chứng.</x:v>
      </x:c>
    </x:row>
    <x:row r="289">
      <x:c r="A289" s="14" t="str">
        <x:v>EVID-0288</x:v>
      </x:c>
      <x:c r="B289" s="14" t="str">
        <x:v>VATM-0288</x:v>
      </x:c>
      <x:c r="C289" s="14" t="str">
        <x:v>An toàn hàng không / SMS</x:v>
      </x:c>
      <x:c r="D289" s="14" t="str">
        <x:v>Báo cáo MOR, sự cố và điều tra</x:v>
      </x:c>
      <x:c r="E289" s="14" t="str">
        <x:v>Bổ sung bằng chứng theo yêu cầu nhiệm vụ</x:v>
      </x:c>
      <x:c r="F289" s="14" t="str">
        <x:v>Khác</x:v>
      </x:c>
      <x:c r="G289" s="14" t="str">
        <x:v>Ban An toàn - Chất lượng</x:v>
      </x:c>
      <x:c r="H289" s="14" t="str"/>
      <x:c r="I289" s="58" t="str"/>
      <x:c r="J289" s="58" t="str"/>
      <x:c r="K289" s="14" t="str"/>
      <x:c r="L289" s="14" t="str">
        <x:v>Chưa có</x:v>
      </x:c>
      <x:c r="M289" s="14" t="str">
        <x:v>Theo dõi và cập nhật link/chỉ dẫn hồ sơ sau khi có bằng chứng.</x:v>
      </x:c>
    </x:row>
    <x:row r="290">
      <x:c r="A290" s="14" t="str">
        <x:v>EVID-0289</x:v>
      </x:c>
      <x:c r="B290" s="14" t="str">
        <x:v>VATM-0289</x:v>
      </x:c>
      <x:c r="C290" s="14" t="str">
        <x:v>An toàn hàng không / SMS</x:v>
      </x:c>
      <x:c r="D290" s="14" t="str">
        <x:v>Báo cáo MOR, sự cố và điều tra</x:v>
      </x:c>
      <x:c r="E290" s="14" t="str">
        <x:v>Bổ sung bằng chứng theo yêu cầu nhiệm vụ</x:v>
      </x:c>
      <x:c r="F290" s="14" t="str">
        <x:v>Khác</x:v>
      </x:c>
      <x:c r="G290" s="14" t="str">
        <x:v>Ban An toàn - Chất lượng</x:v>
      </x:c>
      <x:c r="H290" s="14" t="str"/>
      <x:c r="I290" s="58" t="str"/>
      <x:c r="J290" s="58" t="str"/>
      <x:c r="K290" s="14" t="str"/>
      <x:c r="L290" s="14" t="str">
        <x:v>Chưa có</x:v>
      </x:c>
      <x:c r="M290" s="14" t="str">
        <x:v>Theo dõi và cập nhật link/chỉ dẫn hồ sơ sau khi có bằng chứng.</x:v>
      </x:c>
    </x:row>
    <x:row r="291">
      <x:c r="A291" s="14" t="str">
        <x:v>EVID-0290</x:v>
      </x:c>
      <x:c r="B291" s="14" t="str">
        <x:v>VATM-0290</x:v>
      </x:c>
      <x:c r="C291" s="14" t="str">
        <x:v>An toàn hàng không / SMS</x:v>
      </x:c>
      <x:c r="D291" s="14" t="str">
        <x:v>Báo cáo MOR, sự cố và điều tra</x:v>
      </x:c>
      <x:c r="E291" s="14" t="str">
        <x:v>Bổ sung bằng chứng theo yêu cầu nhiệm vụ</x:v>
      </x:c>
      <x:c r="F291" s="14" t="str">
        <x:v>Khác</x:v>
      </x:c>
      <x:c r="G291" s="14" t="str">
        <x:v>Ban An toàn - Chất lượng</x:v>
      </x:c>
      <x:c r="H291" s="14" t="str"/>
      <x:c r="I291" s="58" t="str"/>
      <x:c r="J291" s="58" t="str"/>
      <x:c r="K291" s="14" t="str"/>
      <x:c r="L291" s="14" t="str">
        <x:v>Chưa có</x:v>
      </x:c>
      <x:c r="M291" s="14" t="str">
        <x:v>Theo dõi và cập nhật link/chỉ dẫn hồ sơ sau khi có bằng chứng.</x:v>
      </x:c>
    </x:row>
    <x:row r="292">
      <x:c r="A292" s="14" t="str">
        <x:v>EVID-0291</x:v>
      </x:c>
      <x:c r="B292" s="14" t="str">
        <x:v>VATM-0291</x:v>
      </x:c>
      <x:c r="C292" s="14" t="str">
        <x:v>An toàn hàng không / SMS</x:v>
      </x:c>
      <x:c r="D292" s="14" t="str">
        <x:v>Báo cáo MOR, sự cố và điều tra</x:v>
      </x:c>
      <x:c r="E292" s="14" t="str">
        <x:v>Bổ sung bằng chứng theo yêu cầu nhiệm vụ</x:v>
      </x:c>
      <x:c r="F292" s="14" t="str">
        <x:v>Khác</x:v>
      </x:c>
      <x:c r="G292" s="14" t="str">
        <x:v>Ban An toàn - Chất lượng</x:v>
      </x:c>
      <x:c r="H292" s="14" t="str"/>
      <x:c r="I292" s="58" t="str"/>
      <x:c r="J292" s="58" t="str"/>
      <x:c r="K292" s="14" t="str"/>
      <x:c r="L292" s="14" t="str">
        <x:v>Chưa có</x:v>
      </x:c>
      <x:c r="M292" s="14" t="str">
        <x:v>Theo dõi và cập nhật link/chỉ dẫn hồ sơ sau khi có bằng chứng.</x:v>
      </x:c>
    </x:row>
    <x:row r="293">
      <x:c r="A293" s="14" t="str">
        <x:v>EVID-0292</x:v>
      </x:c>
      <x:c r="B293" s="14" t="str">
        <x:v>VATM-0292</x:v>
      </x:c>
      <x:c r="C293" s="14" t="str">
        <x:v>An toàn hàng không / SMS</x:v>
      </x:c>
      <x:c r="D293" s="14" t="str">
        <x:v>Báo cáo MOR, sự cố và điều tra</x:v>
      </x:c>
      <x:c r="E293" s="14" t="str">
        <x:v>Bổ sung bằng chứng theo yêu cầu nhiệm vụ</x:v>
      </x:c>
      <x:c r="F293" s="14" t="str">
        <x:v>Khác</x:v>
      </x:c>
      <x:c r="G293" s="14" t="str">
        <x:v>Ban An toàn - Chất lượng</x:v>
      </x:c>
      <x:c r="H293" s="14" t="str"/>
      <x:c r="I293" s="58" t="str"/>
      <x:c r="J293" s="58" t="str"/>
      <x:c r="K293" s="14" t="str"/>
      <x:c r="L293" s="14" t="str">
        <x:v>Chưa có</x:v>
      </x:c>
      <x:c r="M293" s="14" t="str">
        <x:v>Theo dõi và cập nhật link/chỉ dẫn hồ sơ sau khi có bằng chứng.</x:v>
      </x:c>
    </x:row>
    <x:row r="294">
      <x:c r="A294" s="14" t="str">
        <x:v>EVID-0293</x:v>
      </x:c>
      <x:c r="B294" s="14" t="str">
        <x:v>VATM-0293</x:v>
      </x:c>
      <x:c r="C294" s="14" t="str">
        <x:v>An toàn hàng không / SMS</x:v>
      </x:c>
      <x:c r="D294" s="14" t="str">
        <x:v>Báo cáo MOR, sự cố và điều tra</x:v>
      </x:c>
      <x:c r="E294" s="14" t="str">
        <x:v>Bổ sung bằng chứng theo yêu cầu nhiệm vụ</x:v>
      </x:c>
      <x:c r="F294" s="14" t="str">
        <x:v>Khác</x:v>
      </x:c>
      <x:c r="G294" s="14" t="str">
        <x:v>Ban An toàn - Chất lượng</x:v>
      </x:c>
      <x:c r="H294" s="14" t="str"/>
      <x:c r="I294" s="58" t="str"/>
      <x:c r="J294" s="58" t="str"/>
      <x:c r="K294" s="14" t="str"/>
      <x:c r="L294" s="14" t="str">
        <x:v>Chưa có</x:v>
      </x:c>
      <x:c r="M294" s="14" t="str">
        <x:v>Theo dõi và cập nhật link/chỉ dẫn hồ sơ sau khi có bằng chứng.</x:v>
      </x:c>
    </x:row>
    <x:row r="295">
      <x:c r="A295" s="14" t="str">
        <x:v>EVID-0294</x:v>
      </x:c>
      <x:c r="B295" s="14" t="str">
        <x:v>VATM-0294</x:v>
      </x:c>
      <x:c r="C295" s="14" t="str">
        <x:v>An toàn hàng không / SMS</x:v>
      </x:c>
      <x:c r="D295" s="14" t="str">
        <x:v>Báo cáo MOR, sự cố và điều tra</x:v>
      </x:c>
      <x:c r="E295" s="14" t="str">
        <x:v>Bổ sung bằng chứng theo yêu cầu nhiệm vụ</x:v>
      </x:c>
      <x:c r="F295" s="14" t="str">
        <x:v>Khác</x:v>
      </x:c>
      <x:c r="G295" s="14" t="str">
        <x:v>Ban An toàn - Chất lượng</x:v>
      </x:c>
      <x:c r="H295" s="14" t="str"/>
      <x:c r="I295" s="58" t="str"/>
      <x:c r="J295" s="58" t="str"/>
      <x:c r="K295" s="14" t="str"/>
      <x:c r="L295" s="14" t="str">
        <x:v>Chưa có</x:v>
      </x:c>
      <x:c r="M295" s="14" t="str">
        <x:v>Theo dõi và cập nhật link/chỉ dẫn hồ sơ sau khi có bằng chứng.</x:v>
      </x:c>
    </x:row>
    <x:row r="296">
      <x:c r="A296" s="14" t="str">
        <x:v>EVID-0295</x:v>
      </x:c>
      <x:c r="B296" s="14" t="str">
        <x:v>VATM-0295</x:v>
      </x:c>
      <x:c r="C296" s="14" t="str">
        <x:v>An toàn hàng không / SMS</x:v>
      </x:c>
      <x:c r="D296" s="14" t="str">
        <x:v>Báo cáo MOR, sự cố và điều tra</x:v>
      </x:c>
      <x:c r="E296" s="14" t="str">
        <x:v>Bổ sung bằng chứng theo yêu cầu nhiệm vụ</x:v>
      </x:c>
      <x:c r="F296" s="14" t="str">
        <x:v>Khác</x:v>
      </x:c>
      <x:c r="G296" s="14" t="str">
        <x:v>Ban An toàn - Chất lượng</x:v>
      </x:c>
      <x:c r="H296" s="14" t="str"/>
      <x:c r="I296" s="58" t="str"/>
      <x:c r="J296" s="58" t="str"/>
      <x:c r="K296" s="14" t="str"/>
      <x:c r="L296" s="14" t="str">
        <x:v>Chưa có</x:v>
      </x:c>
      <x:c r="M296" s="14" t="str">
        <x:v>Theo dõi và cập nhật link/chỉ dẫn hồ sơ sau khi có bằng chứng.</x:v>
      </x:c>
    </x:row>
    <x:row r="297">
      <x:c r="A297" s="14" t="str">
        <x:v>EVID-0296</x:v>
      </x:c>
      <x:c r="B297" s="14" t="str">
        <x:v>VATM-0296</x:v>
      </x:c>
      <x:c r="C297" s="14" t="str">
        <x:v>An toàn hàng không / SMS</x:v>
      </x:c>
      <x:c r="D297" s="14" t="str">
        <x:v>Báo cáo MOR, sự cố và điều tra</x:v>
      </x:c>
      <x:c r="E297" s="14" t="str">
        <x:v>Bổ sung bằng chứng theo yêu cầu nhiệm vụ</x:v>
      </x:c>
      <x:c r="F297" s="14" t="str">
        <x:v>Khác</x:v>
      </x:c>
      <x:c r="G297" s="14" t="str">
        <x:v>Ban An toàn - Chất lượng</x:v>
      </x:c>
      <x:c r="H297" s="14" t="str"/>
      <x:c r="I297" s="58" t="str"/>
      <x:c r="J297" s="58" t="str"/>
      <x:c r="K297" s="14" t="str"/>
      <x:c r="L297" s="14" t="str">
        <x:v>Chưa có</x:v>
      </x:c>
      <x:c r="M297" s="14" t="str">
        <x:v>Theo dõi và cập nhật link/chỉ dẫn hồ sơ sau khi có bằng chứng.</x:v>
      </x:c>
    </x:row>
    <x:row r="298">
      <x:c r="A298" s="14" t="str">
        <x:v>EVID-0297</x:v>
      </x:c>
      <x:c r="B298" s="14" t="str">
        <x:v>VATM-0297</x:v>
      </x:c>
      <x:c r="C298" s="14" t="str">
        <x:v>An toàn hàng không / SMS</x:v>
      </x:c>
      <x:c r="D298" s="14" t="str">
        <x:v>Báo cáo MOR, sự cố và điều tra</x:v>
      </x:c>
      <x:c r="E298" s="14" t="str">
        <x:v>Bổ sung bằng chứng theo yêu cầu nhiệm vụ</x:v>
      </x:c>
      <x:c r="F298" s="14" t="str">
        <x:v>Khác</x:v>
      </x:c>
      <x:c r="G298" s="14" t="str">
        <x:v>Ban An toàn - Chất lượng</x:v>
      </x:c>
      <x:c r="H298" s="14" t="str"/>
      <x:c r="I298" s="58" t="str"/>
      <x:c r="J298" s="58" t="str"/>
      <x:c r="K298" s="14" t="str"/>
      <x:c r="L298" s="14" t="str">
        <x:v>Chưa có</x:v>
      </x:c>
      <x:c r="M298" s="14" t="str">
        <x:v>Theo dõi và cập nhật link/chỉ dẫn hồ sơ sau khi có bằng chứng.</x:v>
      </x:c>
    </x:row>
    <x:row r="299">
      <x:c r="A299" s="14" t="str">
        <x:v>EVID-0298</x:v>
      </x:c>
      <x:c r="B299" s="14" t="str">
        <x:v>VATM-0298</x:v>
      </x:c>
      <x:c r="C299" s="14" t="str">
        <x:v>An toàn hàng không / SMS</x:v>
      </x:c>
      <x:c r="D299" s="14" t="str">
        <x:v>Báo cáo MOR, sự cố và điều tra</x:v>
      </x:c>
      <x:c r="E299" s="14" t="str">
        <x:v>Bổ sung bằng chứng theo yêu cầu nhiệm vụ</x:v>
      </x:c>
      <x:c r="F299" s="14" t="str">
        <x:v>Khác</x:v>
      </x:c>
      <x:c r="G299" s="14" t="str">
        <x:v>Ban An toàn - Chất lượng</x:v>
      </x:c>
      <x:c r="H299" s="14" t="str"/>
      <x:c r="I299" s="58" t="str"/>
      <x:c r="J299" s="58" t="str"/>
      <x:c r="K299" s="14" t="str"/>
      <x:c r="L299" s="14" t="str">
        <x:v>Chưa có</x:v>
      </x:c>
      <x:c r="M299" s="14" t="str">
        <x:v>Theo dõi và cập nhật link/chỉ dẫn hồ sơ sau khi có bằng chứng.</x:v>
      </x:c>
    </x:row>
    <x:row r="300">
      <x:c r="A300" s="14" t="str">
        <x:v>EVID-0299</x:v>
      </x:c>
      <x:c r="B300" s="14" t="str">
        <x:v>VATM-0299</x:v>
      </x:c>
      <x:c r="C300" s="14" t="str">
        <x:v>An toàn hàng không / SMS</x:v>
      </x:c>
      <x:c r="D300" s="14" t="str">
        <x:v>Báo cáo MOR, sự cố và điều tra</x:v>
      </x:c>
      <x:c r="E300" s="14" t="str">
        <x:v>Bổ sung bằng chứng theo yêu cầu nhiệm vụ</x:v>
      </x:c>
      <x:c r="F300" s="14" t="str">
        <x:v>Khác</x:v>
      </x:c>
      <x:c r="G300" s="14" t="str">
        <x:v>Ban An toàn - Chất lượng</x:v>
      </x:c>
      <x:c r="H300" s="14" t="str"/>
      <x:c r="I300" s="58" t="str"/>
      <x:c r="J300" s="58" t="str"/>
      <x:c r="K300" s="14" t="str"/>
      <x:c r="L300" s="14" t="str">
        <x:v>Chưa có</x:v>
      </x:c>
      <x:c r="M300" s="14" t="str">
        <x:v>Theo dõi và cập nhật link/chỉ dẫn hồ sơ sau khi có bằng chứng.</x:v>
      </x:c>
    </x:row>
    <x:row r="301">
      <x:c r="A301" s="14" t="str">
        <x:v>EVID-0300</x:v>
      </x:c>
      <x:c r="B301" s="14" t="str">
        <x:v>VATM-0300</x:v>
      </x:c>
      <x:c r="C301" s="14" t="str">
        <x:v>An toàn hàng không / SMS</x:v>
      </x:c>
      <x:c r="D301" s="14" t="str">
        <x:v>Báo cáo MOR, sự cố và điều tra</x:v>
      </x:c>
      <x:c r="E301" s="14" t="str">
        <x:v>Bổ sung bằng chứng theo yêu cầu nhiệm vụ</x:v>
      </x:c>
      <x:c r="F301" s="14" t="str">
        <x:v>Khác</x:v>
      </x:c>
      <x:c r="G301" s="14" t="str">
        <x:v>Ban An toàn - Chất lượng</x:v>
      </x:c>
      <x:c r="H301" s="14" t="str"/>
      <x:c r="I301" s="58" t="str"/>
      <x:c r="J301" s="58" t="str"/>
      <x:c r="K301" s="14" t="str"/>
      <x:c r="L301" s="14" t="str">
        <x:v>Chưa có</x:v>
      </x:c>
      <x:c r="M301" s="14" t="str">
        <x:v>Theo dõi và cập nhật link/chỉ dẫn hồ sơ sau khi có bằng chứng.</x:v>
      </x:c>
    </x:row>
    <x:row r="302">
      <x:c r="A302" s="14" t="str">
        <x:v>EVID-0301</x:v>
      </x:c>
      <x:c r="B302" s="14" t="str">
        <x:v>VATM-0301</x:v>
      </x:c>
      <x:c r="C302" s="14" t="str">
        <x:v>An toàn hàng không / SMS</x:v>
      </x:c>
      <x:c r="D302" s="14" t="str">
        <x:v>Báo cáo MOR, sự cố và điều tra</x:v>
      </x:c>
      <x:c r="E302" s="14" t="str">
        <x:v>Bổ sung bằng chứng theo yêu cầu nhiệm vụ</x:v>
      </x:c>
      <x:c r="F302" s="14" t="str">
        <x:v>Khác</x:v>
      </x:c>
      <x:c r="G302" s="14" t="str">
        <x:v>Ban An toàn - Chất lượng</x:v>
      </x:c>
      <x:c r="H302" s="14" t="str"/>
      <x:c r="I302" s="58" t="str"/>
      <x:c r="J302" s="58" t="str"/>
      <x:c r="K302" s="14" t="str"/>
      <x:c r="L302" s="14" t="str">
        <x:v>Chưa có</x:v>
      </x:c>
      <x:c r="M302" s="14" t="str">
        <x:v>Theo dõi và cập nhật link/chỉ dẫn hồ sơ sau khi có bằng chứng.</x:v>
      </x:c>
    </x:row>
    <x:row r="303">
      <x:c r="A303" s="14" t="str">
        <x:v>EVID-0302</x:v>
      </x:c>
      <x:c r="B303" s="14" t="str">
        <x:v>VATM-0302</x:v>
      </x:c>
      <x:c r="C303" s="14" t="str">
        <x:v>An toàn hàng không / SMS</x:v>
      </x:c>
      <x:c r="D303" s="14" t="str">
        <x:v>Báo cáo MOR, sự cố và điều tra</x:v>
      </x:c>
      <x:c r="E303" s="14" t="str">
        <x:v>Bổ sung bằng chứng theo yêu cầu nhiệm vụ</x:v>
      </x:c>
      <x:c r="F303" s="14" t="str">
        <x:v>Khác</x:v>
      </x:c>
      <x:c r="G303" s="14" t="str">
        <x:v>Ban An toàn - Chất lượng</x:v>
      </x:c>
      <x:c r="H303" s="14" t="str"/>
      <x:c r="I303" s="58" t="str"/>
      <x:c r="J303" s="58" t="str"/>
      <x:c r="K303" s="14" t="str"/>
      <x:c r="L303" s="14" t="str">
        <x:v>Chưa có</x:v>
      </x:c>
      <x:c r="M303" s="14" t="str">
        <x:v>Theo dõi và cập nhật link/chỉ dẫn hồ sơ sau khi có bằng chứng.</x:v>
      </x:c>
    </x:row>
    <x:row r="304">
      <x:c r="A304" s="14" t="str">
        <x:v>EVID-0303</x:v>
      </x:c>
      <x:c r="B304" s="14" t="str">
        <x:v>VATM-0303</x:v>
      </x:c>
      <x:c r="C304" s="14" t="str">
        <x:v>An toàn hàng không / SMS</x:v>
      </x:c>
      <x:c r="D304" s="14" t="str">
        <x:v>Báo cáo MOR, sự cố và điều tra</x:v>
      </x:c>
      <x:c r="E304" s="14" t="str">
        <x:v>Bổ sung bằng chứng theo yêu cầu nhiệm vụ</x:v>
      </x:c>
      <x:c r="F304" s="14" t="str">
        <x:v>Khác</x:v>
      </x:c>
      <x:c r="G304" s="14" t="str">
        <x:v>Ban An toàn - Chất lượng</x:v>
      </x:c>
      <x:c r="H304" s="14" t="str"/>
      <x:c r="I304" s="58" t="str"/>
      <x:c r="J304" s="58" t="str"/>
      <x:c r="K304" s="14" t="str"/>
      <x:c r="L304" s="14" t="str">
        <x:v>Chưa có</x:v>
      </x:c>
      <x:c r="M304" s="14" t="str">
        <x:v>Theo dõi và cập nhật link/chỉ dẫn hồ sơ sau khi có bằng chứng.</x:v>
      </x:c>
    </x:row>
    <x:row r="305">
      <x:c r="A305" s="14" t="str">
        <x:v>EVID-0304</x:v>
      </x:c>
      <x:c r="B305" s="14" t="str">
        <x:v>VATM-0304</x:v>
      </x:c>
      <x:c r="C305" s="14" t="str">
        <x:v>An toàn hàng không / SMS</x:v>
      </x:c>
      <x:c r="D305" s="14" t="str">
        <x:v>Báo cáo MOR, sự cố và điều tra</x:v>
      </x:c>
      <x:c r="E305" s="14" t="str">
        <x:v>Bổ sung bằng chứng theo yêu cầu nhiệm vụ</x:v>
      </x:c>
      <x:c r="F305" s="14" t="str">
        <x:v>Khác</x:v>
      </x:c>
      <x:c r="G305" s="14" t="str">
        <x:v>Ban An toàn - Chất lượng</x:v>
      </x:c>
      <x:c r="H305" s="14" t="str"/>
      <x:c r="I305" s="58" t="str"/>
      <x:c r="J305" s="58" t="str"/>
      <x:c r="K305" s="14" t="str"/>
      <x:c r="L305" s="14" t="str">
        <x:v>Chưa có</x:v>
      </x:c>
      <x:c r="M305" s="14" t="str">
        <x:v>Theo dõi và cập nhật link/chỉ dẫn hồ sơ sau khi có bằng chứng.</x:v>
      </x:c>
    </x:row>
    <x:row r="306">
      <x:c r="A306" s="14" t="str">
        <x:v>EVID-0305</x:v>
      </x:c>
      <x:c r="B306" s="14" t="str">
        <x:v>VATM-0305</x:v>
      </x:c>
      <x:c r="C306" s="14" t="str">
        <x:v>An toàn hàng không / SMS</x:v>
      </x:c>
      <x:c r="D306" s="14" t="str">
        <x:v>Báo cáo MOR, sự cố và điều tra</x:v>
      </x:c>
      <x:c r="E306" s="14" t="str">
        <x:v>Bổ sung bằng chứng theo yêu cầu nhiệm vụ</x:v>
      </x:c>
      <x:c r="F306" s="14" t="str">
        <x:v>Khác</x:v>
      </x:c>
      <x:c r="G306" s="14" t="str">
        <x:v>Ban An toàn - Chất lượng</x:v>
      </x:c>
      <x:c r="H306" s="14" t="str"/>
      <x:c r="I306" s="58" t="str"/>
      <x:c r="J306" s="58" t="str"/>
      <x:c r="K306" s="14" t="str"/>
      <x:c r="L306" s="14" t="str">
        <x:v>Chưa có</x:v>
      </x:c>
      <x:c r="M306" s="14" t="str">
        <x:v>Theo dõi và cập nhật link/chỉ dẫn hồ sơ sau khi có bằng chứng.</x:v>
      </x:c>
    </x:row>
    <x:row r="307">
      <x:c r="A307" s="14" t="str">
        <x:v>EVID-0306</x:v>
      </x:c>
      <x:c r="B307" s="14" t="str">
        <x:v>VATM-0306</x:v>
      </x:c>
      <x:c r="C307" s="14" t="str">
        <x:v>An toàn hàng không / SMS</x:v>
      </x:c>
      <x:c r="D307" s="14" t="str">
        <x:v>Báo cáo MOR, sự cố và điều tra</x:v>
      </x:c>
      <x:c r="E307" s="14" t="str">
        <x:v>Bổ sung bằng chứng theo yêu cầu nhiệm vụ</x:v>
      </x:c>
      <x:c r="F307" s="14" t="str">
        <x:v>Khác</x:v>
      </x:c>
      <x:c r="G307" s="14" t="str">
        <x:v>Ban An toàn - Chất lượng</x:v>
      </x:c>
      <x:c r="H307" s="14" t="str"/>
      <x:c r="I307" s="58" t="str"/>
      <x:c r="J307" s="58" t="str"/>
      <x:c r="K307" s="14" t="str"/>
      <x:c r="L307" s="14" t="str">
        <x:v>Chưa có</x:v>
      </x:c>
      <x:c r="M307" s="14" t="str">
        <x:v>Theo dõi và cập nhật link/chỉ dẫn hồ sơ sau khi có bằng chứng.</x:v>
      </x:c>
    </x:row>
    <x:row r="308">
      <x:c r="A308" s="14" t="str">
        <x:v>EVID-0307</x:v>
      </x:c>
      <x:c r="B308" s="14" t="str">
        <x:v>VATM-0307</x:v>
      </x:c>
      <x:c r="C308" s="14" t="str">
        <x:v>An toàn hàng không / SMS</x:v>
      </x:c>
      <x:c r="D308" s="14" t="str">
        <x:v>Báo cáo MOR, sự cố và điều tra</x:v>
      </x:c>
      <x:c r="E308" s="14" t="str">
        <x:v>Bổ sung bằng chứng theo yêu cầu nhiệm vụ</x:v>
      </x:c>
      <x:c r="F308" s="14" t="str">
        <x:v>Khác</x:v>
      </x:c>
      <x:c r="G308" s="14" t="str">
        <x:v>Ban An toàn - Chất lượng</x:v>
      </x:c>
      <x:c r="H308" s="14" t="str"/>
      <x:c r="I308" s="58" t="str"/>
      <x:c r="J308" s="58" t="str"/>
      <x:c r="K308" s="14" t="str"/>
      <x:c r="L308" s="14" t="str">
        <x:v>Chưa có</x:v>
      </x:c>
      <x:c r="M308" s="14" t="str">
        <x:v>Theo dõi và cập nhật link/chỉ dẫn hồ sơ sau khi có bằng chứng.</x:v>
      </x:c>
    </x:row>
    <x:row r="309">
      <x:c r="A309" s="14" t="str">
        <x:v>EVID-0308</x:v>
      </x:c>
      <x:c r="B309" s="14" t="str">
        <x:v>VATM-0308</x:v>
      </x:c>
      <x:c r="C309" s="14" t="str">
        <x:v>An toàn hàng không / SMS</x:v>
      </x:c>
      <x:c r="D309" s="14" t="str">
        <x:v>Báo cáo MOR, sự cố và điều tra</x:v>
      </x:c>
      <x:c r="E309" s="14" t="str">
        <x:v>Bổ sung bằng chứng theo yêu cầu nhiệm vụ</x:v>
      </x:c>
      <x:c r="F309" s="14" t="str">
        <x:v>Khác</x:v>
      </x:c>
      <x:c r="G309" s="14" t="str">
        <x:v>Ban An toàn - Chất lượng</x:v>
      </x:c>
      <x:c r="H309" s="14" t="str"/>
      <x:c r="I309" s="58" t="str"/>
      <x:c r="J309" s="58" t="str"/>
      <x:c r="K309" s="14" t="str"/>
      <x:c r="L309" s="14" t="str">
        <x:v>Chưa có</x:v>
      </x:c>
      <x:c r="M309" s="14" t="str">
        <x:v>Theo dõi và cập nhật link/chỉ dẫn hồ sơ sau khi có bằng chứng.</x:v>
      </x:c>
    </x:row>
    <x:row r="310">
      <x:c r="A310" s="14" t="str">
        <x:v>EVID-0309</x:v>
      </x:c>
      <x:c r="B310" s="14" t="str">
        <x:v>VATM-0309</x:v>
      </x:c>
      <x:c r="C310" s="14" t="str">
        <x:v>An toàn hàng không / SMS</x:v>
      </x:c>
      <x:c r="D310" s="14" t="str">
        <x:v>Báo cáo MOR, sự cố và điều tra</x:v>
      </x:c>
      <x:c r="E310" s="14" t="str">
        <x:v>Bổ sung bằng chứng theo yêu cầu nhiệm vụ</x:v>
      </x:c>
      <x:c r="F310" s="14" t="str">
        <x:v>Khác</x:v>
      </x:c>
      <x:c r="G310" s="14" t="str">
        <x:v>Ban An toàn - Chất lượng</x:v>
      </x:c>
      <x:c r="H310" s="14" t="str"/>
      <x:c r="I310" s="58" t="str"/>
      <x:c r="J310" s="58" t="str"/>
      <x:c r="K310" s="14" t="str"/>
      <x:c r="L310" s="14" t="str">
        <x:v>Chưa có</x:v>
      </x:c>
      <x:c r="M310" s="14" t="str">
        <x:v>Theo dõi và cập nhật link/chỉ dẫn hồ sơ sau khi có bằng chứng.</x:v>
      </x:c>
    </x:row>
    <x:row r="311">
      <x:c r="A311" s="14" t="str">
        <x:v>EVID-0310</x:v>
      </x:c>
      <x:c r="B311" s="14" t="str">
        <x:v>VATM-0310</x:v>
      </x:c>
      <x:c r="C311" s="14" t="str">
        <x:v>An toàn hàng không / SMS</x:v>
      </x:c>
      <x:c r="D311" s="14" t="str">
        <x:v>Báo cáo MOR, sự cố và điều tra</x:v>
      </x:c>
      <x:c r="E311" s="14" t="str">
        <x:v>Bổ sung bằng chứng theo yêu cầu nhiệm vụ</x:v>
      </x:c>
      <x:c r="F311" s="14" t="str">
        <x:v>Khác</x:v>
      </x:c>
      <x:c r="G311" s="14" t="str">
        <x:v>Ban An toàn - Chất lượng</x:v>
      </x:c>
      <x:c r="H311" s="14" t="str"/>
      <x:c r="I311" s="58" t="str"/>
      <x:c r="J311" s="58" t="str"/>
      <x:c r="K311" s="14" t="str"/>
      <x:c r="L311" s="14" t="str">
        <x:v>Chưa có</x:v>
      </x:c>
      <x:c r="M311" s="14" t="str">
        <x:v>Theo dõi và cập nhật link/chỉ dẫn hồ sơ sau khi có bằng chứng.</x:v>
      </x:c>
    </x:row>
    <x:row r="312">
      <x:c r="A312" s="14" t="str">
        <x:v>EVID-0311</x:v>
      </x:c>
      <x:c r="B312" s="14" t="str">
        <x:v>VATM-0311</x:v>
      </x:c>
      <x:c r="C312" s="14" t="str">
        <x:v>An toàn hàng không / SMS</x:v>
      </x:c>
      <x:c r="D312" s="14" t="str">
        <x:v>Báo cáo MOR, sự cố và điều tra</x:v>
      </x:c>
      <x:c r="E312" s="14" t="str">
        <x:v>Bổ sung bằng chứng theo yêu cầu nhiệm vụ</x:v>
      </x:c>
      <x:c r="F312" s="14" t="str">
        <x:v>Khác</x:v>
      </x:c>
      <x:c r="G312" s="14" t="str">
        <x:v>Ban An toàn - Chất lượng</x:v>
      </x:c>
      <x:c r="H312" s="14" t="str"/>
      <x:c r="I312" s="58" t="str"/>
      <x:c r="J312" s="58" t="str"/>
      <x:c r="K312" s="14" t="str"/>
      <x:c r="L312" s="14" t="str">
        <x:v>Chưa có</x:v>
      </x:c>
      <x:c r="M312" s="14" t="str">
        <x:v>Theo dõi và cập nhật link/chỉ dẫn hồ sơ sau khi có bằng chứng.</x:v>
      </x:c>
    </x:row>
    <x:row r="313">
      <x:c r="A313" s="14" t="str">
        <x:v>EVID-0312</x:v>
      </x:c>
      <x:c r="B313" s="14" t="str">
        <x:v>VATM-0312</x:v>
      </x:c>
      <x:c r="C313" s="14" t="str">
        <x:v>An toàn hàng không / SMS</x:v>
      </x:c>
      <x:c r="D313" s="14" t="str">
        <x:v>Báo cáo MOR, sự cố và điều tra</x:v>
      </x:c>
      <x:c r="E313" s="14" t="str">
        <x:v>Bổ sung bằng chứng theo yêu cầu nhiệm vụ</x:v>
      </x:c>
      <x:c r="F313" s="14" t="str">
        <x:v>Khác</x:v>
      </x:c>
      <x:c r="G313" s="14" t="str">
        <x:v>Ban An toàn - Chất lượng</x:v>
      </x:c>
      <x:c r="H313" s="14" t="str"/>
      <x:c r="I313" s="58" t="str"/>
      <x:c r="J313" s="58" t="str"/>
      <x:c r="K313" s="14" t="str"/>
      <x:c r="L313" s="14" t="str">
        <x:v>Chưa có</x:v>
      </x:c>
      <x:c r="M313" s="14" t="str">
        <x:v>Theo dõi và cập nhật link/chỉ dẫn hồ sơ sau khi có bằng chứng.</x:v>
      </x:c>
    </x:row>
    <x:row r="314">
      <x:c r="A314" s="14" t="str">
        <x:v>EVID-0313</x:v>
      </x:c>
      <x:c r="B314" s="14" t="str">
        <x:v>VATM-0313</x:v>
      </x:c>
      <x:c r="C314" s="14" t="str">
        <x:v>An toàn hàng không / SMS</x:v>
      </x:c>
      <x:c r="D314" s="14" t="str">
        <x:v>Báo cáo MOR, sự cố và điều tra</x:v>
      </x:c>
      <x:c r="E314" s="14" t="str">
        <x:v>Bổ sung bằng chứng theo yêu cầu nhiệm vụ</x:v>
      </x:c>
      <x:c r="F314" s="14" t="str">
        <x:v>Khác</x:v>
      </x:c>
      <x:c r="G314" s="14" t="str">
        <x:v>Ban An toàn - Chất lượng</x:v>
      </x:c>
      <x:c r="H314" s="14" t="str"/>
      <x:c r="I314" s="58" t="str"/>
      <x:c r="J314" s="58" t="str"/>
      <x:c r="K314" s="14" t="str"/>
      <x:c r="L314" s="14" t="str">
        <x:v>Chưa có</x:v>
      </x:c>
      <x:c r="M314" s="14" t="str">
        <x:v>Theo dõi và cập nhật link/chỉ dẫn hồ sơ sau khi có bằng chứng.</x:v>
      </x:c>
    </x:row>
    <x:row r="315">
      <x:c r="A315" s="14" t="str">
        <x:v>EVID-0314</x:v>
      </x:c>
      <x:c r="B315" s="14" t="str">
        <x:v>VATM-0314</x:v>
      </x:c>
      <x:c r="C315" s="14" t="str">
        <x:v>An toàn hàng không / SMS</x:v>
      </x:c>
      <x:c r="D315" s="14" t="str">
        <x:v>Báo cáo MOR, sự cố và điều tra</x:v>
      </x:c>
      <x:c r="E315" s="14" t="str">
        <x:v>Bổ sung bằng chứng theo yêu cầu nhiệm vụ</x:v>
      </x:c>
      <x:c r="F315" s="14" t="str">
        <x:v>Khác</x:v>
      </x:c>
      <x:c r="G315" s="14" t="str">
        <x:v>Ban An toàn - Chất lượng</x:v>
      </x:c>
      <x:c r="H315" s="14" t="str"/>
      <x:c r="I315" s="58" t="str"/>
      <x:c r="J315" s="58" t="str"/>
      <x:c r="K315" s="14" t="str"/>
      <x:c r="L315" s="14" t="str">
        <x:v>Chưa có</x:v>
      </x:c>
      <x:c r="M315" s="14" t="str">
        <x:v>Theo dõi và cập nhật link/chỉ dẫn hồ sơ sau khi có bằng chứng.</x:v>
      </x:c>
    </x:row>
    <x:row r="316">
      <x:c r="A316" s="14" t="str">
        <x:v>EVID-0315</x:v>
      </x:c>
      <x:c r="B316" s="14" t="str">
        <x:v>VATM-0315</x:v>
      </x:c>
      <x:c r="C316" s="14" t="str">
        <x:v>An toàn hàng không / SMS</x:v>
      </x:c>
      <x:c r="D316" s="14" t="str">
        <x:v>Báo cáo MOR, sự cố và điều tra</x:v>
      </x:c>
      <x:c r="E316" s="14" t="str">
        <x:v>Bổ sung bằng chứng theo yêu cầu nhiệm vụ</x:v>
      </x:c>
      <x:c r="F316" s="14" t="str">
        <x:v>Khác</x:v>
      </x:c>
      <x:c r="G316" s="14" t="str">
        <x:v>Ban An toàn - Chất lượng</x:v>
      </x:c>
      <x:c r="H316" s="14" t="str"/>
      <x:c r="I316" s="58" t="str"/>
      <x:c r="J316" s="58" t="str"/>
      <x:c r="K316" s="14" t="str"/>
      <x:c r="L316" s="14" t="str">
        <x:v>Chưa có</x:v>
      </x:c>
      <x:c r="M316" s="14" t="str">
        <x:v>Theo dõi và cập nhật link/chỉ dẫn hồ sơ sau khi có bằng chứng.</x:v>
      </x:c>
    </x:row>
    <x:row r="317">
      <x:c r="A317" s="14" t="str">
        <x:v>EVID-0316</x:v>
      </x:c>
      <x:c r="B317" s="14" t="str">
        <x:v>VATM-0316</x:v>
      </x:c>
      <x:c r="C317" s="14" t="str">
        <x:v>An toàn hàng không / SMS</x:v>
      </x:c>
      <x:c r="D317" s="14" t="str">
        <x:v>Báo cáo MOR, sự cố và điều tra</x:v>
      </x:c>
      <x:c r="E317" s="14" t="str">
        <x:v>Bổ sung bằng chứng theo yêu cầu nhiệm vụ</x:v>
      </x:c>
      <x:c r="F317" s="14" t="str">
        <x:v>Khác</x:v>
      </x:c>
      <x:c r="G317" s="14" t="str">
        <x:v>Ban An toàn - Chất lượng</x:v>
      </x:c>
      <x:c r="H317" s="14" t="str"/>
      <x:c r="I317" s="58" t="str"/>
      <x:c r="J317" s="58" t="str"/>
      <x:c r="K317" s="14" t="str"/>
      <x:c r="L317" s="14" t="str">
        <x:v>Chưa có</x:v>
      </x:c>
      <x:c r="M317" s="14" t="str">
        <x:v>Theo dõi và cập nhật link/chỉ dẫn hồ sơ sau khi có bằng chứng.</x:v>
      </x:c>
    </x:row>
    <x:row r="318">
      <x:c r="A318" s="14" t="str">
        <x:v>EVID-0317</x:v>
      </x:c>
      <x:c r="B318" s="14" t="str">
        <x:v>VATM-0317</x:v>
      </x:c>
      <x:c r="C318" s="14" t="str">
        <x:v>An toàn hàng không / SMS</x:v>
      </x:c>
      <x:c r="D318" s="14" t="str">
        <x:v>Báo cáo MOR, sự cố và điều tra</x:v>
      </x:c>
      <x:c r="E318" s="14" t="str">
        <x:v>Bổ sung bằng chứng theo yêu cầu nhiệm vụ</x:v>
      </x:c>
      <x:c r="F318" s="14" t="str">
        <x:v>Khác</x:v>
      </x:c>
      <x:c r="G318" s="14" t="str">
        <x:v>Ban An toàn - Chất lượng</x:v>
      </x:c>
      <x:c r="H318" s="14" t="str"/>
      <x:c r="I318" s="58" t="str"/>
      <x:c r="J318" s="58" t="str"/>
      <x:c r="K318" s="14" t="str"/>
      <x:c r="L318" s="14" t="str">
        <x:v>Chưa có</x:v>
      </x:c>
      <x:c r="M318" s="14" t="str">
        <x:v>Theo dõi và cập nhật link/chỉ dẫn hồ sơ sau khi có bằng chứng.</x:v>
      </x:c>
    </x:row>
    <x:row r="319">
      <x:c r="A319" s="14" t="str">
        <x:v>EVID-0318</x:v>
      </x:c>
      <x:c r="B319" s="14" t="str">
        <x:v>VATM-0318</x:v>
      </x:c>
      <x:c r="C319" s="14" t="str">
        <x:v>An toàn hàng không / SMS</x:v>
      </x:c>
      <x:c r="D319" s="14" t="str">
        <x:v>Báo cáo MOR, sự cố và điều tra</x:v>
      </x:c>
      <x:c r="E319" s="14" t="str">
        <x:v>Bổ sung bằng chứng theo yêu cầu nhiệm vụ</x:v>
      </x:c>
      <x:c r="F319" s="14" t="str">
        <x:v>Khác</x:v>
      </x:c>
      <x:c r="G319" s="14" t="str">
        <x:v>Ban An toàn - Chất lượng</x:v>
      </x:c>
      <x:c r="H319" s="14" t="str"/>
      <x:c r="I319" s="58" t="str"/>
      <x:c r="J319" s="58" t="str"/>
      <x:c r="K319" s="14" t="str"/>
      <x:c r="L319" s="14" t="str">
        <x:v>Chưa có</x:v>
      </x:c>
      <x:c r="M319" s="14" t="str">
        <x:v>Theo dõi và cập nhật link/chỉ dẫn hồ sơ sau khi có bằng chứng.</x:v>
      </x:c>
    </x:row>
    <x:row r="320">
      <x:c r="A320" s="14" t="str">
        <x:v>EVID-0319</x:v>
      </x:c>
      <x:c r="B320" s="14" t="str">
        <x:v>VATM-0319</x:v>
      </x:c>
      <x:c r="C320" s="14" t="str">
        <x:v>An toàn hàng không / SMS</x:v>
      </x:c>
      <x:c r="D320" s="14" t="str">
        <x:v>Báo cáo MOR, sự cố và điều tra</x:v>
      </x:c>
      <x:c r="E320" s="14" t="str">
        <x:v>Bổ sung bằng chứng theo yêu cầu nhiệm vụ</x:v>
      </x:c>
      <x:c r="F320" s="14" t="str">
        <x:v>Khác</x:v>
      </x:c>
      <x:c r="G320" s="14" t="str">
        <x:v>Ban An toàn - Chất lượng</x:v>
      </x:c>
      <x:c r="H320" s="14" t="str"/>
      <x:c r="I320" s="58" t="str"/>
      <x:c r="J320" s="58" t="str"/>
      <x:c r="K320" s="14" t="str"/>
      <x:c r="L320" s="14" t="str">
        <x:v>Chưa có</x:v>
      </x:c>
      <x:c r="M320" s="14" t="str">
        <x:v>Theo dõi và cập nhật link/chỉ dẫn hồ sơ sau khi có bằng chứng.</x:v>
      </x:c>
    </x:row>
    <x:row r="321">
      <x:c r="A321" s="14" t="str">
        <x:v>EVID-0320</x:v>
      </x:c>
      <x:c r="B321" s="14" t="str">
        <x:v>VATM-0320</x:v>
      </x:c>
      <x:c r="C321" s="14" t="str">
        <x:v>An toàn hàng không / SMS</x:v>
      </x:c>
      <x:c r="D321" s="14" t="str">
        <x:v>Báo cáo MOR, sự cố và điều tra</x:v>
      </x:c>
      <x:c r="E321" s="14" t="str">
        <x:v>Bổ sung bằng chứng theo yêu cầu nhiệm vụ</x:v>
      </x:c>
      <x:c r="F321" s="14" t="str">
        <x:v>Khác</x:v>
      </x:c>
      <x:c r="G321" s="14" t="str">
        <x:v>Ban An toàn - Chất lượng</x:v>
      </x:c>
      <x:c r="H321" s="14" t="str"/>
      <x:c r="I321" s="58" t="str"/>
      <x:c r="J321" s="58" t="str"/>
      <x:c r="K321" s="14" t="str"/>
      <x:c r="L321" s="14" t="str">
        <x:v>Chưa có</x:v>
      </x:c>
      <x:c r="M321" s="14" t="str">
        <x:v>Theo dõi và cập nhật link/chỉ dẫn hồ sơ sau khi có bằng chứng.</x:v>
      </x:c>
    </x:row>
    <x:row r="322">
      <x:c r="A322" s="14" t="str">
        <x:v>EVID-0321</x:v>
      </x:c>
      <x:c r="B322" s="14" t="str">
        <x:v>VATM-0321</x:v>
      </x:c>
      <x:c r="C322" s="14" t="str">
        <x:v>An toàn hàng không / SMS</x:v>
      </x:c>
      <x:c r="D322" s="14" t="str">
        <x:v>Báo cáo MOR, sự cố và điều tra</x:v>
      </x:c>
      <x:c r="E322" s="14" t="str">
        <x:v>Bổ sung bằng chứng theo yêu cầu nhiệm vụ</x:v>
      </x:c>
      <x:c r="F322" s="14" t="str">
        <x:v>Khác</x:v>
      </x:c>
      <x:c r="G322" s="14" t="str">
        <x:v>Ban An toàn - Chất lượng</x:v>
      </x:c>
      <x:c r="H322" s="14" t="str"/>
      <x:c r="I322" s="58" t="str"/>
      <x:c r="J322" s="58" t="str"/>
      <x:c r="K322" s="14" t="str"/>
      <x:c r="L322" s="14" t="str">
        <x:v>Chưa có</x:v>
      </x:c>
      <x:c r="M322" s="14" t="str">
        <x:v>Theo dõi và cập nhật link/chỉ dẫn hồ sơ sau khi có bằng chứng.</x:v>
      </x:c>
    </x:row>
    <x:row r="323">
      <x:c r="A323" s="14" t="str">
        <x:v>EVID-0322</x:v>
      </x:c>
      <x:c r="B323" s="14" t="str">
        <x:v>VATM-0322</x:v>
      </x:c>
      <x:c r="C323" s="14" t="str">
        <x:v>An toàn hàng không / SMS</x:v>
      </x:c>
      <x:c r="D323" s="14" t="str">
        <x:v>Báo cáo MOR, sự cố và điều tra</x:v>
      </x:c>
      <x:c r="E323" s="14" t="str">
        <x:v>Bổ sung bằng chứng theo yêu cầu nhiệm vụ</x:v>
      </x:c>
      <x:c r="F323" s="14" t="str">
        <x:v>Khác</x:v>
      </x:c>
      <x:c r="G323" s="14" t="str">
        <x:v>Ban An toàn - Chất lượng</x:v>
      </x:c>
      <x:c r="H323" s="14" t="str"/>
      <x:c r="I323" s="58" t="str"/>
      <x:c r="J323" s="58" t="str"/>
      <x:c r="K323" s="14" t="str"/>
      <x:c r="L323" s="14" t="str">
        <x:v>Chưa có</x:v>
      </x:c>
      <x:c r="M323" s="14" t="str">
        <x:v>Theo dõi và cập nhật link/chỉ dẫn hồ sơ sau khi có bằng chứng.</x:v>
      </x:c>
    </x:row>
    <x:row r="324">
      <x:c r="A324" s="14" t="str">
        <x:v>EVID-0323</x:v>
      </x:c>
      <x:c r="B324" s="14" t="str">
        <x:v>VATM-0323</x:v>
      </x:c>
      <x:c r="C324" s="14" t="str">
        <x:v>An toàn hàng không / SMS</x:v>
      </x:c>
      <x:c r="D324" s="14" t="str">
        <x:v>Báo cáo MOR, sự cố và điều tra</x:v>
      </x:c>
      <x:c r="E324" s="14" t="str">
        <x:v>Bổ sung bằng chứng theo yêu cầu nhiệm vụ</x:v>
      </x:c>
      <x:c r="F324" s="14" t="str">
        <x:v>Khác</x:v>
      </x:c>
      <x:c r="G324" s="14" t="str">
        <x:v>Ban An toàn - Chất lượng</x:v>
      </x:c>
      <x:c r="H324" s="14" t="str"/>
      <x:c r="I324" s="58" t="str"/>
      <x:c r="J324" s="58" t="str"/>
      <x:c r="K324" s="14" t="str"/>
      <x:c r="L324" s="14" t="str">
        <x:v>Chưa có</x:v>
      </x:c>
      <x:c r="M324" s="14" t="str">
        <x:v>Theo dõi và cập nhật link/chỉ dẫn hồ sơ sau khi có bằng chứng.</x:v>
      </x:c>
    </x:row>
    <x:row r="325">
      <x:c r="A325" s="14" t="str">
        <x:v>EVID-0324</x:v>
      </x:c>
      <x:c r="B325" s="14" t="str">
        <x:v>VATM-0324</x:v>
      </x:c>
      <x:c r="C325" s="14" t="str">
        <x:v>An toàn hàng không / SMS</x:v>
      </x:c>
      <x:c r="D325" s="14" t="str">
        <x:v>Báo cáo MOR, sự cố và điều tra</x:v>
      </x:c>
      <x:c r="E325" s="14" t="str">
        <x:v>Bổ sung bằng chứng theo yêu cầu nhiệm vụ</x:v>
      </x:c>
      <x:c r="F325" s="14" t="str">
        <x:v>Khác</x:v>
      </x:c>
      <x:c r="G325" s="14" t="str">
        <x:v>Ban An toàn - Chất lượng</x:v>
      </x:c>
      <x:c r="H325" s="14" t="str"/>
      <x:c r="I325" s="58" t="str"/>
      <x:c r="J325" s="58" t="str"/>
      <x:c r="K325" s="14" t="str"/>
      <x:c r="L325" s="14" t="str">
        <x:v>Chưa có</x:v>
      </x:c>
      <x:c r="M325" s="14" t="str">
        <x:v>Theo dõi và cập nhật link/chỉ dẫn hồ sơ sau khi có bằng chứng.</x:v>
      </x:c>
    </x:row>
    <x:row r="326">
      <x:c r="A326" s="14" t="str">
        <x:v>EVID-0325</x:v>
      </x:c>
      <x:c r="B326" s="14" t="str">
        <x:v>VATM-0325</x:v>
      </x:c>
      <x:c r="C326" s="14" t="str">
        <x:v>An toàn hàng không / SMS</x:v>
      </x:c>
      <x:c r="D326" s="14" t="str">
        <x:v>Báo cáo MOR, sự cố và điều tra</x:v>
      </x:c>
      <x:c r="E326" s="14" t="str">
        <x:v>Bổ sung bằng chứng theo yêu cầu nhiệm vụ</x:v>
      </x:c>
      <x:c r="F326" s="14" t="str">
        <x:v>Khác</x:v>
      </x:c>
      <x:c r="G326" s="14" t="str">
        <x:v>Ban An toàn - Chất lượng</x:v>
      </x:c>
      <x:c r="H326" s="14" t="str"/>
      <x:c r="I326" s="58" t="str"/>
      <x:c r="J326" s="58" t="str"/>
      <x:c r="K326" s="14" t="str"/>
      <x:c r="L326" s="14" t="str">
        <x:v>Chưa có</x:v>
      </x:c>
      <x:c r="M326" s="14" t="str">
        <x:v>Theo dõi và cập nhật link/chỉ dẫn hồ sơ sau khi có bằng chứng.</x:v>
      </x:c>
    </x:row>
    <x:row r="327">
      <x:c r="A327" s="14" t="str">
        <x:v>EVID-0326</x:v>
      </x:c>
      <x:c r="B327" s="14" t="str">
        <x:v>VATM-0326</x:v>
      </x:c>
      <x:c r="C327" s="14" t="str">
        <x:v>An toàn hàng không / SMS</x:v>
      </x:c>
      <x:c r="D327" s="14" t="str">
        <x:v>Báo cáo MOR, sự cố và điều tra</x:v>
      </x:c>
      <x:c r="E327" s="14" t="str">
        <x:v>Bổ sung bằng chứng theo yêu cầu nhiệm vụ</x:v>
      </x:c>
      <x:c r="F327" s="14" t="str">
        <x:v>Khác</x:v>
      </x:c>
      <x:c r="G327" s="14" t="str">
        <x:v>Ban An toàn - Chất lượng</x:v>
      </x:c>
      <x:c r="H327" s="14" t="str"/>
      <x:c r="I327" s="58" t="str"/>
      <x:c r="J327" s="58" t="str"/>
      <x:c r="K327" s="14" t="str"/>
      <x:c r="L327" s="14" t="str">
        <x:v>Chưa có</x:v>
      </x:c>
      <x:c r="M327" s="14" t="str">
        <x:v>Theo dõi và cập nhật link/chỉ dẫn hồ sơ sau khi có bằng chứng.</x:v>
      </x:c>
    </x:row>
    <x:row r="328">
      <x:c r="A328" s="14" t="str">
        <x:v>EVID-0327</x:v>
      </x:c>
      <x:c r="B328" s="14" t="str">
        <x:v>VATM-0327</x:v>
      </x:c>
      <x:c r="C328" s="14" t="str">
        <x:v>An toàn hàng không / SMS</x:v>
      </x:c>
      <x:c r="D328" s="14" t="str">
        <x:v>Báo cáo MOR, sự cố và điều tra</x:v>
      </x:c>
      <x:c r="E328" s="14" t="str">
        <x:v>Bổ sung bằng chứng theo yêu cầu nhiệm vụ</x:v>
      </x:c>
      <x:c r="F328" s="14" t="str">
        <x:v>Khác</x:v>
      </x:c>
      <x:c r="G328" s="14" t="str">
        <x:v>Ban An toàn - Chất lượng</x:v>
      </x:c>
      <x:c r="H328" s="14" t="str"/>
      <x:c r="I328" s="58" t="str"/>
      <x:c r="J328" s="58" t="str"/>
      <x:c r="K328" s="14" t="str"/>
      <x:c r="L328" s="14" t="str">
        <x:v>Chưa có</x:v>
      </x:c>
      <x:c r="M328" s="14" t="str">
        <x:v>Theo dõi và cập nhật link/chỉ dẫn hồ sơ sau khi có bằng chứng.</x:v>
      </x:c>
    </x:row>
    <x:row r="329">
      <x:c r="A329" s="14" t="str">
        <x:v>EVID-0328</x:v>
      </x:c>
      <x:c r="B329" s="14" t="str">
        <x:v>VATM-0328</x:v>
      </x:c>
      <x:c r="C329" s="14" t="str">
        <x:v>An toàn hàng không / SMS</x:v>
      </x:c>
      <x:c r="D329" s="14" t="str">
        <x:v>Báo cáo MOR, sự cố và điều tra</x:v>
      </x:c>
      <x:c r="E329" s="14" t="str">
        <x:v>Bổ sung bằng chứng theo yêu cầu nhiệm vụ</x:v>
      </x:c>
      <x:c r="F329" s="14" t="str">
        <x:v>Khác</x:v>
      </x:c>
      <x:c r="G329" s="14" t="str">
        <x:v>Ban An toàn - Chất lượng</x:v>
      </x:c>
      <x:c r="H329" s="14" t="str"/>
      <x:c r="I329" s="58" t="str"/>
      <x:c r="J329" s="58" t="str"/>
      <x:c r="K329" s="14" t="str"/>
      <x:c r="L329" s="14" t="str">
        <x:v>Chưa có</x:v>
      </x:c>
      <x:c r="M329" s="14" t="str">
        <x:v>Theo dõi và cập nhật link/chỉ dẫn hồ sơ sau khi có bằng chứng.</x:v>
      </x:c>
    </x:row>
    <x:row r="330">
      <x:c r="A330" s="14" t="str">
        <x:v>EVID-0329</x:v>
      </x:c>
      <x:c r="B330" s="14" t="str">
        <x:v>VATM-0329</x:v>
      </x:c>
      <x:c r="C330" s="14" t="str">
        <x:v>An toàn hàng không / SMS</x:v>
      </x:c>
      <x:c r="D330" s="14" t="str">
        <x:v>Báo cáo MOR, sự cố và điều tra</x:v>
      </x:c>
      <x:c r="E330" s="14" t="str">
        <x:v>Bổ sung bằng chứng theo yêu cầu nhiệm vụ</x:v>
      </x:c>
      <x:c r="F330" s="14" t="str">
        <x:v>Khác</x:v>
      </x:c>
      <x:c r="G330" s="14" t="str">
        <x:v>Ban An toàn - Chất lượng</x:v>
      </x:c>
      <x:c r="H330" s="14" t="str"/>
      <x:c r="I330" s="58" t="str"/>
      <x:c r="J330" s="58" t="str"/>
      <x:c r="K330" s="14" t="str"/>
      <x:c r="L330" s="14" t="str">
        <x:v>Chưa có</x:v>
      </x:c>
      <x:c r="M330" s="14" t="str">
        <x:v>Theo dõi và cập nhật link/chỉ dẫn hồ sơ sau khi có bằng chứng.</x:v>
      </x:c>
    </x:row>
    <x:row r="331">
      <x:c r="A331" s="14" t="str">
        <x:v>EVID-0330</x:v>
      </x:c>
      <x:c r="B331" s="14" t="str">
        <x:v>VATM-0330</x:v>
      </x:c>
      <x:c r="C331" s="14" t="str">
        <x:v>An toàn hàng không / SMS</x:v>
      </x:c>
      <x:c r="D331" s="14" t="str">
        <x:v>Báo cáo MOR, sự cố và điều tra</x:v>
      </x:c>
      <x:c r="E331" s="14" t="str">
        <x:v>Bổ sung bằng chứng theo yêu cầu nhiệm vụ</x:v>
      </x:c>
      <x:c r="F331" s="14" t="str">
        <x:v>Khác</x:v>
      </x:c>
      <x:c r="G331" s="14" t="str">
        <x:v>Ban An toàn - Chất lượng</x:v>
      </x:c>
      <x:c r="H331" s="14" t="str"/>
      <x:c r="I331" s="58" t="str"/>
      <x:c r="J331" s="58" t="str"/>
      <x:c r="K331" s="14" t="str"/>
      <x:c r="L331" s="14" t="str">
        <x:v>Chưa có</x:v>
      </x:c>
      <x:c r="M331" s="14" t="str">
        <x:v>Theo dõi và cập nhật link/chỉ dẫn hồ sơ sau khi có bằng chứng.</x:v>
      </x:c>
    </x:row>
    <x:row r="332">
      <x:c r="A332" s="14" t="str">
        <x:v>EVID-0331</x:v>
      </x:c>
      <x:c r="B332" s="14" t="str">
        <x:v>VATM-0331</x:v>
      </x:c>
      <x:c r="C332" s="14" t="str">
        <x:v>An toàn hàng không / SMS</x:v>
      </x:c>
      <x:c r="D332" s="14" t="str">
        <x:v>Báo cáo MOR, sự cố và điều tra</x:v>
      </x:c>
      <x:c r="E332" s="14" t="str">
        <x:v>Bổ sung bằng chứng theo yêu cầu nhiệm vụ</x:v>
      </x:c>
      <x:c r="F332" s="14" t="str">
        <x:v>Khác</x:v>
      </x:c>
      <x:c r="G332" s="14" t="str">
        <x:v>Ban An toàn - Chất lượng</x:v>
      </x:c>
      <x:c r="H332" s="14" t="str"/>
      <x:c r="I332" s="58" t="str"/>
      <x:c r="J332" s="58" t="str"/>
      <x:c r="K332" s="14" t="str"/>
      <x:c r="L332" s="14" t="str">
        <x:v>Chưa có</x:v>
      </x:c>
      <x:c r="M332" s="14" t="str">
        <x:v>Theo dõi và cập nhật link/chỉ dẫn hồ sơ sau khi có bằng chứng.</x:v>
      </x:c>
    </x:row>
    <x:row r="333">
      <x:c r="A333" s="14" t="str">
        <x:v>EVID-0332</x:v>
      </x:c>
      <x:c r="B333" s="14" t="str">
        <x:v>VATM-0332</x:v>
      </x:c>
      <x:c r="C333" s="14" t="str">
        <x:v>An toàn hàng không / SMS</x:v>
      </x:c>
      <x:c r="D333" s="14" t="str">
        <x:v>Báo cáo MOR, sự cố và điều tra</x:v>
      </x:c>
      <x:c r="E333" s="14" t="str">
        <x:v>Bổ sung bằng chứng theo yêu cầu nhiệm vụ</x:v>
      </x:c>
      <x:c r="F333" s="14" t="str">
        <x:v>Khác</x:v>
      </x:c>
      <x:c r="G333" s="14" t="str">
        <x:v>Ban An toàn - Chất lượng</x:v>
      </x:c>
      <x:c r="H333" s="14" t="str"/>
      <x:c r="I333" s="58" t="str"/>
      <x:c r="J333" s="58" t="str"/>
      <x:c r="K333" s="14" t="str"/>
      <x:c r="L333" s="14" t="str">
        <x:v>Chưa có</x:v>
      </x:c>
      <x:c r="M333" s="14" t="str">
        <x:v>Theo dõi và cập nhật link/chỉ dẫn hồ sơ sau khi có bằng chứng.</x:v>
      </x:c>
    </x:row>
    <x:row r="334">
      <x:c r="A334" s="14" t="str">
        <x:v>EVID-0333</x:v>
      </x:c>
      <x:c r="B334" s="14" t="str">
        <x:v>VATM-0333</x:v>
      </x:c>
      <x:c r="C334" s="14" t="str">
        <x:v>An toàn hàng không / SMS</x:v>
      </x:c>
      <x:c r="D334" s="14" t="str">
        <x:v>Báo cáo MOR, sự cố và điều tra</x:v>
      </x:c>
      <x:c r="E334" s="14" t="str">
        <x:v>Bổ sung bằng chứng theo yêu cầu nhiệm vụ</x:v>
      </x:c>
      <x:c r="F334" s="14" t="str">
        <x:v>Khác</x:v>
      </x:c>
      <x:c r="G334" s="14" t="str">
        <x:v>Ban An toàn - Chất lượng</x:v>
      </x:c>
      <x:c r="H334" s="14" t="str"/>
      <x:c r="I334" s="58" t="str"/>
      <x:c r="J334" s="58" t="str"/>
      <x:c r="K334" s="14" t="str"/>
      <x:c r="L334" s="14" t="str">
        <x:v>Chưa có</x:v>
      </x:c>
      <x:c r="M334" s="14" t="str">
        <x:v>Theo dõi và cập nhật link/chỉ dẫn hồ sơ sau khi có bằng chứng.</x:v>
      </x:c>
    </x:row>
    <x:row r="335">
      <x:c r="A335" s="14" t="str">
        <x:v>EVID-0334</x:v>
      </x:c>
      <x:c r="B335" s="14" t="str">
        <x:v>VATM-0334</x:v>
      </x:c>
      <x:c r="C335" s="14" t="str">
        <x:v>An toàn hàng không / SMS</x:v>
      </x:c>
      <x:c r="D335" s="14" t="str">
        <x:v>Báo cáo MOR, sự cố và điều tra</x:v>
      </x:c>
      <x:c r="E335" s="14" t="str">
        <x:v>Bổ sung bằng chứng theo yêu cầu nhiệm vụ</x:v>
      </x:c>
      <x:c r="F335" s="14" t="str">
        <x:v>Khác</x:v>
      </x:c>
      <x:c r="G335" s="14" t="str">
        <x:v>Ban An toàn - Chất lượng</x:v>
      </x:c>
      <x:c r="H335" s="14" t="str"/>
      <x:c r="I335" s="58" t="str"/>
      <x:c r="J335" s="58" t="str"/>
      <x:c r="K335" s="14" t="str"/>
      <x:c r="L335" s="14" t="str">
        <x:v>Chưa có</x:v>
      </x:c>
      <x:c r="M335" s="14" t="str">
        <x:v>Theo dõi và cập nhật link/chỉ dẫn hồ sơ sau khi có bằng chứng.</x:v>
      </x:c>
    </x:row>
    <x:row r="336">
      <x:c r="A336" s="14" t="str">
        <x:v>EVID-0335</x:v>
      </x:c>
      <x:c r="B336" s="14" t="str">
        <x:v>VATM-0335</x:v>
      </x:c>
      <x:c r="C336" s="14" t="str">
        <x:v>An toàn hàng không / SMS</x:v>
      </x:c>
      <x:c r="D336" s="14" t="str">
        <x:v>Báo cáo MOR, sự cố và điều tra</x:v>
      </x:c>
      <x:c r="E336" s="14" t="str">
        <x:v>Bổ sung bằng chứng theo yêu cầu nhiệm vụ</x:v>
      </x:c>
      <x:c r="F336" s="14" t="str">
        <x:v>Khác</x:v>
      </x:c>
      <x:c r="G336" s="14" t="str">
        <x:v>Ban An toàn - Chất lượng</x:v>
      </x:c>
      <x:c r="H336" s="14" t="str"/>
      <x:c r="I336" s="58" t="str"/>
      <x:c r="J336" s="58" t="str"/>
      <x:c r="K336" s="14" t="str"/>
      <x:c r="L336" s="14" t="str">
        <x:v>Chưa có</x:v>
      </x:c>
      <x:c r="M336" s="14" t="str">
        <x:v>Theo dõi và cập nhật link/chỉ dẫn hồ sơ sau khi có bằng chứng.</x:v>
      </x:c>
    </x:row>
    <x:row r="337">
      <x:c r="A337" s="14" t="str">
        <x:v>EVID-0336</x:v>
      </x:c>
      <x:c r="B337" s="14" t="str">
        <x:v>VATM-0336</x:v>
      </x:c>
      <x:c r="C337" s="14" t="str">
        <x:v>An toàn hàng không / SMS</x:v>
      </x:c>
      <x:c r="D337" s="14" t="str">
        <x:v>Báo cáo MOR, sự cố và điều tra</x:v>
      </x:c>
      <x:c r="E337" s="14" t="str">
        <x:v>Bổ sung bằng chứng theo yêu cầu nhiệm vụ</x:v>
      </x:c>
      <x:c r="F337" s="14" t="str">
        <x:v>Khác</x:v>
      </x:c>
      <x:c r="G337" s="14" t="str">
        <x:v>Ban An toàn - Chất lượng</x:v>
      </x:c>
      <x:c r="H337" s="14" t="str"/>
      <x:c r="I337" s="58" t="str"/>
      <x:c r="J337" s="58" t="str"/>
      <x:c r="K337" s="14" t="str"/>
      <x:c r="L337" s="14" t="str">
        <x:v>Chưa có</x:v>
      </x:c>
      <x:c r="M337" s="14" t="str">
        <x:v>Theo dõi và cập nhật link/chỉ dẫn hồ sơ sau khi có bằng chứng.</x:v>
      </x:c>
    </x:row>
    <x:row r="338">
      <x:c r="A338" s="14" t="str">
        <x:v>EVID-0337</x:v>
      </x:c>
      <x:c r="B338" s="14" t="str">
        <x:v>VATM-0337</x:v>
      </x:c>
      <x:c r="C338" s="14" t="str">
        <x:v>An toàn hàng không / SMS</x:v>
      </x:c>
      <x:c r="D338" s="14" t="str">
        <x:v>Báo cáo MOR, sự cố và điều tra</x:v>
      </x:c>
      <x:c r="E338" s="14" t="str">
        <x:v>Bổ sung bằng chứng theo yêu cầu nhiệm vụ</x:v>
      </x:c>
      <x:c r="F338" s="14" t="str">
        <x:v>Khác</x:v>
      </x:c>
      <x:c r="G338" s="14" t="str">
        <x:v>Ban An toàn - Chất lượng</x:v>
      </x:c>
      <x:c r="H338" s="14" t="str"/>
      <x:c r="I338" s="58" t="str"/>
      <x:c r="J338" s="58" t="str"/>
      <x:c r="K338" s="14" t="str"/>
      <x:c r="L338" s="14" t="str">
        <x:v>Chưa có</x:v>
      </x:c>
      <x:c r="M338" s="14" t="str">
        <x:v>Theo dõi và cập nhật link/chỉ dẫn hồ sơ sau khi có bằng chứng.</x:v>
      </x:c>
    </x:row>
    <x:row r="339">
      <x:c r="A339" s="14" t="str">
        <x:v>EVID-0338</x:v>
      </x:c>
      <x:c r="B339" s="14" t="str">
        <x:v>VATM-0338</x:v>
      </x:c>
      <x:c r="C339" s="14" t="str">
        <x:v>An toàn hàng không / SMS</x:v>
      </x:c>
      <x:c r="D339" s="14" t="str">
        <x:v>Báo cáo MOR, sự cố và điều tra</x:v>
      </x:c>
      <x:c r="E339" s="14" t="str">
        <x:v>Bổ sung bằng chứng theo yêu cầu nhiệm vụ</x:v>
      </x:c>
      <x:c r="F339" s="14" t="str">
        <x:v>Khác</x:v>
      </x:c>
      <x:c r="G339" s="14" t="str">
        <x:v>Ban An toàn - Chất lượng</x:v>
      </x:c>
      <x:c r="H339" s="14" t="str"/>
      <x:c r="I339" s="58" t="str"/>
      <x:c r="J339" s="58" t="str"/>
      <x:c r="K339" s="14" t="str"/>
      <x:c r="L339" s="14" t="str">
        <x:v>Chưa có</x:v>
      </x:c>
      <x:c r="M339" s="14" t="str">
        <x:v>Theo dõi và cập nhật link/chỉ dẫn hồ sơ sau khi có bằng chứng.</x:v>
      </x:c>
    </x:row>
    <x:row r="340">
      <x:c r="A340" s="14" t="str">
        <x:v>EVID-0339</x:v>
      </x:c>
      <x:c r="B340" s="14" t="str">
        <x:v>VATM-0339</x:v>
      </x:c>
      <x:c r="C340" s="14" t="str">
        <x:v>An toàn hàng không / SMS</x:v>
      </x:c>
      <x:c r="D340" s="14" t="str">
        <x:v>Báo cáo MOR, sự cố và điều tra</x:v>
      </x:c>
      <x:c r="E340" s="14" t="str">
        <x:v>Bổ sung bằng chứng theo yêu cầu nhiệm vụ</x:v>
      </x:c>
      <x:c r="F340" s="14" t="str">
        <x:v>Khác</x:v>
      </x:c>
      <x:c r="G340" s="14" t="str">
        <x:v>Ban An toàn - Chất lượng</x:v>
      </x:c>
      <x:c r="H340" s="14" t="str"/>
      <x:c r="I340" s="58" t="str"/>
      <x:c r="J340" s="58" t="str"/>
      <x:c r="K340" s="14" t="str"/>
      <x:c r="L340" s="14" t="str">
        <x:v>Chưa có</x:v>
      </x:c>
      <x:c r="M340" s="14" t="str">
        <x:v>Theo dõi và cập nhật link/chỉ dẫn hồ sơ sau khi có bằng chứng.</x:v>
      </x:c>
    </x:row>
    <x:row r="341">
      <x:c r="A341" s="14" t="str">
        <x:v>EVID-0340</x:v>
      </x:c>
      <x:c r="B341" s="14" t="str">
        <x:v>VATM-0340</x:v>
      </x:c>
      <x:c r="C341" s="14" t="str">
        <x:v>An toàn hàng không / SMS</x:v>
      </x:c>
      <x:c r="D341" s="14" t="str">
        <x:v>Báo cáo MOR, sự cố và điều tra</x:v>
      </x:c>
      <x:c r="E341" s="14" t="str">
        <x:v>Bổ sung bằng chứng theo yêu cầu nhiệm vụ</x:v>
      </x:c>
      <x:c r="F341" s="14" t="str">
        <x:v>Khác</x:v>
      </x:c>
      <x:c r="G341" s="14" t="str">
        <x:v>Ban An toàn - Chất lượng</x:v>
      </x:c>
      <x:c r="H341" s="14" t="str"/>
      <x:c r="I341" s="58" t="str"/>
      <x:c r="J341" s="58" t="str"/>
      <x:c r="K341" s="14" t="str"/>
      <x:c r="L341" s="14" t="str">
        <x:v>Chưa có</x:v>
      </x:c>
      <x:c r="M341" s="14" t="str">
        <x:v>Theo dõi và cập nhật link/chỉ dẫn hồ sơ sau khi có bằng chứng.</x:v>
      </x:c>
    </x:row>
    <x:row r="342">
      <x:c r="A342" s="14" t="str">
        <x:v>EVID-0341</x:v>
      </x:c>
      <x:c r="B342" s="14" t="str">
        <x:v>VATM-0341</x:v>
      </x:c>
      <x:c r="C342" s="14" t="str">
        <x:v>An toàn hàng không / SMS</x:v>
      </x:c>
      <x:c r="D342" s="14" t="str">
        <x:v>Báo cáo MOR, sự cố và điều tra</x:v>
      </x:c>
      <x:c r="E342" s="14" t="str">
        <x:v>Bổ sung bằng chứng theo yêu cầu nhiệm vụ</x:v>
      </x:c>
      <x:c r="F342" s="14" t="str">
        <x:v>Khác</x:v>
      </x:c>
      <x:c r="G342" s="14" t="str">
        <x:v>Ban An toàn - Chất lượng</x:v>
      </x:c>
      <x:c r="H342" s="14" t="str"/>
      <x:c r="I342" s="58" t="str"/>
      <x:c r="J342" s="58" t="str"/>
      <x:c r="K342" s="14" t="str"/>
      <x:c r="L342" s="14" t="str">
        <x:v>Chưa có</x:v>
      </x:c>
      <x:c r="M342" s="14" t="str">
        <x:v>Theo dõi và cập nhật link/chỉ dẫn hồ sơ sau khi có bằng chứng.</x:v>
      </x:c>
    </x:row>
    <x:row r="343">
      <x:c r="A343" s="14" t="str">
        <x:v>EVID-0342</x:v>
      </x:c>
      <x:c r="B343" s="14" t="str">
        <x:v>VATM-0342</x:v>
      </x:c>
      <x:c r="C343" s="14" t="str">
        <x:v>An toàn hàng không / SMS</x:v>
      </x:c>
      <x:c r="D343" s="14" t="str">
        <x:v>Báo cáo MOR, sự cố và điều tra</x:v>
      </x:c>
      <x:c r="E343" s="14" t="str">
        <x:v>Bổ sung bằng chứng theo yêu cầu nhiệm vụ</x:v>
      </x:c>
      <x:c r="F343" s="14" t="str">
        <x:v>Khác</x:v>
      </x:c>
      <x:c r="G343" s="14" t="str">
        <x:v>Ban An toàn - Chất lượng</x:v>
      </x:c>
      <x:c r="H343" s="14" t="str"/>
      <x:c r="I343" s="58" t="str"/>
      <x:c r="J343" s="58" t="str"/>
      <x:c r="K343" s="14" t="str"/>
      <x:c r="L343" s="14" t="str">
        <x:v>Chưa có</x:v>
      </x:c>
      <x:c r="M343" s="14" t="str">
        <x:v>Theo dõi và cập nhật link/chỉ dẫn hồ sơ sau khi có bằng chứng.</x:v>
      </x:c>
    </x:row>
    <x:row r="344">
      <x:c r="A344" s="14" t="str">
        <x:v>EVID-0343</x:v>
      </x:c>
      <x:c r="B344" s="14" t="str">
        <x:v>VATM-0343</x:v>
      </x:c>
      <x:c r="C344" s="14" t="str">
        <x:v>An toàn hàng không / SMS</x:v>
      </x:c>
      <x:c r="D344" s="14" t="str">
        <x:v>Báo cáo MOR, sự cố và điều tra</x:v>
      </x:c>
      <x:c r="E344" s="14" t="str">
        <x:v>Bổ sung bằng chứng theo yêu cầu nhiệm vụ</x:v>
      </x:c>
      <x:c r="F344" s="14" t="str">
        <x:v>Khác</x:v>
      </x:c>
      <x:c r="G344" s="14" t="str">
        <x:v>Ban An toàn - Chất lượng</x:v>
      </x:c>
      <x:c r="H344" s="14" t="str"/>
      <x:c r="I344" s="58" t="str"/>
      <x:c r="J344" s="58" t="str"/>
      <x:c r="K344" s="14" t="str"/>
      <x:c r="L344" s="14" t="str">
        <x:v>Chưa có</x:v>
      </x:c>
      <x:c r="M344" s="14" t="str">
        <x:v>Theo dõi và cập nhật link/chỉ dẫn hồ sơ sau khi có bằng chứng.</x:v>
      </x:c>
    </x:row>
    <x:row r="345">
      <x:c r="A345" s="14" t="str">
        <x:v>EVID-0344</x:v>
      </x:c>
      <x:c r="B345" s="14" t="str">
        <x:v>VATM-0344</x:v>
      </x:c>
      <x:c r="C345" s="14" t="str">
        <x:v>An toàn hàng không / SMS</x:v>
      </x:c>
      <x:c r="D345" s="14" t="str">
        <x:v>Báo cáo MOR, sự cố và điều tra</x:v>
      </x:c>
      <x:c r="E345" s="14" t="str">
        <x:v>Bổ sung bằng chứng theo yêu cầu nhiệm vụ</x:v>
      </x:c>
      <x:c r="F345" s="14" t="str">
        <x:v>Khác</x:v>
      </x:c>
      <x:c r="G345" s="14" t="str">
        <x:v>Ban An toàn - Chất lượng</x:v>
      </x:c>
      <x:c r="H345" s="14" t="str"/>
      <x:c r="I345" s="58" t="str"/>
      <x:c r="J345" s="58" t="str"/>
      <x:c r="K345" s="14" t="str"/>
      <x:c r="L345" s="14" t="str">
        <x:v>Chưa có</x:v>
      </x:c>
      <x:c r="M345" s="14" t="str">
        <x:v>Theo dõi và cập nhật link/chỉ dẫn hồ sơ sau khi có bằng chứng.</x:v>
      </x:c>
    </x:row>
    <x:row r="346">
      <x:c r="A346" s="14" t="str">
        <x:v>EVID-0345</x:v>
      </x:c>
      <x:c r="B346" s="14" t="str">
        <x:v>VATM-0345</x:v>
      </x:c>
      <x:c r="C346" s="14" t="str">
        <x:v>An toàn hàng không / SMS</x:v>
      </x:c>
      <x:c r="D346" s="14" t="str">
        <x:v>Báo cáo MOR, sự cố và điều tra</x:v>
      </x:c>
      <x:c r="E346" s="14" t="str">
        <x:v>Bổ sung bằng chứng theo yêu cầu nhiệm vụ</x:v>
      </x:c>
      <x:c r="F346" s="14" t="str">
        <x:v>Khác</x:v>
      </x:c>
      <x:c r="G346" s="14" t="str">
        <x:v>Ban An toàn - Chất lượng</x:v>
      </x:c>
      <x:c r="H346" s="14" t="str"/>
      <x:c r="I346" s="58" t="str"/>
      <x:c r="J346" s="58" t="str"/>
      <x:c r="K346" s="14" t="str"/>
      <x:c r="L346" s="14" t="str">
        <x:v>Chưa có</x:v>
      </x:c>
      <x:c r="M346" s="14" t="str">
        <x:v>Theo dõi và cập nhật link/chỉ dẫn hồ sơ sau khi có bằng chứng.</x:v>
      </x:c>
    </x:row>
    <x:row r="347">
      <x:c r="A347" s="14" t="str">
        <x:v>EVID-0346</x:v>
      </x:c>
      <x:c r="B347" s="14" t="str">
        <x:v>VATM-0346</x:v>
      </x:c>
      <x:c r="C347" s="14" t="str">
        <x:v>An toàn hàng không / SMS</x:v>
      </x:c>
      <x:c r="D347" s="14" t="str">
        <x:v>Báo cáo MOR, sự cố và điều tra</x:v>
      </x:c>
      <x:c r="E347" s="14" t="str">
        <x:v>Bổ sung bằng chứng theo yêu cầu nhiệm vụ</x:v>
      </x:c>
      <x:c r="F347" s="14" t="str">
        <x:v>Khác</x:v>
      </x:c>
      <x:c r="G347" s="14" t="str">
        <x:v>Ban An toàn - Chất lượng</x:v>
      </x:c>
      <x:c r="H347" s="14" t="str"/>
      <x:c r="I347" s="58" t="str"/>
      <x:c r="J347" s="58" t="str"/>
      <x:c r="K347" s="14" t="str"/>
      <x:c r="L347" s="14" t="str">
        <x:v>Chưa có</x:v>
      </x:c>
      <x:c r="M347" s="14" t="str">
        <x:v>Theo dõi và cập nhật link/chỉ dẫn hồ sơ sau khi có bằng chứng.</x:v>
      </x:c>
    </x:row>
    <x:row r="348">
      <x:c r="A348" s="14" t="str">
        <x:v>EVID-0347</x:v>
      </x:c>
      <x:c r="B348" s="14" t="str">
        <x:v>VATM-0347</x:v>
      </x:c>
      <x:c r="C348" s="14" t="str">
        <x:v>An toàn hàng không / SMS</x:v>
      </x:c>
      <x:c r="D348" s="14" t="str">
        <x:v>Báo cáo MOR, sự cố và điều tra</x:v>
      </x:c>
      <x:c r="E348" s="14" t="str">
        <x:v>Bổ sung bằng chứng theo yêu cầu nhiệm vụ</x:v>
      </x:c>
      <x:c r="F348" s="14" t="str">
        <x:v>Khác</x:v>
      </x:c>
      <x:c r="G348" s="14" t="str">
        <x:v>Ban An toàn - Chất lượng</x:v>
      </x:c>
      <x:c r="H348" s="14" t="str"/>
      <x:c r="I348" s="58" t="str"/>
      <x:c r="J348" s="58" t="str"/>
      <x:c r="K348" s="14" t="str"/>
      <x:c r="L348" s="14" t="str">
        <x:v>Chưa có</x:v>
      </x:c>
      <x:c r="M348" s="14" t="str">
        <x:v>Theo dõi và cập nhật link/chỉ dẫn hồ sơ sau khi có bằng chứng.</x:v>
      </x:c>
    </x:row>
    <x:row r="349">
      <x:c r="A349" s="14" t="str">
        <x:v>EVID-0348</x:v>
      </x:c>
      <x:c r="B349" s="14" t="str">
        <x:v>VATM-0348</x:v>
      </x:c>
      <x:c r="C349" s="14" t="str">
        <x:v>An toàn hàng không / SMS</x:v>
      </x:c>
      <x:c r="D349" s="14" t="str">
        <x:v>Báo cáo MOR, sự cố và điều tra</x:v>
      </x:c>
      <x:c r="E349" s="14" t="str">
        <x:v>Bổ sung bằng chứng theo yêu cầu nhiệm vụ</x:v>
      </x:c>
      <x:c r="F349" s="14" t="str">
        <x:v>Khác</x:v>
      </x:c>
      <x:c r="G349" s="14" t="str">
        <x:v>Ban An toàn - Chất lượng</x:v>
      </x:c>
      <x:c r="H349" s="14" t="str"/>
      <x:c r="I349" s="58" t="str"/>
      <x:c r="J349" s="58" t="str"/>
      <x:c r="K349" s="14" t="str"/>
      <x:c r="L349" s="14" t="str">
        <x:v>Chưa có</x:v>
      </x:c>
      <x:c r="M349" s="14" t="str">
        <x:v>Theo dõi và cập nhật link/chỉ dẫn hồ sơ sau khi có bằng chứng.</x:v>
      </x:c>
    </x:row>
    <x:row r="350">
      <x:c r="A350" s="14" t="str">
        <x:v>EVID-0349</x:v>
      </x:c>
      <x:c r="B350" s="14" t="str">
        <x:v>VATM-0349</x:v>
      </x:c>
      <x:c r="C350" s="14" t="str">
        <x:v>An toàn hàng không / SMS</x:v>
      </x:c>
      <x:c r="D350" s="14" t="str">
        <x:v>Báo cáo MOR, sự cố và điều tra</x:v>
      </x:c>
      <x:c r="E350" s="14" t="str">
        <x:v>Bổ sung bằng chứng theo yêu cầu nhiệm vụ</x:v>
      </x:c>
      <x:c r="F350" s="14" t="str">
        <x:v>Khác</x:v>
      </x:c>
      <x:c r="G350" s="14" t="str">
        <x:v>Ban An toàn - Chất lượng</x:v>
      </x:c>
      <x:c r="H350" s="14" t="str"/>
      <x:c r="I350" s="58" t="str"/>
      <x:c r="J350" s="58" t="str"/>
      <x:c r="K350" s="14" t="str"/>
      <x:c r="L350" s="14" t="str">
        <x:v>Chưa có</x:v>
      </x:c>
      <x:c r="M350" s="14" t="str">
        <x:v>Theo dõi và cập nhật link/chỉ dẫn hồ sơ sau khi có bằng chứng.</x:v>
      </x:c>
    </x:row>
    <x:row r="351">
      <x:c r="A351" s="14" t="str">
        <x:v>EVID-0350</x:v>
      </x:c>
      <x:c r="B351" s="14" t="str">
        <x:v>VATM-0350</x:v>
      </x:c>
      <x:c r="C351" s="14" t="str">
        <x:v>An toàn hàng không / SMS</x:v>
      </x:c>
      <x:c r="D351" s="14" t="str">
        <x:v>Báo cáo MOR, sự cố và điều tra</x:v>
      </x:c>
      <x:c r="E351" s="14" t="str">
        <x:v>Bổ sung bằng chứng theo yêu cầu nhiệm vụ</x:v>
      </x:c>
      <x:c r="F351" s="14" t="str">
        <x:v>Khác</x:v>
      </x:c>
      <x:c r="G351" s="14" t="str">
        <x:v>Ban An toàn - Chất lượng</x:v>
      </x:c>
      <x:c r="H351" s="14" t="str"/>
      <x:c r="I351" s="58" t="str"/>
      <x:c r="J351" s="58" t="str"/>
      <x:c r="K351" s="14" t="str"/>
      <x:c r="L351" s="14" t="str">
        <x:v>Chưa có</x:v>
      </x:c>
      <x:c r="M351" s="14" t="str">
        <x:v>Theo dõi và cập nhật link/chỉ dẫn hồ sơ sau khi có bằng chứng.</x:v>
      </x:c>
    </x:row>
    <x:row r="352">
      <x:c r="A352" s="14" t="str">
        <x:v>EVID-0351</x:v>
      </x:c>
      <x:c r="B352" s="14" t="str">
        <x:v>VATM-0351</x:v>
      </x:c>
      <x:c r="C352" s="14" t="str">
        <x:v>An toàn hàng không / SMS</x:v>
      </x:c>
      <x:c r="D352" s="14" t="str">
        <x:v>Báo cáo MOR, sự cố và điều tra</x:v>
      </x:c>
      <x:c r="E352" s="14" t="str">
        <x:v>Bổ sung bằng chứng theo yêu cầu nhiệm vụ</x:v>
      </x:c>
      <x:c r="F352" s="14" t="str">
        <x:v>Khác</x:v>
      </x:c>
      <x:c r="G352" s="14" t="str">
        <x:v>Ban An toàn - Chất lượng</x:v>
      </x:c>
      <x:c r="H352" s="14" t="str"/>
      <x:c r="I352" s="58" t="str"/>
      <x:c r="J352" s="58" t="str"/>
      <x:c r="K352" s="14" t="str"/>
      <x:c r="L352" s="14" t="str">
        <x:v>Chưa có</x:v>
      </x:c>
      <x:c r="M352" s="14" t="str">
        <x:v>Theo dõi và cập nhật link/chỉ dẫn hồ sơ sau khi có bằng chứng.</x:v>
      </x:c>
    </x:row>
    <x:row r="353">
      <x:c r="A353" s="14" t="str">
        <x:v>EVID-0352</x:v>
      </x:c>
      <x:c r="B353" s="14" t="str">
        <x:v>VATM-0352</x:v>
      </x:c>
      <x:c r="C353" s="14" t="str">
        <x:v>An toàn hàng không / SMS</x:v>
      </x:c>
      <x:c r="D353" s="14" t="str">
        <x:v>Báo cáo MOR, sự cố và điều tra</x:v>
      </x:c>
      <x:c r="E353" s="14" t="str">
        <x:v>Bổ sung bằng chứng theo yêu cầu nhiệm vụ</x:v>
      </x:c>
      <x:c r="F353" s="14" t="str">
        <x:v>Khác</x:v>
      </x:c>
      <x:c r="G353" s="14" t="str">
        <x:v>Ban An toàn - Chất lượng</x:v>
      </x:c>
      <x:c r="H353" s="14" t="str"/>
      <x:c r="I353" s="58" t="str"/>
      <x:c r="J353" s="58" t="str"/>
      <x:c r="K353" s="14" t="str"/>
      <x:c r="L353" s="14" t="str">
        <x:v>Chưa có</x:v>
      </x:c>
      <x:c r="M353" s="14" t="str">
        <x:v>Theo dõi và cập nhật link/chỉ dẫn hồ sơ sau khi có bằng chứng.</x:v>
      </x:c>
    </x:row>
    <x:row r="354">
      <x:c r="A354" s="14" t="str">
        <x:v>EVID-0353</x:v>
      </x:c>
      <x:c r="B354" s="14" t="str">
        <x:v>VATM-0353</x:v>
      </x:c>
      <x:c r="C354" s="14" t="str">
        <x:v>An toàn hàng không / SMS</x:v>
      </x:c>
      <x:c r="D354" s="14" t="str">
        <x:v>Báo cáo MOR, sự cố và điều tra</x:v>
      </x:c>
      <x:c r="E354" s="14" t="str">
        <x:v>Bổ sung bằng chứng theo yêu cầu nhiệm vụ</x:v>
      </x:c>
      <x:c r="F354" s="14" t="str">
        <x:v>Khác</x:v>
      </x:c>
      <x:c r="G354" s="14" t="str">
        <x:v>Ban An toàn - Chất lượng</x:v>
      </x:c>
      <x:c r="H354" s="14" t="str"/>
      <x:c r="I354" s="58" t="str"/>
      <x:c r="J354" s="58" t="str"/>
      <x:c r="K354" s="14" t="str"/>
      <x:c r="L354" s="14" t="str">
        <x:v>Chưa có</x:v>
      </x:c>
      <x:c r="M354" s="14" t="str">
        <x:v>Theo dõi và cập nhật link/chỉ dẫn hồ sơ sau khi có bằng chứng.</x:v>
      </x:c>
    </x:row>
    <x:row r="355">
      <x:c r="A355" s="14" t="str">
        <x:v>EVID-0354</x:v>
      </x:c>
      <x:c r="B355" s="14" t="str">
        <x:v>VATM-0354</x:v>
      </x:c>
      <x:c r="C355" s="14" t="str">
        <x:v>An toàn hàng không / SMS</x:v>
      </x:c>
      <x:c r="D355" s="14" t="str">
        <x:v>Báo cáo MOR, sự cố và điều tra</x:v>
      </x:c>
      <x:c r="E355" s="14" t="str">
        <x:v>Bổ sung bằng chứng theo yêu cầu nhiệm vụ</x:v>
      </x:c>
      <x:c r="F355" s="14" t="str">
        <x:v>Khác</x:v>
      </x:c>
      <x:c r="G355" s="14" t="str">
        <x:v>Ban An toàn - Chất lượng</x:v>
      </x:c>
      <x:c r="H355" s="14" t="str"/>
      <x:c r="I355" s="58" t="str"/>
      <x:c r="J355" s="58" t="str"/>
      <x:c r="K355" s="14" t="str"/>
      <x:c r="L355" s="14" t="str">
        <x:v>Chưa có</x:v>
      </x:c>
      <x:c r="M355" s="14" t="str">
        <x:v>Theo dõi và cập nhật link/chỉ dẫn hồ sơ sau khi có bằng chứng.</x:v>
      </x:c>
    </x:row>
    <x:row r="356">
      <x:c r="A356" s="14" t="str">
        <x:v>EVID-0355</x:v>
      </x:c>
      <x:c r="B356" s="14" t="str">
        <x:v>VATM-0355</x:v>
      </x:c>
      <x:c r="C356" s="14" t="str">
        <x:v>An toàn hàng không / SMS</x:v>
      </x:c>
      <x:c r="D356" s="14" t="str">
        <x:v>Báo cáo MOR, sự cố và điều tra</x:v>
      </x:c>
      <x:c r="E356" s="14" t="str">
        <x:v>Bổ sung bằng chứng theo yêu cầu nhiệm vụ</x:v>
      </x:c>
      <x:c r="F356" s="14" t="str">
        <x:v>Khác</x:v>
      </x:c>
      <x:c r="G356" s="14" t="str">
        <x:v>Ban An toàn - Chất lượng</x:v>
      </x:c>
      <x:c r="H356" s="14" t="str"/>
      <x:c r="I356" s="58" t="str"/>
      <x:c r="J356" s="58" t="str"/>
      <x:c r="K356" s="14" t="str"/>
      <x:c r="L356" s="14" t="str">
        <x:v>Chưa có</x:v>
      </x:c>
      <x:c r="M356" s="14" t="str">
        <x:v>Theo dõi và cập nhật link/chỉ dẫn hồ sơ sau khi có bằng chứng.</x:v>
      </x:c>
    </x:row>
    <x:row r="357">
      <x:c r="A357" s="14" t="str">
        <x:v>EVID-0356</x:v>
      </x:c>
      <x:c r="B357" s="14" t="str">
        <x:v>VATM-0356</x:v>
      </x:c>
      <x:c r="C357" s="14" t="str">
        <x:v>An toàn hàng không / SMS</x:v>
      </x:c>
      <x:c r="D357" s="14" t="str">
        <x:v>Báo cáo MOR, sự cố và điều tra</x:v>
      </x:c>
      <x:c r="E357" s="14" t="str">
        <x:v>Bổ sung bằng chứng theo yêu cầu nhiệm vụ</x:v>
      </x:c>
      <x:c r="F357" s="14" t="str">
        <x:v>Khác</x:v>
      </x:c>
      <x:c r="G357" s="14" t="str">
        <x:v>Ban An toàn - Chất lượng</x:v>
      </x:c>
      <x:c r="H357" s="14" t="str"/>
      <x:c r="I357" s="58" t="str"/>
      <x:c r="J357" s="58" t="str"/>
      <x:c r="K357" s="14" t="str"/>
      <x:c r="L357" s="14" t="str">
        <x:v>Chưa có</x:v>
      </x:c>
      <x:c r="M357" s="14" t="str">
        <x:v>Theo dõi và cập nhật link/chỉ dẫn hồ sơ sau khi có bằng chứng.</x:v>
      </x:c>
    </x:row>
    <x:row r="358">
      <x:c r="A358" s="14" t="str">
        <x:v>EVID-0357</x:v>
      </x:c>
      <x:c r="B358" s="14" t="str">
        <x:v>VATM-0357</x:v>
      </x:c>
      <x:c r="C358" s="14" t="str">
        <x:v>An toàn hàng không / SMS</x:v>
      </x:c>
      <x:c r="D358" s="14" t="str">
        <x:v>Báo cáo MOR, sự cố và điều tra</x:v>
      </x:c>
      <x:c r="E358" s="14" t="str">
        <x:v>Bổ sung bằng chứng theo yêu cầu nhiệm vụ</x:v>
      </x:c>
      <x:c r="F358" s="14" t="str">
        <x:v>Khác</x:v>
      </x:c>
      <x:c r="G358" s="14" t="str">
        <x:v>Ban An toàn - Chất lượng</x:v>
      </x:c>
      <x:c r="H358" s="14" t="str"/>
      <x:c r="I358" s="58" t="str"/>
      <x:c r="J358" s="58" t="str"/>
      <x:c r="K358" s="14" t="str"/>
      <x:c r="L358" s="14" t="str">
        <x:v>Chưa có</x:v>
      </x:c>
      <x:c r="M358" s="14" t="str">
        <x:v>Theo dõi và cập nhật link/chỉ dẫn hồ sơ sau khi có bằng chứng.</x:v>
      </x:c>
    </x:row>
    <x:row r="359">
      <x:c r="A359" s="14" t="str">
        <x:v>EVID-0358</x:v>
      </x:c>
      <x:c r="B359" s="14" t="str">
        <x:v>VATM-0358</x:v>
      </x:c>
      <x:c r="C359" s="14" t="str">
        <x:v>An toàn hàng không / SMS</x:v>
      </x:c>
      <x:c r="D359" s="14" t="str">
        <x:v>Báo cáo MOR, sự cố và điều tra</x:v>
      </x:c>
      <x:c r="E359" s="14" t="str">
        <x:v>Bổ sung bằng chứng theo yêu cầu nhiệm vụ</x:v>
      </x:c>
      <x:c r="F359" s="14" t="str">
        <x:v>Khác</x:v>
      </x:c>
      <x:c r="G359" s="14" t="str">
        <x:v>Ban An toàn - Chất lượng</x:v>
      </x:c>
      <x:c r="H359" s="14" t="str"/>
      <x:c r="I359" s="58" t="str"/>
      <x:c r="J359" s="58" t="str"/>
      <x:c r="K359" s="14" t="str"/>
      <x:c r="L359" s="14" t="str">
        <x:v>Chưa có</x:v>
      </x:c>
      <x:c r="M359" s="14" t="str">
        <x:v>Theo dõi và cập nhật link/chỉ dẫn hồ sơ sau khi có bằng chứng.</x:v>
      </x:c>
    </x:row>
    <x:row r="360">
      <x:c r="A360" s="14" t="str">
        <x:v>EVID-0359</x:v>
      </x:c>
      <x:c r="B360" s="14" t="str">
        <x:v>VATM-0359</x:v>
      </x:c>
      <x:c r="C360" s="14" t="str">
        <x:v>An toàn hàng không / SMS</x:v>
      </x:c>
      <x:c r="D360" s="14" t="str">
        <x:v>Báo cáo MOR, sự cố và điều tra</x:v>
      </x:c>
      <x:c r="E360" s="14" t="str">
        <x:v>Bổ sung bằng chứng theo yêu cầu nhiệm vụ</x:v>
      </x:c>
      <x:c r="F360" s="14" t="str">
        <x:v>Khác</x:v>
      </x:c>
      <x:c r="G360" s="14" t="str">
        <x:v>Ban An toàn - Chất lượng</x:v>
      </x:c>
      <x:c r="H360" s="14" t="str"/>
      <x:c r="I360" s="58" t="str"/>
      <x:c r="J360" s="58" t="str"/>
      <x:c r="K360" s="14" t="str"/>
      <x:c r="L360" s="14" t="str">
        <x:v>Chưa có</x:v>
      </x:c>
      <x:c r="M360" s="14" t="str">
        <x:v>Theo dõi và cập nhật link/chỉ dẫn hồ sơ sau khi có bằng chứng.</x:v>
      </x:c>
    </x:row>
    <x:row r="361">
      <x:c r="A361" s="14" t="str">
        <x:v>EVID-0360</x:v>
      </x:c>
      <x:c r="B361" s="14" t="str">
        <x:v>VATM-0360</x:v>
      </x:c>
      <x:c r="C361" s="14" t="str">
        <x:v>An toàn hàng không / SMS</x:v>
      </x:c>
      <x:c r="D361" s="14" t="str">
        <x:v>Báo cáo MOR, sự cố và điều tra</x:v>
      </x:c>
      <x:c r="E361" s="14" t="str">
        <x:v>Bổ sung bằng chứng theo yêu cầu nhiệm vụ</x:v>
      </x:c>
      <x:c r="F361" s="14" t="str">
        <x:v>Khác</x:v>
      </x:c>
      <x:c r="G361" s="14" t="str">
        <x:v>Ban An toàn - Chất lượng</x:v>
      </x:c>
      <x:c r="H361" s="14" t="str"/>
      <x:c r="I361" s="58" t="str"/>
      <x:c r="J361" s="58" t="str"/>
      <x:c r="K361" s="14" t="str"/>
      <x:c r="L361" s="14" t="str">
        <x:v>Chưa có</x:v>
      </x:c>
      <x:c r="M361" s="14" t="str">
        <x:v>Theo dõi và cập nhật link/chỉ dẫn hồ sơ sau khi có bằng chứng.</x:v>
      </x:c>
    </x:row>
    <x:row r="362">
      <x:c r="A362" s="14" t="str">
        <x:v>EVID-0361</x:v>
      </x:c>
      <x:c r="B362" s="14" t="str">
        <x:v>VATM-0361</x:v>
      </x:c>
      <x:c r="C362" s="14" t="str">
        <x:v>An toàn hàng không / SMS</x:v>
      </x:c>
      <x:c r="D362" s="14" t="str">
        <x:v>Báo cáo MOR, sự cố và điều tra</x:v>
      </x:c>
      <x:c r="E362" s="14" t="str">
        <x:v>Bổ sung bằng chứng theo yêu cầu nhiệm vụ</x:v>
      </x:c>
      <x:c r="F362" s="14" t="str">
        <x:v>Khác</x:v>
      </x:c>
      <x:c r="G362" s="14" t="str">
        <x:v>Ban An toàn - Chất lượng</x:v>
      </x:c>
      <x:c r="H362" s="14" t="str"/>
      <x:c r="I362" s="58" t="str"/>
      <x:c r="J362" s="58" t="str"/>
      <x:c r="K362" s="14" t="str"/>
      <x:c r="L362" s="14" t="str">
        <x:v>Chưa có</x:v>
      </x:c>
      <x:c r="M362" s="14" t="str">
        <x:v>Theo dõi và cập nhật link/chỉ dẫn hồ sơ sau khi có bằng chứng.</x:v>
      </x:c>
    </x:row>
    <x:row r="363">
      <x:c r="A363" s="14" t="str">
        <x:v>EVID-0362</x:v>
      </x:c>
      <x:c r="B363" s="14" t="str">
        <x:v>VATM-0362</x:v>
      </x:c>
      <x:c r="C363" s="14" t="str">
        <x:v>An toàn hàng không / SMS</x:v>
      </x:c>
      <x:c r="D363" s="14" t="str">
        <x:v>Báo cáo MOR, sự cố và điều tra</x:v>
      </x:c>
      <x:c r="E363" s="14" t="str">
        <x:v>Bổ sung bằng chứng theo yêu cầu nhiệm vụ</x:v>
      </x:c>
      <x:c r="F363" s="14" t="str">
        <x:v>Khác</x:v>
      </x:c>
      <x:c r="G363" s="14" t="str">
        <x:v>Ban An toàn - Chất lượng</x:v>
      </x:c>
      <x:c r="H363" s="14" t="str"/>
      <x:c r="I363" s="58" t="str"/>
      <x:c r="J363" s="58" t="str"/>
      <x:c r="K363" s="14" t="str"/>
      <x:c r="L363" s="14" t="str">
        <x:v>Chưa có</x:v>
      </x:c>
      <x:c r="M363" s="14" t="str">
        <x:v>Theo dõi và cập nhật link/chỉ dẫn hồ sơ sau khi có bằng chứng.</x:v>
      </x:c>
    </x:row>
    <x:row r="364">
      <x:c r="A364" s="14" t="str">
        <x:v>EVID-0363</x:v>
      </x:c>
      <x:c r="B364" s="14" t="str">
        <x:v>VATM-0363</x:v>
      </x:c>
      <x:c r="C364" s="14" t="str">
        <x:v>An toàn hàng không / SMS</x:v>
      </x:c>
      <x:c r="D364" s="14" t="str">
        <x:v>Báo cáo MOR, sự cố và điều tra</x:v>
      </x:c>
      <x:c r="E364" s="14" t="str">
        <x:v>Bổ sung bằng chứng theo yêu cầu nhiệm vụ</x:v>
      </x:c>
      <x:c r="F364" s="14" t="str">
        <x:v>Khác</x:v>
      </x:c>
      <x:c r="G364" s="14" t="str">
        <x:v>Ban An toàn - Chất lượng</x:v>
      </x:c>
      <x:c r="H364" s="14" t="str"/>
      <x:c r="I364" s="58" t="str"/>
      <x:c r="J364" s="58" t="str"/>
      <x:c r="K364" s="14" t="str"/>
      <x:c r="L364" s="14" t="str">
        <x:v>Chưa có</x:v>
      </x:c>
      <x:c r="M364" s="14" t="str">
        <x:v>Theo dõi và cập nhật link/chỉ dẫn hồ sơ sau khi có bằng chứng.</x:v>
      </x:c>
    </x:row>
    <x:row r="365">
      <x:c r="A365" s="14" t="str">
        <x:v>EVID-0364</x:v>
      </x:c>
      <x:c r="B365" s="14" t="str">
        <x:v>VATM-0364</x:v>
      </x:c>
      <x:c r="C365" s="14" t="str">
        <x:v>An toàn hàng không / SMS</x:v>
      </x:c>
      <x:c r="D365" s="14" t="str">
        <x:v>Báo cáo MOR, sự cố và điều tra</x:v>
      </x:c>
      <x:c r="E365" s="14" t="str">
        <x:v>Bổ sung bằng chứng theo yêu cầu nhiệm vụ</x:v>
      </x:c>
      <x:c r="F365" s="14" t="str">
        <x:v>Khác</x:v>
      </x:c>
      <x:c r="G365" s="14" t="str">
        <x:v>Ban An toàn - Chất lượng</x:v>
      </x:c>
      <x:c r="H365" s="14" t="str"/>
      <x:c r="I365" s="58" t="str"/>
      <x:c r="J365" s="58" t="str"/>
      <x:c r="K365" s="14" t="str"/>
      <x:c r="L365" s="14" t="str">
        <x:v>Chưa có</x:v>
      </x:c>
      <x:c r="M365" s="14" t="str">
        <x:v>Theo dõi và cập nhật link/chỉ dẫn hồ sơ sau khi có bằng chứng.</x:v>
      </x:c>
    </x:row>
    <x:row r="366">
      <x:c r="A366" s="14" t="str">
        <x:v>EVID-0365</x:v>
      </x:c>
      <x:c r="B366" s="14" t="str">
        <x:v>VATM-0365</x:v>
      </x:c>
      <x:c r="C366" s="14" t="str">
        <x:v>An toàn hàng không / SMS</x:v>
      </x:c>
      <x:c r="D366" s="14" t="str">
        <x:v>Báo cáo MOR, sự cố và điều tra</x:v>
      </x:c>
      <x:c r="E366" s="14" t="str">
        <x:v>Bổ sung bằng chứng theo yêu cầu nhiệm vụ</x:v>
      </x:c>
      <x:c r="F366" s="14" t="str">
        <x:v>Khác</x:v>
      </x:c>
      <x:c r="G366" s="14" t="str">
        <x:v>Ban An toàn - Chất lượng</x:v>
      </x:c>
      <x:c r="H366" s="14" t="str"/>
      <x:c r="I366" s="58" t="str"/>
      <x:c r="J366" s="58" t="str"/>
      <x:c r="K366" s="14" t="str"/>
      <x:c r="L366" s="14" t="str">
        <x:v>Chưa có</x:v>
      </x:c>
      <x:c r="M366" s="14" t="str">
        <x:v>Theo dõi và cập nhật link/chỉ dẫn hồ sơ sau khi có bằng chứng.</x:v>
      </x:c>
    </x:row>
    <x:row r="367">
      <x:c r="A367" s="14" t="str">
        <x:v>EVID-0366</x:v>
      </x:c>
      <x:c r="B367" s="14" t="str">
        <x:v>VATM-0366</x:v>
      </x:c>
      <x:c r="C367" s="14" t="str">
        <x:v>An toàn hàng không / SMS</x:v>
      </x:c>
      <x:c r="D367" s="14" t="str">
        <x:v>Báo cáo MOR, sự cố và điều tra</x:v>
      </x:c>
      <x:c r="E367" s="14" t="str">
        <x:v>Bổ sung bằng chứng theo yêu cầu nhiệm vụ</x:v>
      </x:c>
      <x:c r="F367" s="14" t="str">
        <x:v>Khác</x:v>
      </x:c>
      <x:c r="G367" s="14" t="str">
        <x:v>Ban An toàn - Chất lượng</x:v>
      </x:c>
      <x:c r="H367" s="14" t="str"/>
      <x:c r="I367" s="58" t="str"/>
      <x:c r="J367" s="58" t="str"/>
      <x:c r="K367" s="14" t="str"/>
      <x:c r="L367" s="14" t="str">
        <x:v>Chưa có</x:v>
      </x:c>
      <x:c r="M367" s="14" t="str">
        <x:v>Theo dõi và cập nhật link/chỉ dẫn hồ sơ sau khi có bằng chứng.</x:v>
      </x:c>
    </x:row>
    <x:row r="368">
      <x:c r="A368" s="14" t="str">
        <x:v>EVID-0367</x:v>
      </x:c>
      <x:c r="B368" s="14" t="str">
        <x:v>VATM-0367</x:v>
      </x:c>
      <x:c r="C368" s="14" t="str">
        <x:v>An toàn hàng không / SMS</x:v>
      </x:c>
      <x:c r="D368" s="14" t="str">
        <x:v>Báo cáo MOR, sự cố và điều tra</x:v>
      </x:c>
      <x:c r="E368" s="14" t="str">
        <x:v>Bổ sung bằng chứng theo yêu cầu nhiệm vụ</x:v>
      </x:c>
      <x:c r="F368" s="14" t="str">
        <x:v>Khác</x:v>
      </x:c>
      <x:c r="G368" s="14" t="str">
        <x:v>Ban An toàn - Chất lượng</x:v>
      </x:c>
      <x:c r="H368" s="14" t="str"/>
      <x:c r="I368" s="58" t="str"/>
      <x:c r="J368" s="58" t="str"/>
      <x:c r="K368" s="14" t="str"/>
      <x:c r="L368" s="14" t="str">
        <x:v>Chưa có</x:v>
      </x:c>
      <x:c r="M368" s="14" t="str">
        <x:v>Theo dõi và cập nhật link/chỉ dẫn hồ sơ sau khi có bằng chứng.</x:v>
      </x:c>
    </x:row>
    <x:row r="369">
      <x:c r="A369" s="14" t="str">
        <x:v>EVID-0368</x:v>
      </x:c>
      <x:c r="B369" s="14" t="str">
        <x:v>VATM-0368</x:v>
      </x:c>
      <x:c r="C369" s="14" t="str">
        <x:v>An toàn hàng không / SMS</x:v>
      </x:c>
      <x:c r="D369" s="14" t="str">
        <x:v>Báo cáo MOR, sự cố và điều tra</x:v>
      </x:c>
      <x:c r="E369" s="14" t="str">
        <x:v>Bổ sung bằng chứng theo yêu cầu nhiệm vụ</x:v>
      </x:c>
      <x:c r="F369" s="14" t="str">
        <x:v>Khác</x:v>
      </x:c>
      <x:c r="G369" s="14" t="str">
        <x:v>Ban An toàn - Chất lượng</x:v>
      </x:c>
      <x:c r="H369" s="14" t="str"/>
      <x:c r="I369" s="58" t="str"/>
      <x:c r="J369" s="58" t="str"/>
      <x:c r="K369" s="14" t="str"/>
      <x:c r="L369" s="14" t="str">
        <x:v>Chưa có</x:v>
      </x:c>
      <x:c r="M369" s="14" t="str">
        <x:v>Theo dõi và cập nhật link/chỉ dẫn hồ sơ sau khi có bằng chứng.</x:v>
      </x:c>
    </x:row>
    <x:row r="370">
      <x:c r="A370" s="14" t="str">
        <x:v>EVID-0369</x:v>
      </x:c>
      <x:c r="B370" s="14" t="str">
        <x:v>VATM-0369</x:v>
      </x:c>
      <x:c r="C370" s="14" t="str">
        <x:v>An toàn hàng không / SMS</x:v>
      </x:c>
      <x:c r="D370" s="14" t="str">
        <x:v>Báo cáo MOR, sự cố và điều tra</x:v>
      </x:c>
      <x:c r="E370" s="14" t="str">
        <x:v>Bổ sung bằng chứng theo yêu cầu nhiệm vụ</x:v>
      </x:c>
      <x:c r="F370" s="14" t="str">
        <x:v>Khác</x:v>
      </x:c>
      <x:c r="G370" s="14" t="str">
        <x:v>Ban An toàn - Chất lượng</x:v>
      </x:c>
      <x:c r="H370" s="14" t="str"/>
      <x:c r="I370" s="58" t="str"/>
      <x:c r="J370" s="58" t="str"/>
      <x:c r="K370" s="14" t="str"/>
      <x:c r="L370" s="14" t="str">
        <x:v>Chưa có</x:v>
      </x:c>
      <x:c r="M370" s="14" t="str">
        <x:v>Theo dõi và cập nhật link/chỉ dẫn hồ sơ sau khi có bằng chứng.</x:v>
      </x:c>
    </x:row>
    <x:row r="371">
      <x:c r="A371" s="14" t="str">
        <x:v>EVID-0370</x:v>
      </x:c>
      <x:c r="B371" s="14" t="str">
        <x:v>VATM-0370</x:v>
      </x:c>
      <x:c r="C371" s="14" t="str">
        <x:v>An toàn hàng không / SMS</x:v>
      </x:c>
      <x:c r="D371" s="14" t="str">
        <x:v>Báo cáo MOR, sự cố và điều tra</x:v>
      </x:c>
      <x:c r="E371" s="14" t="str">
        <x:v>Bổ sung bằng chứng theo yêu cầu nhiệm vụ</x:v>
      </x:c>
      <x:c r="F371" s="14" t="str">
        <x:v>Khác</x:v>
      </x:c>
      <x:c r="G371" s="14" t="str">
        <x:v>Ban An toàn - Chất lượng</x:v>
      </x:c>
      <x:c r="H371" s="14" t="str"/>
      <x:c r="I371" s="58" t="str"/>
      <x:c r="J371" s="58" t="str"/>
      <x:c r="K371" s="14" t="str"/>
      <x:c r="L371" s="14" t="str">
        <x:v>Chưa có</x:v>
      </x:c>
      <x:c r="M371" s="14" t="str">
        <x:v>Theo dõi và cập nhật link/chỉ dẫn hồ sơ sau khi có bằng chứng.</x:v>
      </x:c>
    </x:row>
    <x:row r="372">
      <x:c r="A372" s="14" t="str">
        <x:v>EVID-0371</x:v>
      </x:c>
      <x:c r="B372" s="14" t="str">
        <x:v>VATM-0371</x:v>
      </x:c>
      <x:c r="C372" s="14" t="str">
        <x:v>An toàn hàng không / SMS</x:v>
      </x:c>
      <x:c r="D372" s="14" t="str">
        <x:v>Báo cáo MOR, sự cố và điều tra</x:v>
      </x:c>
      <x:c r="E372" s="14" t="str">
        <x:v>Bổ sung bằng chứng theo yêu cầu nhiệm vụ</x:v>
      </x:c>
      <x:c r="F372" s="14" t="str">
        <x:v>Khác</x:v>
      </x:c>
      <x:c r="G372" s="14" t="str">
        <x:v>Ban An toàn - Chất lượng</x:v>
      </x:c>
      <x:c r="H372" s="14" t="str"/>
      <x:c r="I372" s="58" t="str"/>
      <x:c r="J372" s="58" t="str"/>
      <x:c r="K372" s="14" t="str"/>
      <x:c r="L372" s="14" t="str">
        <x:v>Chưa có</x:v>
      </x:c>
      <x:c r="M372" s="14" t="str">
        <x:v>Theo dõi và cập nhật link/chỉ dẫn hồ sơ sau khi có bằng chứng.</x:v>
      </x:c>
    </x:row>
    <x:row r="373">
      <x:c r="A373" s="14" t="str">
        <x:v>EVID-0372</x:v>
      </x:c>
      <x:c r="B373" s="14" t="str">
        <x:v>VATM-0372</x:v>
      </x:c>
      <x:c r="C373" s="14" t="str">
        <x:v>An toàn hàng không / SMS</x:v>
      </x:c>
      <x:c r="D373" s="14" t="str">
        <x:v>Báo cáo MOR, sự cố và điều tra</x:v>
      </x:c>
      <x:c r="E373" s="14" t="str">
        <x:v>Bổ sung bằng chứng theo yêu cầu nhiệm vụ</x:v>
      </x:c>
      <x:c r="F373" s="14" t="str">
        <x:v>Khác</x:v>
      </x:c>
      <x:c r="G373" s="14" t="str">
        <x:v>Ban An toàn - Chất lượng</x:v>
      </x:c>
      <x:c r="H373" s="14" t="str"/>
      <x:c r="I373" s="58" t="str"/>
      <x:c r="J373" s="58" t="str"/>
      <x:c r="K373" s="14" t="str"/>
      <x:c r="L373" s="14" t="str">
        <x:v>Chưa có</x:v>
      </x:c>
      <x:c r="M373" s="14" t="str">
        <x:v>Theo dõi và cập nhật link/chỉ dẫn hồ sơ sau khi có bằng chứng.</x:v>
      </x:c>
    </x:row>
    <x:row r="374">
      <x:c r="A374" s="14" t="str">
        <x:v>EVID-0373</x:v>
      </x:c>
      <x:c r="B374" s="14" t="str">
        <x:v>VATM-0373</x:v>
      </x:c>
      <x:c r="C374" s="14" t="str">
        <x:v>An toàn hàng không / SMS</x:v>
      </x:c>
      <x:c r="D374" s="14" t="str">
        <x:v>Báo cáo MOR, sự cố và điều tra</x:v>
      </x:c>
      <x:c r="E374" s="14" t="str">
        <x:v>Bổ sung bằng chứng theo yêu cầu nhiệm vụ</x:v>
      </x:c>
      <x:c r="F374" s="14" t="str">
        <x:v>Khác</x:v>
      </x:c>
      <x:c r="G374" s="14" t="str">
        <x:v>Ban An toàn - Chất lượng</x:v>
      </x:c>
      <x:c r="H374" s="14" t="str"/>
      <x:c r="I374" s="58" t="str"/>
      <x:c r="J374" s="58" t="str"/>
      <x:c r="K374" s="14" t="str"/>
      <x:c r="L374" s="14" t="str">
        <x:v>Chưa có</x:v>
      </x:c>
      <x:c r="M374" s="14" t="str">
        <x:v>Theo dõi và cập nhật link/chỉ dẫn hồ sơ sau khi có bằng chứng.</x:v>
      </x:c>
    </x:row>
    <x:row r="375">
      <x:c r="A375" s="14" t="str">
        <x:v>EVID-0374</x:v>
      </x:c>
      <x:c r="B375" s="14" t="str">
        <x:v>VATM-0374</x:v>
      </x:c>
      <x:c r="C375" s="14" t="str">
        <x:v>An toàn hàng không / SMS</x:v>
      </x:c>
      <x:c r="D375" s="14" t="str">
        <x:v>Báo cáo MOR, sự cố và điều tra</x:v>
      </x:c>
      <x:c r="E375" s="14" t="str">
        <x:v>Bổ sung bằng chứng theo yêu cầu nhiệm vụ</x:v>
      </x:c>
      <x:c r="F375" s="14" t="str">
        <x:v>Khác</x:v>
      </x:c>
      <x:c r="G375" s="14" t="str">
        <x:v>Ban An toàn - Chất lượng</x:v>
      </x:c>
      <x:c r="H375" s="14" t="str"/>
      <x:c r="I375" s="58" t="str"/>
      <x:c r="J375" s="58" t="str"/>
      <x:c r="K375" s="14" t="str"/>
      <x:c r="L375" s="14" t="str">
        <x:v>Chưa có</x:v>
      </x:c>
      <x:c r="M375" s="14" t="str">
        <x:v>Theo dõi và cập nhật link/chỉ dẫn hồ sơ sau khi có bằng chứng.</x:v>
      </x:c>
    </x:row>
    <x:row r="376">
      <x:c r="A376" s="14" t="str">
        <x:v>EVID-0375</x:v>
      </x:c>
      <x:c r="B376" s="14" t="str">
        <x:v>VATM-0375</x:v>
      </x:c>
      <x:c r="C376" s="14" t="str">
        <x:v>An toàn hàng không / SMS</x:v>
      </x:c>
      <x:c r="D376" s="14" t="str">
        <x:v>Báo cáo MOR, sự cố và điều tra</x:v>
      </x:c>
      <x:c r="E376" s="14" t="str">
        <x:v>Bổ sung bằng chứng theo yêu cầu nhiệm vụ</x:v>
      </x:c>
      <x:c r="F376" s="14" t="str">
        <x:v>Khác</x:v>
      </x:c>
      <x:c r="G376" s="14" t="str">
        <x:v>Ban An toàn - Chất lượng</x:v>
      </x:c>
      <x:c r="H376" s="14" t="str"/>
      <x:c r="I376" s="58" t="str"/>
      <x:c r="J376" s="58" t="str"/>
      <x:c r="K376" s="14" t="str"/>
      <x:c r="L376" s="14" t="str">
        <x:v>Chưa có</x:v>
      </x:c>
      <x:c r="M376" s="14" t="str">
        <x:v>Theo dõi và cập nhật link/chỉ dẫn hồ sơ sau khi có bằng chứng.</x:v>
      </x:c>
    </x:row>
    <x:row r="377">
      <x:c r="A377" s="14" t="str">
        <x:v>EVID-0376</x:v>
      </x:c>
      <x:c r="B377" s="14" t="str">
        <x:v>VATM-0376</x:v>
      </x:c>
      <x:c r="C377" s="14" t="str">
        <x:v>An toàn hàng không / SMS</x:v>
      </x:c>
      <x:c r="D377" s="14" t="str">
        <x:v>Báo cáo MOR, sự cố và điều tra</x:v>
      </x:c>
      <x:c r="E377" s="14" t="str">
        <x:v>Bổ sung bằng chứng theo yêu cầu nhiệm vụ</x:v>
      </x:c>
      <x:c r="F377" s="14" t="str">
        <x:v>Khác</x:v>
      </x:c>
      <x:c r="G377" s="14" t="str">
        <x:v>Ban An toàn - Chất lượng</x:v>
      </x:c>
      <x:c r="H377" s="14" t="str"/>
      <x:c r="I377" s="58" t="str"/>
      <x:c r="J377" s="58" t="str"/>
      <x:c r="K377" s="14" t="str"/>
      <x:c r="L377" s="14" t="str">
        <x:v>Chưa có</x:v>
      </x:c>
      <x:c r="M377" s="14" t="str">
        <x:v>Theo dõi và cập nhật link/chỉ dẫn hồ sơ sau khi có bằng chứng.</x:v>
      </x:c>
    </x:row>
    <x:row r="378">
      <x:c r="A378" s="14" t="str">
        <x:v>EVID-0377</x:v>
      </x:c>
      <x:c r="B378" s="14" t="str">
        <x:v>VATM-0377</x:v>
      </x:c>
      <x:c r="C378" s="14" t="str">
        <x:v>An toàn hàng không / SMS</x:v>
      </x:c>
      <x:c r="D378" s="14" t="str">
        <x:v>Báo cáo MOR, sự cố và điều tra</x:v>
      </x:c>
      <x:c r="E378" s="14" t="str">
        <x:v>Bổ sung bằng chứng theo yêu cầu nhiệm vụ</x:v>
      </x:c>
      <x:c r="F378" s="14" t="str">
        <x:v>Khác</x:v>
      </x:c>
      <x:c r="G378" s="14" t="str">
        <x:v>Ban An toàn - Chất lượng</x:v>
      </x:c>
      <x:c r="H378" s="14" t="str"/>
      <x:c r="I378" s="58" t="str"/>
      <x:c r="J378" s="58" t="str"/>
      <x:c r="K378" s="14" t="str"/>
      <x:c r="L378" s="14" t="str">
        <x:v>Chưa có</x:v>
      </x:c>
      <x:c r="M378" s="14" t="str">
        <x:v>Theo dõi và cập nhật link/chỉ dẫn hồ sơ sau khi có bằng chứng.</x:v>
      </x:c>
    </x:row>
    <x:row r="379">
      <x:c r="A379" s="14" t="str">
        <x:v>EVID-0378</x:v>
      </x:c>
      <x:c r="B379" s="14" t="str">
        <x:v>VATM-0378</x:v>
      </x:c>
      <x:c r="C379" s="14" t="str">
        <x:v>An toàn hàng không / SMS</x:v>
      </x:c>
      <x:c r="D379" s="14" t="str">
        <x:v>Báo cáo MOR, sự cố và điều tra</x:v>
      </x:c>
      <x:c r="E379" s="14" t="str">
        <x:v>Bổ sung bằng chứng theo yêu cầu nhiệm vụ</x:v>
      </x:c>
      <x:c r="F379" s="14" t="str">
        <x:v>Khác</x:v>
      </x:c>
      <x:c r="G379" s="14" t="str">
        <x:v>Ban An toàn - Chất lượng</x:v>
      </x:c>
      <x:c r="H379" s="14" t="str"/>
      <x:c r="I379" s="58" t="str"/>
      <x:c r="J379" s="58" t="str"/>
      <x:c r="K379" s="14" t="str"/>
      <x:c r="L379" s="14" t="str">
        <x:v>Chưa có</x:v>
      </x:c>
      <x:c r="M379" s="14" t="str">
        <x:v>Theo dõi và cập nhật link/chỉ dẫn hồ sơ sau khi có bằng chứng.</x:v>
      </x:c>
    </x:row>
    <x:row r="380">
      <x:c r="A380" s="14" t="str">
        <x:v>EVID-0379</x:v>
      </x:c>
      <x:c r="B380" s="14" t="str">
        <x:v>VATM-0379</x:v>
      </x:c>
      <x:c r="C380" s="14" t="str">
        <x:v>An toàn hàng không / SMS</x:v>
      </x:c>
      <x:c r="D380" s="14" t="str">
        <x:v>Báo cáo MOR, sự cố và điều tra</x:v>
      </x:c>
      <x:c r="E380" s="14" t="str">
        <x:v>Bổ sung bằng chứng theo yêu cầu nhiệm vụ</x:v>
      </x:c>
      <x:c r="F380" s="14" t="str">
        <x:v>Khác</x:v>
      </x:c>
      <x:c r="G380" s="14" t="str">
        <x:v>Ban An toàn - Chất lượng</x:v>
      </x:c>
      <x:c r="H380" s="14" t="str"/>
      <x:c r="I380" s="58" t="str"/>
      <x:c r="J380" s="58" t="str"/>
      <x:c r="K380" s="14" t="str"/>
      <x:c r="L380" s="14" t="str">
        <x:v>Chưa có</x:v>
      </x:c>
      <x:c r="M380" s="14" t="str">
        <x:v>Theo dõi và cập nhật link/chỉ dẫn hồ sơ sau khi có bằng chứng.</x:v>
      </x:c>
    </x:row>
    <x:row r="381">
      <x:c r="A381" s="14" t="str">
        <x:v>EVID-0380</x:v>
      </x:c>
      <x:c r="B381" s="14" t="str">
        <x:v>VATM-0380</x:v>
      </x:c>
      <x:c r="C381" s="14" t="str">
        <x:v>An toàn hàng không / SMS</x:v>
      </x:c>
      <x:c r="D381" s="14" t="str">
        <x:v>Báo cáo MOR, sự cố và điều tra</x:v>
      </x:c>
      <x:c r="E381" s="14" t="str">
        <x:v>Bổ sung bằng chứng theo yêu cầu nhiệm vụ</x:v>
      </x:c>
      <x:c r="F381" s="14" t="str">
        <x:v>Khác</x:v>
      </x:c>
      <x:c r="G381" s="14" t="str">
        <x:v>Ban An toàn - Chất lượng</x:v>
      </x:c>
      <x:c r="H381" s="14" t="str"/>
      <x:c r="I381" s="58" t="str"/>
      <x:c r="J381" s="58" t="str"/>
      <x:c r="K381" s="14" t="str"/>
      <x:c r="L381" s="14" t="str">
        <x:v>Chưa có</x:v>
      </x:c>
      <x:c r="M381" s="14" t="str">
        <x:v>Theo dõi và cập nhật link/chỉ dẫn hồ sơ sau khi có bằng chứng.</x:v>
      </x:c>
    </x:row>
    <x:row r="382">
      <x:c r="A382" s="14" t="str">
        <x:v>EVID-0381</x:v>
      </x:c>
      <x:c r="B382" s="14" t="str">
        <x:v>VATM-0381</x:v>
      </x:c>
      <x:c r="C382" s="14" t="str">
        <x:v>An toàn hàng không / SMS</x:v>
      </x:c>
      <x:c r="D382" s="14" t="str">
        <x:v>Báo cáo MOR, sự cố và điều tra</x:v>
      </x:c>
      <x:c r="E382" s="14" t="str">
        <x:v>Bổ sung bằng chứng theo yêu cầu nhiệm vụ</x:v>
      </x:c>
      <x:c r="F382" s="14" t="str">
        <x:v>Khác</x:v>
      </x:c>
      <x:c r="G382" s="14" t="str">
        <x:v>Ban An toàn - Chất lượng</x:v>
      </x:c>
      <x:c r="H382" s="14" t="str"/>
      <x:c r="I382" s="58" t="str"/>
      <x:c r="J382" s="58" t="str"/>
      <x:c r="K382" s="14" t="str"/>
      <x:c r="L382" s="14" t="str">
        <x:v>Chưa có</x:v>
      </x:c>
      <x:c r="M382" s="14" t="str">
        <x:v>Theo dõi và cập nhật link/chỉ dẫn hồ sơ sau khi có bằng chứng.</x:v>
      </x:c>
    </x:row>
    <x:row r="383">
      <x:c r="A383" s="14" t="str">
        <x:v>EVID-0382</x:v>
      </x:c>
      <x:c r="B383" s="14" t="str">
        <x:v>VATM-0382</x:v>
      </x:c>
      <x:c r="C383" s="14" t="str">
        <x:v>An toàn hàng không / SMS</x:v>
      </x:c>
      <x:c r="D383" s="14" t="str">
        <x:v>Báo cáo MOR, sự cố và điều tra</x:v>
      </x:c>
      <x:c r="E383" s="14" t="str">
        <x:v>Bổ sung bằng chứng theo yêu cầu nhiệm vụ</x:v>
      </x:c>
      <x:c r="F383" s="14" t="str">
        <x:v>Khác</x:v>
      </x:c>
      <x:c r="G383" s="14" t="str">
        <x:v>Ban An toàn - Chất lượng</x:v>
      </x:c>
      <x:c r="H383" s="14" t="str"/>
      <x:c r="I383" s="58" t="str"/>
      <x:c r="J383" s="58" t="str"/>
      <x:c r="K383" s="14" t="str"/>
      <x:c r="L383" s="14" t="str">
        <x:v>Chưa có</x:v>
      </x:c>
      <x:c r="M383" s="14" t="str">
        <x:v>Theo dõi và cập nhật link/chỉ dẫn hồ sơ sau khi có bằng chứng.</x:v>
      </x:c>
    </x:row>
    <x:row r="384">
      <x:c r="A384" s="14" t="str">
        <x:v>EVID-0383</x:v>
      </x:c>
      <x:c r="B384" s="14" t="str">
        <x:v>VATM-0383</x:v>
      </x:c>
      <x:c r="C384" s="14" t="str">
        <x:v>An ninh hàng không</x:v>
      </x:c>
      <x:c r="D384" s="14" t="str">
        <x:v>Quản trị, phối hợp và giám sát ANHK</x:v>
      </x:c>
      <x:c r="E384" s="14" t="str">
        <x:v>Nhật ký trực, báo cáo sự cố, biên bản giảng bình, hồ sơ khắc phục</x:v>
      </x:c>
      <x:c r="F384" s="14" t="str">
        <x:v>Báo cáo</x:v>
      </x:c>
      <x:c r="G384" s="14" t="str">
        <x:v>Ban An ninh hàng không; Ban An toàn - Chất lượng; Các Công ty Quản lý bay khu vực Bắc/Trung/Nam</x:v>
      </x:c>
      <x:c r="H384" s="14" t="str"/>
      <x:c r="I384" s="58" t="str"/>
      <x:c r="J384" s="58" t="str"/>
      <x:c r="K384" s="14" t="str"/>
      <x:c r="L384" s="14" t="str">
        <x:v>Chưa có</x:v>
      </x:c>
      <x:c r="M384" s="14" t="str">
        <x:v>Theo dõi và cập nhật link/chỉ dẫn hồ sơ sau khi có bằng chứng.</x:v>
      </x:c>
    </x:row>
    <x:row r="385">
      <x:c r="A385" s="14" t="str">
        <x:v>EVID-0384</x:v>
      </x:c>
      <x:c r="B385" s="14" t="str">
        <x:v>VATM-0384</x:v>
      </x:c>
      <x:c r="C385" s="14" t="str">
        <x:v>An ninh hàng không</x:v>
      </x:c>
      <x:c r="D385" s="14" t="str">
        <x:v>An ninh hệ thống CNS/ATM/CNTT</x:v>
      </x:c>
      <x:c r="E385" s="14" t="str">
        <x:v>Kế hoạch bảo vệ; phân công ca trực; nhật ký tuần tra/kiểm soát</x:v>
      </x:c>
      <x:c r="F385" s="14" t="str">
        <x:v>Quyết định/Kế hoạch</x:v>
      </x:c>
      <x:c r="G385" s="14" t="str">
        <x:v>Ban An ninh hàng không; Ban An toàn - Chất lượng</x:v>
      </x:c>
      <x:c r="H385" s="14" t="str"/>
      <x:c r="I385" s="58" t="str"/>
      <x:c r="J385" s="58" t="str"/>
      <x:c r="K385" s="14" t="str"/>
      <x:c r="L385" s="14" t="str">
        <x:v>Chưa có</x:v>
      </x:c>
      <x:c r="M385" s="14" t="str">
        <x:v>Theo dõi và cập nhật link/chỉ dẫn hồ sơ sau khi có bằng chứng.</x:v>
      </x:c>
    </x:row>
    <x:row r="386">
      <x:c r="A386" s="14" t="str">
        <x:v>EVID-0385</x:v>
      </x:c>
      <x:c r="B386" s="14" t="str">
        <x:v>VATM-0385</x:v>
      </x:c>
      <x:c r="C386" s="14" t="str">
        <x:v>An ninh hàng không</x:v>
      </x:c>
      <x:c r="D386" s="14" t="str">
        <x:v>Khu vực hạn chế/kiểm soát ra vào</x:v>
      </x:c>
      <x:c r="E386" s="14" t="str">
        <x:v>Chương trình được phê duyệt; quyết định ban hành; hồ sơ gửi phê duyệt</x:v>
      </x:c>
      <x:c r="F386" s="14" t="str">
        <x:v>Hồ sơ phê duyệt</x:v>
      </x:c>
      <x:c r="G386" s="14" t="str">
        <x:v>Ban An ninh hàng không; Ban An toàn - Chất lượng</x:v>
      </x:c>
      <x:c r="H386" s="14" t="str"/>
      <x:c r="I386" s="58" t="str"/>
      <x:c r="J386" s="58" t="str"/>
      <x:c r="K386" s="14" t="str"/>
      <x:c r="L386" s="14" t="str">
        <x:v>Chưa có</x:v>
      </x:c>
      <x:c r="M386" s="14" t="str">
        <x:v>Theo dõi và cập nhật link/chỉ dẫn hồ sơ sau khi có bằng chứng.</x:v>
      </x:c>
    </x:row>
    <x:row r="387">
      <x:c r="A387" s="14" t="str">
        <x:v>EVID-0386</x:v>
      </x:c>
      <x:c r="B387" s="14" t="str">
        <x:v>VATM-0386</x:v>
      </x:c>
      <x:c r="C387" s="14" t="str">
        <x:v>An ninh hàng không</x:v>
      </x:c>
      <x:c r="D387" s="14" t="str">
        <x:v>Khu vực hạn chế/kiểm soát ra vào</x:v>
      </x:c>
      <x:c r="E387" s="14" t="str">
        <x:v>Sơ đồ khu vực hạn chế; danh sách cấp quyền; nhật ký ra/vào; biên bản phối hợp</x:v>
      </x:c>
      <x:c r="F387" s="14" t="str">
        <x:v>Biên bản/nhật ký/log</x:v>
      </x:c>
      <x:c r="G387" s="14" t="str">
        <x:v>Ban An ninh hàng không; Ban Kỹ thuật - CNS/IT/Môi trường; Trung tâm Quản lý luồng không lưu; Các Công ty Quản lý bay khu vực Bắc/Trung/Nam</x:v>
      </x:c>
      <x:c r="H387" s="14" t="str"/>
      <x:c r="I387" s="58" t="str"/>
      <x:c r="J387" s="58" t="str"/>
      <x:c r="K387" s="14" t="str"/>
      <x:c r="L387" s="14" t="str">
        <x:v>Chưa có</x:v>
      </x:c>
      <x:c r="M387" s="14" t="str">
        <x:v>Theo dõi và cập nhật link/chỉ dẫn hồ sơ sau khi có bằng chứng.</x:v>
      </x:c>
    </x:row>
    <x:row r="388">
      <x:c r="A388" s="14" t="str">
        <x:v>EVID-0387</x:v>
      </x:c>
      <x:c r="B388" s="14" t="str">
        <x:v>VATM-0387</x:v>
      </x:c>
      <x:c r="C388" s="14" t="str">
        <x:v>An ninh hàng không</x:v>
      </x:c>
      <x:c r="D388" s="14" t="str">
        <x:v>Khu vực hạn chế/kiểm soát ra vào</x:v>
      </x:c>
      <x:c r="E388" s="14" t="str">
        <x:v>Lệnh/biên bản thiết lập khu vực; thông báo nội bộ; nhật ký hiện trường</x:v>
      </x:c>
      <x:c r="F388" s="14" t="str">
        <x:v>Biên bản/nhật ký/log</x:v>
      </x:c>
      <x:c r="G388" s="14" t="str">
        <x:v>Ban An ninh hàng không; Các Công ty Quản lý bay khu vực Bắc/Trung/Nam</x:v>
      </x:c>
      <x:c r="H388" s="14" t="str"/>
      <x:c r="I388" s="58" t="str"/>
      <x:c r="J388" s="58" t="str"/>
      <x:c r="K388" s="14" t="str"/>
      <x:c r="L388" s="14" t="str">
        <x:v>Chưa có</x:v>
      </x:c>
      <x:c r="M388" s="14" t="str">
        <x:v>Theo dõi và cập nhật link/chỉ dẫn hồ sơ sau khi có bằng chứng.</x:v>
      </x:c>
    </x:row>
    <x:row r="389">
      <x:c r="A389" s="14" t="str">
        <x:v>EVID-0388</x:v>
      </x:c>
      <x:c r="B389" s="14" t="str">
        <x:v>VATM-0388</x:v>
      </x:c>
      <x:c r="C389" s="14" t="str">
        <x:v>An ninh hàng không</x:v>
      </x:c>
      <x:c r="D389" s="14" t="str">
        <x:v>Khu vực hạn chế/kiểm soát ra vào</x:v>
      </x:c>
      <x:c r="E389" s="14" t="str">
        <x:v>Sổ ra vào, phiếu hộ tống, danh sách quyền truy cập, biên bản thu hồi</x:v>
      </x:c>
      <x:c r="F389" s="14" t="str">
        <x:v>Biên bản/nhật ký/log</x:v>
      </x:c>
      <x:c r="G389" s="14" t="str">
        <x:v>Ban An ninh hàng không; Các Công ty Quản lý bay khu vực Bắc/Trung/Nam</x:v>
      </x:c>
      <x:c r="H389" s="14" t="str"/>
      <x:c r="I389" s="58" t="str"/>
      <x:c r="J389" s="58" t="str"/>
      <x:c r="K389" s="14" t="str"/>
      <x:c r="L389" s="14" t="str">
        <x:v>Chưa có</x:v>
      </x:c>
      <x:c r="M389" s="14" t="str">
        <x:v>Theo dõi và cập nhật link/chỉ dẫn hồ sơ sau khi có bằng chứng.</x:v>
      </x:c>
    </x:row>
    <x:row r="390">
      <x:c r="A390" s="14" t="str">
        <x:v>EVID-0389</x:v>
      </x:c>
      <x:c r="B390" s="14" t="str">
        <x:v>VATM-0389</x:v>
      </x:c>
      <x:c r="C390" s="14" t="str">
        <x:v>An ninh hàng không</x:v>
      </x:c>
      <x:c r="D390" s="14" t="str">
        <x:v>An ninh hệ thống CNS/ATM/CNTT</x:v>
      </x:c>
      <x:c r="E390" s="14" t="str">
        <x:v>Biên bản lục soát, nhật ký ảnh hưởng dịch vụ, báo cáo sau vụ việc</x:v>
      </x:c>
      <x:c r="F390" s="14" t="str">
        <x:v>Báo cáo</x:v>
      </x:c>
      <x:c r="G390" s="14" t="str">
        <x:v>Ban An ninh hàng không; Các Công ty Quản lý bay khu vực Bắc/Trung/Nam</x:v>
      </x:c>
      <x:c r="H390" s="14" t="str"/>
      <x:c r="I390" s="58" t="str"/>
      <x:c r="J390" s="58" t="str"/>
      <x:c r="K390" s="14" t="str"/>
      <x:c r="L390" s="14" t="str">
        <x:v>Chưa có</x:v>
      </x:c>
      <x:c r="M390" s="14" t="str">
        <x:v>Theo dõi và cập nhật link/chỉ dẫn hồ sơ sau khi có bằng chứng.</x:v>
      </x:c>
    </x:row>
    <x:row r="391">
      <x:c r="A391" s="14" t="str">
        <x:v>EVID-0390</x:v>
      </x:c>
      <x:c r="B391" s="14" t="str">
        <x:v>VATM-0390</x:v>
      </x:c>
      <x:c r="C391" s="14" t="str">
        <x:v>An ninh hàng không</x:v>
      </x:c>
      <x:c r="D391" s="14" t="str">
        <x:v>An ninh hệ thống CNS/ATM/CNTT</x:v>
      </x:c>
      <x:c r="E391" s="14" t="str">
        <x:v>Bản ghi liên lạc, flight progress strip/nhật ký, báo cáo khẩn</x:v>
      </x:c>
      <x:c r="F391" s="14" t="str">
        <x:v>Báo cáo</x:v>
      </x:c>
      <x:c r="G391" s="14" t="str">
        <x:v>Ban An ninh hàng không</x:v>
      </x:c>
      <x:c r="H391" s="14" t="str"/>
      <x:c r="I391" s="58" t="str"/>
      <x:c r="J391" s="58" t="str"/>
      <x:c r="K391" s="14" t="str"/>
      <x:c r="L391" s="14" t="str">
        <x:v>Chưa có</x:v>
      </x:c>
      <x:c r="M391" s="14" t="str">
        <x:v>Theo dõi và cập nhật link/chỉ dẫn hồ sơ sau khi có bằng chứng.</x:v>
      </x:c>
    </x:row>
    <x:row r="392">
      <x:c r="A392" s="14" t="str">
        <x:v>EVID-0391</x:v>
      </x:c>
      <x:c r="B392" s="14" t="str">
        <x:v>VATM-0391</x:v>
      </x:c>
      <x:c r="C392" s="14" t="str">
        <x:v>An ninh hàng không</x:v>
      </x:c>
      <x:c r="D392" s="14" t="str">
        <x:v>Khu vực hạn chế/kiểm soát ra vào</x:v>
      </x:c>
      <x:c r="E392" s="14" t="str">
        <x:v>Biên bản vụ việc, camera, nhật ký truy cập, công văn báo cáo</x:v>
      </x:c>
      <x:c r="F392" s="14" t="str">
        <x:v>Báo cáo</x:v>
      </x:c>
      <x:c r="G392" s="14" t="str">
        <x:v>Ban An ninh hàng không; Văn phòng - Pháp chế; Các Công ty Quản lý bay khu vực Bắc/Trung/Nam</x:v>
      </x:c>
      <x:c r="H392" s="14" t="str"/>
      <x:c r="I392" s="58" t="str"/>
      <x:c r="J392" s="58" t="str"/>
      <x:c r="K392" s="14" t="str"/>
      <x:c r="L392" s="14" t="str">
        <x:v>Chưa có</x:v>
      </x:c>
      <x:c r="M392" s="14" t="str">
        <x:v>Theo dõi và cập nhật link/chỉ dẫn hồ sơ sau khi có bằng chứng.</x:v>
      </x:c>
    </x:row>
    <x:row r="393">
      <x:c r="A393" s="14" t="str">
        <x:v>EVID-0392</x:v>
      </x:c>
      <x:c r="B393" s="14" t="str">
        <x:v>VATM-0392</x:v>
      </x:c>
      <x:c r="C393" s="14" t="str">
        <x:v>An ninh hàng không</x:v>
      </x:c>
      <x:c r="D393" s="14" t="str">
        <x:v>Khu vực hạn chế/kiểm soát ra vào</x:v>
      </x:c>
      <x:c r="E393" s="14" t="str">
        <x:v>Ma trận rủi ro AVSEC; lệnh tăng cường; nhật ký thực hiện</x:v>
      </x:c>
      <x:c r="F393" s="14" t="str">
        <x:v>Biên bản/nhật ký/log</x:v>
      </x:c>
      <x:c r="G393" s="14" t="str">
        <x:v>Ban An ninh hàng không; Ban An toàn - Chất lượng</x:v>
      </x:c>
      <x:c r="H393" s="14" t="str"/>
      <x:c r="I393" s="58" t="str"/>
      <x:c r="J393" s="58" t="str"/>
      <x:c r="K393" s="14" t="str"/>
      <x:c r="L393" s="14" t="str">
        <x:v>Chưa có</x:v>
      </x:c>
      <x:c r="M393" s="14" t="str">
        <x:v>Theo dõi và cập nhật link/chỉ dẫn hồ sơ sau khi có bằng chứng.</x:v>
      </x:c>
    </x:row>
    <x:row r="394">
      <x:c r="A394" s="14" t="str">
        <x:v>EVID-0393</x:v>
      </x:c>
      <x:c r="B394" s="14" t="str">
        <x:v>VATM-0393</x:v>
      </x:c>
      <x:c r="C394" s="14" t="str">
        <x:v>An ninh hàng không</x:v>
      </x:c>
      <x:c r="D394" s="14" t="str">
        <x:v>Khu vực hạn chế/kiểm soát ra vào</x:v>
      </x:c>
      <x:c r="E394" s="14" t="str">
        <x:v>Danh mục tài liệu hạn chế; log cấp phát; biên bản thu hồi/hủy</x:v>
      </x:c>
      <x:c r="F394" s="14" t="str">
        <x:v>Biên bản/nhật ký/log</x:v>
      </x:c>
      <x:c r="G394" s="14" t="str">
        <x:v>Ban An ninh hàng không; Văn phòng - Pháp chế</x:v>
      </x:c>
      <x:c r="H394" s="14" t="str"/>
      <x:c r="I394" s="58" t="str"/>
      <x:c r="J394" s="58" t="str"/>
      <x:c r="K394" s="14" t="str"/>
      <x:c r="L394" s="14" t="str">
        <x:v>Chưa có</x:v>
      </x:c>
      <x:c r="M394" s="14" t="str">
        <x:v>Theo dõi và cập nhật link/chỉ dẫn hồ sơ sau khi có bằng chứng.</x:v>
      </x:c>
    </x:row>
    <x:row r="395">
      <x:c r="A395" s="14" t="str">
        <x:v>EVID-0394</x:v>
      </x:c>
      <x:c r="B395" s="14" t="str">
        <x:v>VATM-0394</x:v>
      </x:c>
      <x:c r="C395" s="14" t="str">
        <x:v>An ninh hàng không</x:v>
      </x:c>
      <x:c r="D395" s="14" t="str">
        <x:v>Khu vực hạn chế/kiểm soát ra vào</x:v>
      </x:c>
      <x:c r="E395" s="14" t="str">
        <x:v>Hồ sơ xác minh lý lịch, cam kết bảo mật, hồ sơ đào tạo, quyết định phân quyền</x:v>
      </x:c>
      <x:c r="F395" s="14" t="str">
        <x:v>Khác</x:v>
      </x:c>
      <x:c r="G395" s="14" t="str">
        <x:v>Ban An ninh hàng không; Ban Tổ chức cán bộ</x:v>
      </x:c>
      <x:c r="H395" s="14" t="str"/>
      <x:c r="I395" s="58" t="str"/>
      <x:c r="J395" s="58" t="str"/>
      <x:c r="K395" s="14" t="str"/>
      <x:c r="L395" s="14" t="str">
        <x:v>Chưa có</x:v>
      </x:c>
      <x:c r="M395" s="14" t="str">
        <x:v>Theo dõi và cập nhật link/chỉ dẫn hồ sơ sau khi có bằng chứng.</x:v>
      </x:c>
    </x:row>
    <x:row r="396">
      <x:c r="A396" s="14" t="str">
        <x:v>EVID-0395</x:v>
      </x:c>
      <x:c r="B396" s="14" t="str">
        <x:v>VATM-0395</x:v>
      </x:c>
      <x:c r="C396" s="14" t="str">
        <x:v>An ninh hàng không</x:v>
      </x:c>
      <x:c r="D396" s="14" t="str">
        <x:v>An ninh hệ thống CNS/ATM/CNTT</x:v>
      </x:c>
      <x:c r="E396" s="14" t="str">
        <x:v>Chính sách an ninh thông tin, log, báo cáo kiểm thử, biên bản khắc phục</x:v>
      </x:c>
      <x:c r="F396" s="14" t="str">
        <x:v>Báo cáo</x:v>
      </x:c>
      <x:c r="G396" s="14" t="str">
        <x:v>Ban An ninh hàng không; Ban Kế hoạch doanh nghiệp - Chuyển đổi số; Ban Kỹ thuật - CNS/IT/Môi trường; Trung tâm Thông báo tin tức hàng không; Trung tâm Quản lý luồng không lưu</x:v>
      </x:c>
      <x:c r="H396" s="14" t="str"/>
      <x:c r="I396" s="58" t="str"/>
      <x:c r="J396" s="58" t="str"/>
      <x:c r="K396" s="14" t="str"/>
      <x:c r="L396" s="14" t="str">
        <x:v>Chưa có</x:v>
      </x:c>
      <x:c r="M396" s="14" t="str">
        <x:v>Theo dõi và cập nhật link/chỉ dẫn hồ sơ sau khi có bằng chứng.</x:v>
      </x:c>
    </x:row>
    <x:row r="397">
      <x:c r="A397" s="14" t="str">
        <x:v>EVID-0396</x:v>
      </x:c>
      <x:c r="B397" s="14" t="str">
        <x:v>VATM-0396</x:v>
      </x:c>
      <x:c r="C397" s="14" t="str">
        <x:v>An ninh hàng không</x:v>
      </x:c>
      <x:c r="D397" s="14" t="str">
        <x:v>Chương trình/kế hoạch ANHK VATM</x:v>
      </x:c>
      <x:c r="E397" s="14" t="str">
        <x:v>Kế hoạch đào tạo, danh sách tham dự, bài kiểm tra, chứng nhận</x:v>
      </x:c>
      <x:c r="F397" s="14" t="str">
        <x:v>Quyết định/Kế hoạch</x:v>
      </x:c>
      <x:c r="G397" s="14" t="str">
        <x:v>Ban An ninh hàng không; Văn phòng - Pháp chế</x:v>
      </x:c>
      <x:c r="H397" s="14" t="str"/>
      <x:c r="I397" s="58" t="str"/>
      <x:c r="J397" s="58" t="str"/>
      <x:c r="K397" s="14" t="str"/>
      <x:c r="L397" s="14" t="str">
        <x:v>Chưa có</x:v>
      </x:c>
      <x:c r="M397" s="14" t="str">
        <x:v>Theo dõi và cập nhật link/chỉ dẫn hồ sơ sau khi có bằng chứng.</x:v>
      </x:c>
    </x:row>
    <x:row r="398">
      <x:c r="A398" s="14" t="str">
        <x:v>EVID-0397</x:v>
      </x:c>
      <x:c r="B398" s="14" t="str">
        <x:v>VATM-0397</x:v>
      </x:c>
      <x:c r="C398" s="14" t="str">
        <x:v>An ninh hàng không</x:v>
      </x:c>
      <x:c r="D398" s="14" t="str">
        <x:v>Ứng phó sự cố/diễn tập ANHK</x:v>
      </x:c>
      <x:c r="E398" s="14" t="str">
        <x:v>Bản ghi thoại, log xử lý, ATC occurrence report, flight progress data</x:v>
      </x:c>
      <x:c r="F398" s="14" t="str">
        <x:v>Quy trình/SOP</x:v>
      </x:c>
      <x:c r="G398" s="14" t="str">
        <x:v>Ban An ninh hàng không</x:v>
      </x:c>
      <x:c r="H398" s="14" t="str"/>
      <x:c r="I398" s="58" t="str"/>
      <x:c r="J398" s="58" t="str"/>
      <x:c r="K398" s="14" t="str"/>
      <x:c r="L398" s="14" t="str">
        <x:v>Chưa có</x:v>
      </x:c>
      <x:c r="M398" s="14" t="str">
        <x:v>Theo dõi và cập nhật link/chỉ dẫn hồ sơ sau khi có bằng chứng.</x:v>
      </x:c>
    </x:row>
    <x:row r="399">
      <x:c r="A399" s="14" t="str">
        <x:v>EVID-0398</x:v>
      </x:c>
      <x:c r="B399" s="14" t="str">
        <x:v>VATM-0398</x:v>
      </x:c>
      <x:c r="C399" s="14" t="str">
        <x:v>An ninh hàng không</x:v>
      </x:c>
      <x:c r="D399" s="14" t="str">
        <x:v>Ứng phó sự cố/diễn tập ANHK</x:v>
      </x:c>
      <x:c r="E399" s="14" t="str">
        <x:v>Danh mục nguồn lực 4 tại chỗ, sơ đồ liên lạc, biên bản kiểm tra</x:v>
      </x:c>
      <x:c r="F399" s="14" t="str">
        <x:v>Biên bản/nhật ký/log</x:v>
      </x:c>
      <x:c r="G399" s="14" t="str">
        <x:v>Ban An ninh hàng không; Các Công ty Quản lý bay khu vực Bắc/Trung/Nam</x:v>
      </x:c>
      <x:c r="H399" s="14" t="str"/>
      <x:c r="I399" s="58" t="str"/>
      <x:c r="J399" s="58" t="str"/>
      <x:c r="K399" s="14" t="str"/>
      <x:c r="L399" s="14" t="str">
        <x:v>Chưa có</x:v>
      </x:c>
      <x:c r="M399" s="14" t="str">
        <x:v>Theo dõi và cập nhật link/chỉ dẫn hồ sơ sau khi có bằng chứng.</x:v>
      </x:c>
    </x:row>
    <x:row r="400">
      <x:c r="A400" s="14" t="str">
        <x:v>EVID-0399</x:v>
      </x:c>
      <x:c r="B400" s="14" t="str">
        <x:v>VATM-0399</x:v>
      </x:c>
      <x:c r="C400" s="14" t="str">
        <x:v>An ninh hàng không</x:v>
      </x:c>
      <x:c r="D400" s="14" t="str">
        <x:v>Khu vực hạn chế/kiểm soát ra vào</x:v>
      </x:c>
      <x:c r="E400" s="14" t="str">
        <x:v>Phương án được phê duyệt/hiệp đồng; biên bản diễn tập; danh sách lực lượng</x:v>
      </x:c>
      <x:c r="F400" s="14" t="str">
        <x:v>Biên bản/nhật ký/log</x:v>
      </x:c>
      <x:c r="G400" s="14" t="str">
        <x:v>Ban An ninh hàng không</x:v>
      </x:c>
      <x:c r="H400" s="14" t="str"/>
      <x:c r="I400" s="58" t="str"/>
      <x:c r="J400" s="58" t="str"/>
      <x:c r="K400" s="14" t="str"/>
      <x:c r="L400" s="14" t="str">
        <x:v>Chưa có</x:v>
      </x:c>
      <x:c r="M400" s="14" t="str">
        <x:v>Theo dõi và cập nhật link/chỉ dẫn hồ sơ sau khi có bằng chứng.</x:v>
      </x:c>
    </x:row>
    <x:row r="401">
      <x:c r="A401" s="14" t="str">
        <x:v>EVID-0400</x:v>
      </x:c>
      <x:c r="B401" s="14" t="str">
        <x:v>VATM-0400</x:v>
      </x:c>
      <x:c r="C401" s="14" t="str">
        <x:v>An ninh hàng không</x:v>
      </x:c>
      <x:c r="D401" s="14" t="str">
        <x:v>Ứng phó sự cố/diễn tập ANHK</x:v>
      </x:c>
      <x:c r="E401" s="14" t="str">
        <x:v>Kịch bản diễn tập, báo cáo đánh giá sau diễn tập, danh mục bài học</x:v>
      </x:c>
      <x:c r="F401" s="14" t="str">
        <x:v>Báo cáo</x:v>
      </x:c>
      <x:c r="G401" s="14" t="str">
        <x:v>Ban An ninh hàng không; Các Công ty Quản lý bay khu vực Bắc/Trung/Nam</x:v>
      </x:c>
      <x:c r="H401" s="14" t="str"/>
      <x:c r="I401" s="58" t="str"/>
      <x:c r="J401" s="58" t="str"/>
      <x:c r="K401" s="14" t="str"/>
      <x:c r="L401" s="14" t="str">
        <x:v>Chưa có</x:v>
      </x:c>
      <x:c r="M401" s="14" t="str">
        <x:v>Theo dõi và cập nhật link/chỉ dẫn hồ sơ sau khi có bằng chứng.</x:v>
      </x:c>
    </x:row>
    <x:row r="402">
      <x:c r="A402" s="14" t="str">
        <x:v>EVID-0401</x:v>
      </x:c>
      <x:c r="B402" s="14" t="str">
        <x:v>VATM-0401</x:v>
      </x:c>
      <x:c r="C402" s="14" t="str">
        <x:v>An ninh hàng không</x:v>
      </x:c>
      <x:c r="D402" s="14" t="str">
        <x:v>An ninh hệ thống CNS/ATM/CNTT</x:v>
      </x:c>
      <x:c r="E402" s="14" t="str">
        <x:v>Sơ đồ kênh liên lạc, biên bản test liên lạc, NOTAM nếu có</x:v>
      </x:c>
      <x:c r="F402" s="14" t="str">
        <x:v>Biên bản/nhật ký/log</x:v>
      </x:c>
      <x:c r="G402" s="14" t="str">
        <x:v>Ban An ninh hàng không; Ban Không lưu; Ban Kỹ thuật - CNS/IT/Môi trường</x:v>
      </x:c>
      <x:c r="H402" s="14" t="str"/>
      <x:c r="I402" s="58" t="str"/>
      <x:c r="J402" s="58" t="str"/>
      <x:c r="K402" s="14" t="str"/>
      <x:c r="L402" s="14" t="str">
        <x:v>Chưa có</x:v>
      </x:c>
      <x:c r="M402" s="14" t="str">
        <x:v>Theo dõi và cập nhật link/chỉ dẫn hồ sơ sau khi có bằng chứng.</x:v>
      </x:c>
    </x:row>
    <x:row r="403">
      <x:c r="A403" s="14" t="str">
        <x:v>EVID-0402</x:v>
      </x:c>
      <x:c r="B403" s="14" t="str">
        <x:v>VATM-0402</x:v>
      </x:c>
      <x:c r="C403" s="14" t="str">
        <x:v>An ninh hàng không</x:v>
      </x:c>
      <x:c r="D403" s="14" t="str">
        <x:v>Khu vực hạn chế/kiểm soát ra vào</x:v>
      </x:c>
      <x:c r="E403" s="14" t="str">
        <x:v>Kế hoạch, quyết định, danh sách tham gia, biên bản, báo cáo sau diễn tập</x:v>
      </x:c>
      <x:c r="F403" s="14" t="str">
        <x:v>Quyết định/Kế hoạch</x:v>
      </x:c>
      <x:c r="G403" s="14" t="str">
        <x:v>Ban An ninh hàng không</x:v>
      </x:c>
      <x:c r="H403" s="14" t="str"/>
      <x:c r="I403" s="58" t="str"/>
      <x:c r="J403" s="58" t="str"/>
      <x:c r="K403" s="14" t="str"/>
      <x:c r="L403" s="14" t="str">
        <x:v>Chưa có</x:v>
      </x:c>
      <x:c r="M403" s="14" t="str">
        <x:v>Theo dõi và cập nhật link/chỉ dẫn hồ sơ sau khi có bằng chứng.</x:v>
      </x:c>
    </x:row>
    <x:row r="404">
      <x:c r="A404" s="14" t="str">
        <x:v>EVID-0403</x:v>
      </x:c>
      <x:c r="B404" s="14" t="str">
        <x:v>VATM-0403</x:v>
      </x:c>
      <x:c r="C404" s="14" t="str">
        <x:v>An ninh hàng không</x:v>
      </x:c>
      <x:c r="D404" s="14" t="str">
        <x:v>Khu vực hạn chế/kiểm soát ra vào</x:v>
      </x:c>
      <x:c r="E404" s="14" t="str">
        <x:v>Quyết định tổ chức lực lượng, mô tả chức năng nhiệm vụ, danh sách nhân sự</x:v>
      </x:c>
      <x:c r="F404" s="14" t="str">
        <x:v>Khác</x:v>
      </x:c>
      <x:c r="G404" s="14" t="str">
        <x:v>Ban An ninh hàng không</x:v>
      </x:c>
      <x:c r="H404" s="14" t="str"/>
      <x:c r="I404" s="58" t="str"/>
      <x:c r="J404" s="58" t="str"/>
      <x:c r="K404" s="14" t="str"/>
      <x:c r="L404" s="14" t="str">
        <x:v>Chưa có</x:v>
      </x:c>
      <x:c r="M404" s="14" t="str">
        <x:v>Theo dõi và cập nhật link/chỉ dẫn hồ sơ sau khi có bằng chứng.</x:v>
      </x:c>
    </x:row>
    <x:row r="405">
      <x:c r="A405" s="14" t="str">
        <x:v>EVID-0404</x:v>
      </x:c>
      <x:c r="B405" s="14" t="str">
        <x:v>VATM-0404</x:v>
      </x:c>
      <x:c r="C405" s="14" t="str">
        <x:v>An ninh hàng không</x:v>
      </x:c>
      <x:c r="D405" s="14" t="str">
        <x:v>Chương trình/kế hoạch ANHK VATM</x:v>
      </x:c>
      <x:c r="E405" s="14" t="str">
        <x:v>Quyết định bổ nhiệm, sơ đồ tổ chức, hồ sơ phê chuẩn</x:v>
      </x:c>
      <x:c r="F405" s="14" t="str">
        <x:v>Khác</x:v>
      </x:c>
      <x:c r="G405" s="14" t="str">
        <x:v>Ban An ninh hàng không</x:v>
      </x:c>
      <x:c r="H405" s="14" t="str"/>
      <x:c r="I405" s="58" t="str"/>
      <x:c r="J405" s="58" t="str"/>
      <x:c r="K405" s="14" t="str"/>
      <x:c r="L405" s="14" t="str">
        <x:v>Chưa có</x:v>
      </x:c>
      <x:c r="M405" s="14" t="str">
        <x:v>Theo dõi và cập nhật link/chỉ dẫn hồ sơ sau khi có bằng chứng.</x:v>
      </x:c>
    </x:row>
    <x:row r="406">
      <x:c r="A406" s="14" t="str">
        <x:v>EVID-0405</x:v>
      </x:c>
      <x:c r="B406" s="14" t="str">
        <x:v>VATM-0405</x:v>
      </x:c>
      <x:c r="C406" s="14" t="str">
        <x:v>An ninh hàng không</x:v>
      </x:c>
      <x:c r="D406" s="14" t="str">
        <x:v>Khu vực hạn chế/kiểm soát ra vào</x:v>
      </x:c>
      <x:c r="E406" s="14" t="str">
        <x:v>Hồ sơ đào tạo, giấy phép, năng định, ma trận năng lực</x:v>
      </x:c>
      <x:c r="F406" s="14" t="str">
        <x:v>Hồ sơ phê duyệt</x:v>
      </x:c>
      <x:c r="G406" s="14" t="str">
        <x:v>Ban An ninh hàng không</x:v>
      </x:c>
      <x:c r="H406" s="14" t="str"/>
      <x:c r="I406" s="58" t="str"/>
      <x:c r="J406" s="58" t="str"/>
      <x:c r="K406" s="14" t="str"/>
      <x:c r="L406" s="14" t="str">
        <x:v>Chưa có</x:v>
      </x:c>
      <x:c r="M406" s="14" t="str">
        <x:v>Theo dõi và cập nhật link/chỉ dẫn hồ sơ sau khi có bằng chứng.</x:v>
      </x:c>
    </x:row>
    <x:row r="407">
      <x:c r="A407" s="14" t="str">
        <x:v>EVID-0406</x:v>
      </x:c>
      <x:c r="B407" s="14" t="str">
        <x:v>VATM-0406</x:v>
      </x:c>
      <x:c r="C407" s="14" t="str">
        <x:v>An ninh hàng không</x:v>
      </x:c>
      <x:c r="D407" s="14" t="str">
        <x:v>Chương trình/kế hoạch ANHK VATM</x:v>
      </x:c>
      <x:c r="E407" s="14" t="str">
        <x:v>Biên bản họp, báo cáo tuân thủ, hồ sơ sửa đổi chương trình</x:v>
      </x:c>
      <x:c r="F407" s="14" t="str">
        <x:v>Báo cáo</x:v>
      </x:c>
      <x:c r="G407" s="14" t="str">
        <x:v>Ban An ninh hàng không</x:v>
      </x:c>
      <x:c r="H407" s="14" t="str"/>
      <x:c r="I407" s="58" t="str"/>
      <x:c r="J407" s="58" t="str"/>
      <x:c r="K407" s="14" t="str"/>
      <x:c r="L407" s="14" t="str">
        <x:v>Chưa có</x:v>
      </x:c>
      <x:c r="M407" s="14" t="str">
        <x:v>Theo dõi và cập nhật link/chỉ dẫn hồ sơ sau khi có bằng chứng.</x:v>
      </x:c>
    </x:row>
    <x:row r="408">
      <x:c r="A408" s="14" t="str">
        <x:v>EVID-0407</x:v>
      </x:c>
      <x:c r="B408" s="14" t="str">
        <x:v>VATM-0407</x:v>
      </x:c>
      <x:c r="C408" s="14" t="str">
        <x:v>An ninh hàng không</x:v>
      </x:c>
      <x:c r="D408" s="14" t="str">
        <x:v>Quản trị, phối hợp và giám sát ANHK</x:v>
      </x:c>
      <x:c r="E408" s="14" t="str">
        <x:v>Nhật ký vụ việc, biên bản bảo vệ hiện trường, camera, báo cáo chuyển giao</x:v>
      </x:c>
      <x:c r="F408" s="14" t="str">
        <x:v>Báo cáo</x:v>
      </x:c>
      <x:c r="G408" s="14" t="str">
        <x:v>Ban An ninh hàng không</x:v>
      </x:c>
      <x:c r="H408" s="14" t="str"/>
      <x:c r="I408" s="58" t="str"/>
      <x:c r="J408" s="58" t="str"/>
      <x:c r="K408" s="14" t="str"/>
      <x:c r="L408" s="14" t="str">
        <x:v>Chưa có</x:v>
      </x:c>
      <x:c r="M408" s="14" t="str">
        <x:v>Theo dõi và cập nhật link/chỉ dẫn hồ sơ sau khi có bằng chứng.</x:v>
      </x:c>
    </x:row>
    <x:row r="409">
      <x:c r="A409" s="14" t="str">
        <x:v>EVID-0408</x:v>
      </x:c>
      <x:c r="B409" s="14" t="str">
        <x:v>VATM-0408</x:v>
      </x:c>
      <x:c r="C409" s="14" t="str">
        <x:v>An ninh hàng không</x:v>
      </x:c>
      <x:c r="D409" s="14" t="str">
        <x:v>Quản trị, phối hợp và giám sát ANHK</x:v>
      </x:c>
      <x:c r="E409" s="14" t="str">
        <x:v>Biên bản vụ việc, biên bản bàn giao, hồ sơ chứng cứ</x:v>
      </x:c>
      <x:c r="F409" s="14" t="str">
        <x:v>Biên bản/nhật ký/log</x:v>
      </x:c>
      <x:c r="G409" s="14" t="str">
        <x:v>Ban An ninh hàng không; Văn phòng - Pháp chế</x:v>
      </x:c>
      <x:c r="H409" s="14" t="str"/>
      <x:c r="I409" s="58" t="str"/>
      <x:c r="J409" s="58" t="str"/>
      <x:c r="K409" s="14" t="str"/>
      <x:c r="L409" s="14" t="str">
        <x:v>Chưa có</x:v>
      </x:c>
      <x:c r="M409" s="14" t="str">
        <x:v>Theo dõi và cập nhật link/chỉ dẫn hồ sơ sau khi có bằng chứng.</x:v>
      </x:c>
    </x:row>
    <x:row r="410">
      <x:c r="A410" s="14" t="str">
        <x:v>EVID-0409</x:v>
      </x:c>
      <x:c r="B410" s="14" t="str">
        <x:v>VATM-0409</x:v>
      </x:c>
      <x:c r="C410" s="14" t="str">
        <x:v>An ninh hàng không</x:v>
      </x:c>
      <x:c r="D410" s="14" t="str">
        <x:v>Khu vực hạn chế/kiểm soát ra vào</x:v>
      </x:c>
      <x:c r="E410" s="14" t="str">
        <x:v>Sổ cấp phát, kiểm kê trang bị, quy định sử dụng</x:v>
      </x:c>
      <x:c r="F410" s="14" t="str">
        <x:v>Khác</x:v>
      </x:c>
      <x:c r="G410" s="14" t="str">
        <x:v>Ban An ninh hàng không</x:v>
      </x:c>
      <x:c r="H410" s="14" t="str"/>
      <x:c r="I410" s="58" t="str"/>
      <x:c r="J410" s="58" t="str"/>
      <x:c r="K410" s="14" t="str"/>
      <x:c r="L410" s="14" t="str">
        <x:v>Chưa có</x:v>
      </x:c>
      <x:c r="M410" s="14" t="str">
        <x:v>Theo dõi và cập nhật link/chỉ dẫn hồ sơ sau khi có bằng chứng.</x:v>
      </x:c>
    </x:row>
    <x:row r="411">
      <x:c r="A411" s="14" t="str">
        <x:v>EVID-0410</x:v>
      </x:c>
      <x:c r="B411" s="14" t="str">
        <x:v>VATM-0410</x:v>
      </x:c>
      <x:c r="C411" s="14" t="str">
        <x:v>An ninh hàng không</x:v>
      </x:c>
      <x:c r="D411" s="14" t="str">
        <x:v>Khu vực hạn chế/kiểm soát ra vào</x:v>
      </x:c>
      <x:c r="E411" s="14" t="str">
        <x:v>Danh sách nhân sự/phương tiện, công văn đề nghị, thẻ/giấy phép cấp</x:v>
      </x:c>
      <x:c r="F411" s="14" t="str">
        <x:v>Hồ sơ phê duyệt</x:v>
      </x:c>
      <x:c r="G411" s="14" t="str">
        <x:v>Ban An ninh hàng không; Ban Không lưu; Ban Kỹ thuật - CNS/IT/Môi trường</x:v>
      </x:c>
      <x:c r="H411" s="14" t="str"/>
      <x:c r="I411" s="58" t="str"/>
      <x:c r="J411" s="58" t="str"/>
      <x:c r="K411" s="14" t="str"/>
      <x:c r="L411" s="14" t="str">
        <x:v>Chưa có</x:v>
      </x:c>
      <x:c r="M411" s="14" t="str">
        <x:v>Theo dõi và cập nhật link/chỉ dẫn hồ sơ sau khi có bằng chứng.</x:v>
      </x:c>
    </x:row>
    <x:row r="412">
      <x:c r="A412" s="14" t="str">
        <x:v>EVID-0411</x:v>
      </x:c>
      <x:c r="B412" s="14" t="str">
        <x:v>VATM-0411</x:v>
      </x:c>
      <x:c r="C412" s="14" t="str">
        <x:v>An ninh hàng không</x:v>
      </x:c>
      <x:c r="D412" s="14" t="str">
        <x:v>An ninh hệ thống CNS/ATM/CNTT</x:v>
      </x:c>
      <x:c r="E412" s="14" t="str">
        <x:v>Lệnh phục vụ chuyên cơ, phân công trực, nhật ký điều hành, biên bản hiệp đồng</x:v>
      </x:c>
      <x:c r="F412" s="14" t="str">
        <x:v>Quyết định/Kế hoạch</x:v>
      </x:c>
      <x:c r="G412" s="14" t="str">
        <x:v>Ban An ninh hàng không; Trung tâm Thông báo tin tức hàng không</x:v>
      </x:c>
      <x:c r="H412" s="14" t="str"/>
      <x:c r="I412" s="58" t="str"/>
      <x:c r="J412" s="58" t="str"/>
      <x:c r="K412" s="14" t="str"/>
      <x:c r="L412" s="14" t="str">
        <x:v>Chưa có</x:v>
      </x:c>
      <x:c r="M412" s="14" t="str">
        <x:v>Theo dõi và cập nhật link/chỉ dẫn hồ sơ sau khi có bằng chứng.</x:v>
      </x:c>
    </x:row>
    <x:row r="413">
      <x:c r="A413" s="14" t="str">
        <x:v>EVID-0412</x:v>
      </x:c>
      <x:c r="B413" s="14" t="str">
        <x:v>VATM-0412</x:v>
      </x:c>
      <x:c r="C413" s="14" t="str">
        <x:v>An ninh hàng không</x:v>
      </x:c>
      <x:c r="D413" s="14" t="str">
        <x:v>Đào tạo/nhận thức an ninh</x:v>
      </x:c>
      <x:c r="E413" s="14" t="str">
        <x:v>Công văn chỉ đạo, quyết định thực hiện, báo cáo hoàn thành</x:v>
      </x:c>
      <x:c r="F413" s="14" t="str">
        <x:v>Báo cáo</x:v>
      </x:c>
      <x:c r="G413" s="14" t="str">
        <x:v>Ban An ninh hàng không</x:v>
      </x:c>
      <x:c r="H413" s="14" t="str"/>
      <x:c r="I413" s="58" t="str"/>
      <x:c r="J413" s="58" t="str"/>
      <x:c r="K413" s="14" t="str"/>
      <x:c r="L413" s="14" t="str">
        <x:v>Chưa có</x:v>
      </x:c>
      <x:c r="M413" s="14" t="str">
        <x:v>Theo dõi và cập nhật link/chỉ dẫn hồ sơ sau khi có bằng chứng.</x:v>
      </x:c>
    </x:row>
    <x:row r="414">
      <x:c r="A414" s="14" t="str">
        <x:v>EVID-0413</x:v>
      </x:c>
      <x:c r="B414" s="14" t="str">
        <x:v>VATM-0413</x:v>
      </x:c>
      <x:c r="C414" s="14" t="str">
        <x:v>An ninh hàng không</x:v>
      </x:c>
      <x:c r="D414" s="14" t="str">
        <x:v>Khu vực hạn chế/kiểm soát ra vào</x:v>
      </x:c>
      <x:c r="E414" s="14" t="str">
        <x:v>Biên bản kiểm tra, danh mục tài liệu cung cấp, CAPA</x:v>
      </x:c>
      <x:c r="F414" s="14" t="str">
        <x:v>Biên bản/nhật ký/log</x:v>
      </x:c>
      <x:c r="G414" s="14" t="str">
        <x:v>Ban An ninh hàng không; Văn phòng - Pháp chế</x:v>
      </x:c>
      <x:c r="H414" s="14" t="str"/>
      <x:c r="I414" s="58" t="str"/>
      <x:c r="J414" s="58" t="str"/>
      <x:c r="K414" s="14" t="str"/>
      <x:c r="L414" s="14" t="str">
        <x:v>Chưa có</x:v>
      </x:c>
      <x:c r="M414" s="14" t="str">
        <x:v>Theo dõi và cập nhật link/chỉ dẫn hồ sơ sau khi có bằng chứng.</x:v>
      </x:c>
    </x:row>
    <x:row r="415">
      <x:c r="A415" s="14" t="str">
        <x:v>EVID-0414</x:v>
      </x:c>
      <x:c r="B415" s="14" t="str">
        <x:v>VATM-0414</x:v>
      </x:c>
      <x:c r="C415" s="14" t="str">
        <x:v>An ninh hàng không</x:v>
      </x:c>
      <x:c r="D415" s="14" t="str">
        <x:v>Khu vực hạn chế/kiểm soát ra vào</x:v>
      </x:c>
      <x:c r="E415" s="14" t="str">
        <x:v>Quy chế chia sẻ dữ liệu, API logs, thỏa thuận kết nối</x:v>
      </x:c>
      <x:c r="F415" s="14" t="str">
        <x:v>Quy trình/SOP</x:v>
      </x:c>
      <x:c r="G415" s="14" t="str">
        <x:v>Ban An ninh hàng không; Ban Kế hoạch doanh nghiệp - Chuyển đổi số; Ban Kỹ thuật - CNS/IT/Môi trường; Trung tâm Thông báo tin tức hàng không; Trung tâm Quản lý luồng không lưu</x:v>
      </x:c>
      <x:c r="H415" s="14" t="str"/>
      <x:c r="I415" s="58" t="str"/>
      <x:c r="J415" s="58" t="str"/>
      <x:c r="K415" s="14" t="str"/>
      <x:c r="L415" s="14" t="str">
        <x:v>Chưa có</x:v>
      </x:c>
      <x:c r="M415" s="14" t="str">
        <x:v>Theo dõi và cập nhật link/chỉ dẫn hồ sơ sau khi có bằng chứng.</x:v>
      </x:c>
    </x:row>
    <x:row r="416">
      <x:c r="A416" s="14" t="str">
        <x:v>EVID-0415</x:v>
      </x:c>
      <x:c r="B416" s="14" t="str">
        <x:v>VATM-0415</x:v>
      </x:c>
      <x:c r="C416" s="14" t="str">
        <x:v>An ninh hàng không</x:v>
      </x:c>
      <x:c r="D416" s="14" t="str">
        <x:v>An ninh hệ thống CNS/ATM/CNTT</x:v>
      </x:c>
      <x:c r="E416" s="14" t="str">
        <x:v>Biên bản đánh giá, hồ sơ thiết kế, nghiệm thu hạ tầng an ninh</x:v>
      </x:c>
      <x:c r="F416" s="14" t="str">
        <x:v>Biên bản/nhật ký/log</x:v>
      </x:c>
      <x:c r="G416" s="14" t="str">
        <x:v>Ban An ninh hàng không</x:v>
      </x:c>
      <x:c r="H416" s="14" t="str"/>
      <x:c r="I416" s="58" t="str"/>
      <x:c r="J416" s="58" t="str"/>
      <x:c r="K416" s="14" t="str"/>
      <x:c r="L416" s="14" t="str">
        <x:v>Chưa có</x:v>
      </x:c>
      <x:c r="M416" s="14" t="str">
        <x:v>Theo dõi và cập nhật link/chỉ dẫn hồ sơ sau khi có bằng chứng.</x:v>
      </x:c>
    </x:row>
    <x:row r="417">
      <x:c r="A417" s="14" t="str">
        <x:v>EVID-0416</x:v>
      </x:c>
      <x:c r="B417" s="14" t="str">
        <x:v>VATM-0416</x:v>
      </x:c>
      <x:c r="C417" s="14" t="str">
        <x:v>An ninh hàng không</x:v>
      </x:c>
      <x:c r="D417" s="14" t="str">
        <x:v>Quản trị, phối hợp và giám sát ANHK</x:v>
      </x:c>
      <x:c r="E417" s="14" t="str">
        <x:v>Danh mục tài sản, hồ sơ mua sắm, bảo trì, kiểm định</x:v>
      </x:c>
      <x:c r="F417" s="14" t="str">
        <x:v>Khác</x:v>
      </x:c>
      <x:c r="G417" s="14" t="str">
        <x:v>Ban An ninh hàng không</x:v>
      </x:c>
      <x:c r="H417" s="14" t="str"/>
      <x:c r="I417" s="58" t="str"/>
      <x:c r="J417" s="58" t="str"/>
      <x:c r="K417" s="14" t="str"/>
      <x:c r="L417" s="14" t="str">
        <x:v>Chưa có</x:v>
      </x:c>
      <x:c r="M417" s="14" t="str">
        <x:v>Theo dõi và cập nhật link/chỉ dẫn hồ sơ sau khi có bằng chứng.</x:v>
      </x:c>
    </x:row>
    <x:row r="418">
      <x:c r="A418" s="14" t="str">
        <x:v>EVID-0417</x:v>
      </x:c>
      <x:c r="B418" s="14" t="str">
        <x:v>VATM-0417</x:v>
      </x:c>
      <x:c r="C418" s="14" t="str">
        <x:v>An ninh hàng không</x:v>
      </x:c>
      <x:c r="D418" s="14" t="str">
        <x:v>An ninh hệ thống CNS/ATM/CNTT</x:v>
      </x:c>
      <x:c r="E418" s="14" t="str">
        <x:v>Sổ đăng ký xử lý dữ liệu, chính sách quyền truy cập</x:v>
      </x:c>
      <x:c r="F418" s="14" t="str">
        <x:v>Dữ liệu hệ thống</x:v>
      </x:c>
      <x:c r="G418" s="14" t="str">
        <x:v>Ban An ninh hàng không; Ban Kế hoạch doanh nghiệp - Chuyển đổi số; Ban Kỹ thuật - CNS/IT/Môi trường; Trung tâm Thông báo tin tức hàng không</x:v>
      </x:c>
      <x:c r="H418" s="14" t="str"/>
      <x:c r="I418" s="58" t="str"/>
      <x:c r="J418" s="58" t="str"/>
      <x:c r="K418" s="14" t="str"/>
      <x:c r="L418" s="14" t="str">
        <x:v>Chưa có</x:v>
      </x:c>
      <x:c r="M418" s="14" t="str">
        <x:v>Theo dõi và cập nhật link/chỉ dẫn hồ sơ sau khi có bằng chứng.</x:v>
      </x:c>
    </x:row>
    <x:row r="419">
      <x:c r="A419" s="14" t="str">
        <x:v>EVID-0418</x:v>
      </x:c>
      <x:c r="B419" s="14" t="str">
        <x:v>VATM-0418</x:v>
      </x:c>
      <x:c r="C419" s="14" t="str">
        <x:v>An ninh hàng không</x:v>
      </x:c>
      <x:c r="D419" s="14" t="str">
        <x:v>Khu vực hạn chế/kiểm soát ra vào</x:v>
      </x:c>
      <x:c r="E419" s="14" t="str">
        <x:v>Dự toán, quyết toán chi phí an ninh, hợp đồng dịch vụ nếu có</x:v>
      </x:c>
      <x:c r="F419" s="14" t="str">
        <x:v>Khác</x:v>
      </x:c>
      <x:c r="G419" s="14" t="str">
        <x:v>Ban An ninh hàng không; Ban Tài chính</x:v>
      </x:c>
      <x:c r="H419" s="14" t="str"/>
      <x:c r="I419" s="58" t="str"/>
      <x:c r="J419" s="58" t="str"/>
      <x:c r="K419" s="14" t="str"/>
      <x:c r="L419" s="14" t="str">
        <x:v>Chưa có</x:v>
      </x:c>
      <x:c r="M419" s="14" t="str">
        <x:v>Theo dõi và cập nhật link/chỉ dẫn hồ sơ sau khi có bằng chứng.</x:v>
      </x:c>
    </x:row>
    <x:row r="420">
      <x:c r="A420" s="14" t="str">
        <x:v>EVID-0419</x:v>
      </x:c>
      <x:c r="B420" s="14" t="str">
        <x:v>VATM-0419</x:v>
      </x:c>
      <x:c r="C420" s="14" t="str">
        <x:v>An ninh hàng không</x:v>
      </x:c>
      <x:c r="D420" s="14" t="str">
        <x:v>An ninh hệ thống CNS/ATM/CNTT</x:v>
      </x:c>
      <x:c r="E420" s="14" t="str">
        <x:v>Công văn phối hợp, báo cáo rủi ro, hồ sơ cyber/AVSEC</x:v>
      </x:c>
      <x:c r="F420" s="14" t="str">
        <x:v>Báo cáo</x:v>
      </x:c>
      <x:c r="G420" s="14" t="str">
        <x:v>Ban An ninh hàng không; Ban Kế hoạch doanh nghiệp - Chuyển đổi số; Ban Kỹ thuật - CNS/IT/Môi trường</x:v>
      </x:c>
      <x:c r="H420" s="14" t="str"/>
      <x:c r="I420" s="58" t="str"/>
      <x:c r="J420" s="58" t="str"/>
      <x:c r="K420" s="14" t="str"/>
      <x:c r="L420" s="14" t="str">
        <x:v>Chưa có</x:v>
      </x:c>
      <x:c r="M420" s="14" t="str">
        <x:v>Theo dõi và cập nhật link/chỉ dẫn hồ sơ sau khi có bằng chứng.</x:v>
      </x:c>
    </x:row>
    <x:row r="421">
      <x:c r="A421" s="14" t="str">
        <x:v>EVID-0420</x:v>
      </x:c>
      <x:c r="B421" s="14" t="str">
        <x:v>VATM-0420</x:v>
      </x:c>
      <x:c r="C421" s="14" t="str">
        <x:v>An ninh hàng không</x:v>
      </x:c>
      <x:c r="D421" s="14" t="str">
        <x:v>Ứng phó sự cố/diễn tập ANHK</x:v>
      </x:c>
      <x:c r="E421" s="14" t="str">
        <x:v>Biên bản hiệp đồng, điện văn, nhật ký phối hợp</x:v>
      </x:c>
      <x:c r="F421" s="14" t="str">
        <x:v>Biên bản/nhật ký/log</x:v>
      </x:c>
      <x:c r="G421" s="14" t="str">
        <x:v>Ban An ninh hàng không</x:v>
      </x:c>
      <x:c r="H421" s="14" t="str"/>
      <x:c r="I421" s="58" t="str"/>
      <x:c r="J421" s="58" t="str"/>
      <x:c r="K421" s="14" t="str"/>
      <x:c r="L421" s="14" t="str">
        <x:v>Chưa có</x:v>
      </x:c>
      <x:c r="M421" s="14" t="str">
        <x:v>Theo dõi và cập nhật link/chỉ dẫn hồ sơ sau khi có bằng chứng.</x:v>
      </x:c>
    </x:row>
    <x:row r="422">
      <x:c r="A422" s="14" t="str">
        <x:v>EVID-0421</x:v>
      </x:c>
      <x:c r="B422" s="14" t="str">
        <x:v>VATM-0421</x:v>
      </x:c>
      <x:c r="C422" s="14" t="str">
        <x:v>An ninh hàng không</x:v>
      </x:c>
      <x:c r="D422" s="14" t="str">
        <x:v>Ứng phó sự cố/diễn tập ANHK</x:v>
      </x:c>
      <x:c r="E422" s="14" t="str">
        <x:v>Phiếu cung cấp thông tin, biên bản họp, phương án cấp tỉnh có mục VATM</x:v>
      </x:c>
      <x:c r="F422" s="14" t="str">
        <x:v>Biên bản/nhật ký/log</x:v>
      </x:c>
      <x:c r="G422" s="14" t="str">
        <x:v>Ban An ninh hàng không; Các Công ty Quản lý bay khu vực Bắc/Trung/Nam</x:v>
      </x:c>
      <x:c r="H422" s="14" t="str"/>
      <x:c r="I422" s="58" t="str"/>
      <x:c r="J422" s="58" t="str"/>
      <x:c r="K422" s="14" t="str"/>
      <x:c r="L422" s="14" t="str">
        <x:v>Chưa có</x:v>
      </x:c>
      <x:c r="M422" s="14" t="str">
        <x:v>Theo dõi và cập nhật link/chỉ dẫn hồ sơ sau khi có bằng chứng.</x:v>
      </x:c>
    </x:row>
    <x:row r="423">
      <x:c r="A423" s="14" t="str">
        <x:v>EVID-0422</x:v>
      </x:c>
      <x:c r="B423" s="14" t="str">
        <x:v>VATM-0422</x:v>
      </x:c>
      <x:c r="C423" s="14" t="str">
        <x:v>An ninh hàng không</x:v>
      </x:c>
      <x:c r="D423" s="14" t="str">
        <x:v>Khu vực hạn chế/kiểm soát ra vào</x:v>
      </x:c>
      <x:c r="E423" s="14" t="str">
        <x:v>Phương án khẩn nguy VATM, phụ lục lực lượng, biên bản hiệp đồng</x:v>
      </x:c>
      <x:c r="F423" s="14" t="str">
        <x:v>Biên bản/nhật ký/log</x:v>
      </x:c>
      <x:c r="G423" s="14" t="str">
        <x:v>Ban An ninh hàng không</x:v>
      </x:c>
      <x:c r="H423" s="14" t="str"/>
      <x:c r="I423" s="58" t="str"/>
      <x:c r="J423" s="58" t="str"/>
      <x:c r="K423" s="14" t="str"/>
      <x:c r="L423" s="14" t="str">
        <x:v>Chưa có</x:v>
      </x:c>
      <x:c r="M423" s="14" t="str">
        <x:v>Theo dõi và cập nhật link/chỉ dẫn hồ sơ sau khi có bằng chứng.</x:v>
      </x:c>
    </x:row>
    <x:row r="424">
      <x:c r="A424" s="14" t="str">
        <x:v>EVID-0423</x:v>
      </x:c>
      <x:c r="B424" s="14" t="str">
        <x:v>VATM-0423</x:v>
      </x:c>
      <x:c r="C424" s="14" t="str">
        <x:v>An ninh hàng không</x:v>
      </x:c>
      <x:c r="D424" s="14" t="str">
        <x:v>Khu vực hạn chế/kiểm soát ra vào</x:v>
      </x:c>
      <x:c r="E424" s="14" t="str">
        <x:v>Hồ sơ an ninh cơ sở, sơ đồ, danh sách quyền, nhật ký kiểm tra</x:v>
      </x:c>
      <x:c r="F424" s="14" t="str">
        <x:v>Biên bản/nhật ký/log</x:v>
      </x:c>
      <x:c r="G424" s="14" t="str">
        <x:v>Ban An ninh hàng không</x:v>
      </x:c>
      <x:c r="H424" s="14" t="str"/>
      <x:c r="I424" s="58" t="str"/>
      <x:c r="J424" s="58" t="str"/>
      <x:c r="K424" s="14" t="str"/>
      <x:c r="L424" s="14" t="str">
        <x:v>Chưa có</x:v>
      </x:c>
      <x:c r="M424" s="14" t="str">
        <x:v>Theo dõi và cập nhật link/chỉ dẫn hồ sơ sau khi có bằng chứng.</x:v>
      </x:c>
    </x:row>
    <x:row r="425">
      <x:c r="A425" s="14" t="str">
        <x:v>EVID-0424</x:v>
      </x:c>
      <x:c r="B425" s="14" t="str">
        <x:v>VATM-0424</x:v>
      </x:c>
      <x:c r="C425" s="14" t="str">
        <x:v>An ninh hàng không</x:v>
      </x:c>
      <x:c r="D425" s="14" t="str">
        <x:v>Khu vực hạn chế/kiểm soát ra vào</x:v>
      </x:c>
      <x:c r="E425" s="14" t="str">
        <x:v>Hồ sơ an ninh cơ sở, sơ đồ, danh sách quyền, nhật ký kiểm tra</x:v>
      </x:c>
      <x:c r="F425" s="14" t="str">
        <x:v>Biên bản/nhật ký/log</x:v>
      </x:c>
      <x:c r="G425" s="14" t="str">
        <x:v>Ban An ninh hàng không</x:v>
      </x:c>
      <x:c r="H425" s="14" t="str"/>
      <x:c r="I425" s="58" t="str"/>
      <x:c r="J425" s="58" t="str"/>
      <x:c r="K425" s="14" t="str"/>
      <x:c r="L425" s="14" t="str">
        <x:v>Chưa có</x:v>
      </x:c>
      <x:c r="M425" s="14" t="str">
        <x:v>Theo dõi và cập nhật link/chỉ dẫn hồ sơ sau khi có bằng chứng.</x:v>
      </x:c>
    </x:row>
    <x:row r="426">
      <x:c r="A426" s="14" t="str">
        <x:v>EVID-0425</x:v>
      </x:c>
      <x:c r="B426" s="14" t="str">
        <x:v>VATM-0425</x:v>
      </x:c>
      <x:c r="C426" s="14" t="str">
        <x:v>An ninh hàng không</x:v>
      </x:c>
      <x:c r="D426" s="14" t="str">
        <x:v>Khu vực hạn chế/kiểm soát ra vào</x:v>
      </x:c>
      <x:c r="E426" s="14" t="str">
        <x:v>Hồ sơ an ninh cơ sở, sơ đồ, danh sách quyền, nhật ký kiểm tra</x:v>
      </x:c>
      <x:c r="F426" s="14" t="str">
        <x:v>Biên bản/nhật ký/log</x:v>
      </x:c>
      <x:c r="G426" s="14" t="str">
        <x:v>Ban An ninh hàng không</x:v>
      </x:c>
      <x:c r="H426" s="14" t="str"/>
      <x:c r="I426" s="58" t="str"/>
      <x:c r="J426" s="58" t="str"/>
      <x:c r="K426" s="14" t="str"/>
      <x:c r="L426" s="14" t="str">
        <x:v>Chưa có</x:v>
      </x:c>
      <x:c r="M426" s="14" t="str">
        <x:v>Theo dõi và cập nhật link/chỉ dẫn hồ sơ sau khi có bằng chứng.</x:v>
      </x:c>
    </x:row>
    <x:row r="427">
      <x:c r="A427" s="14" t="str">
        <x:v>EVID-0426</x:v>
      </x:c>
      <x:c r="B427" s="14" t="str">
        <x:v>VATM-0426</x:v>
      </x:c>
      <x:c r="C427" s="14" t="str">
        <x:v>An ninh hàng không</x:v>
      </x:c>
      <x:c r="D427" s="14" t="str">
        <x:v>Khu vực hạn chế/kiểm soát ra vào</x:v>
      </x:c>
      <x:c r="E427" s="14" t="str">
        <x:v>Hồ sơ an ninh cơ sở, sơ đồ, danh sách quyền, nhật ký kiểm tra</x:v>
      </x:c>
      <x:c r="F427" s="14" t="str">
        <x:v>Biên bản/nhật ký/log</x:v>
      </x:c>
      <x:c r="G427" s="14" t="str">
        <x:v>Ban An ninh hàng không</x:v>
      </x:c>
      <x:c r="H427" s="14" t="str"/>
      <x:c r="I427" s="58" t="str"/>
      <x:c r="J427" s="58" t="str"/>
      <x:c r="K427" s="14" t="str"/>
      <x:c r="L427" s="14" t="str">
        <x:v>Chưa có</x:v>
      </x:c>
      <x:c r="M427" s="14" t="str">
        <x:v>Theo dõi và cập nhật link/chỉ dẫn hồ sơ sau khi có bằng chứng.</x:v>
      </x:c>
    </x:row>
    <x:row r="428">
      <x:c r="A428" s="14" t="str">
        <x:v>EVID-0427</x:v>
      </x:c>
      <x:c r="B428" s="14" t="str">
        <x:v>VATM-0427</x:v>
      </x:c>
      <x:c r="C428" s="14" t="str">
        <x:v>An ninh hàng không</x:v>
      </x:c>
      <x:c r="D428" s="14" t="str">
        <x:v>Khu vực hạn chế/kiểm soát ra vào</x:v>
      </x:c>
      <x:c r="E428" s="14" t="str">
        <x:v>Hồ sơ an ninh cơ sở, sơ đồ, danh sách quyền, nhật ký kiểm tra</x:v>
      </x:c>
      <x:c r="F428" s="14" t="str">
        <x:v>Biên bản/nhật ký/log</x:v>
      </x:c>
      <x:c r="G428" s="14" t="str">
        <x:v>Ban An ninh hàng không</x:v>
      </x:c>
      <x:c r="H428" s="14" t="str"/>
      <x:c r="I428" s="58" t="str"/>
      <x:c r="J428" s="58" t="str"/>
      <x:c r="K428" s="14" t="str"/>
      <x:c r="L428" s="14" t="str">
        <x:v>Chưa có</x:v>
      </x:c>
      <x:c r="M428" s="14" t="str">
        <x:v>Theo dõi và cập nhật link/chỉ dẫn hồ sơ sau khi có bằng chứng.</x:v>
      </x:c>
    </x:row>
    <x:row r="429">
      <x:c r="A429" s="14" t="str">
        <x:v>EVID-0428</x:v>
      </x:c>
      <x:c r="B429" s="14" t="str">
        <x:v>VATM-0428</x:v>
      </x:c>
      <x:c r="C429" s="14" t="str">
        <x:v>An ninh hàng không</x:v>
      </x:c>
      <x:c r="D429" s="14" t="str">
        <x:v>Khu vực hạn chế/kiểm soát ra vào</x:v>
      </x:c>
      <x:c r="E429" s="14" t="str">
        <x:v>Hồ sơ an ninh cơ sở, sơ đồ, danh sách quyền, nhật ký kiểm tra</x:v>
      </x:c>
      <x:c r="F429" s="14" t="str">
        <x:v>Biên bản/nhật ký/log</x:v>
      </x:c>
      <x:c r="G429" s="14" t="str">
        <x:v>Ban An ninh hàng không</x:v>
      </x:c>
      <x:c r="H429" s="14" t="str"/>
      <x:c r="I429" s="58" t="str"/>
      <x:c r="J429" s="58" t="str"/>
      <x:c r="K429" s="14" t="str"/>
      <x:c r="L429" s="14" t="str">
        <x:v>Chưa có</x:v>
      </x:c>
      <x:c r="M429" s="14" t="str">
        <x:v>Theo dõi và cập nhật link/chỉ dẫn hồ sơ sau khi có bằng chứng.</x:v>
      </x:c>
    </x:row>
    <x:row r="430">
      <x:c r="A430" s="14" t="str">
        <x:v>EVID-0429</x:v>
      </x:c>
      <x:c r="B430" s="14" t="str">
        <x:v>VATM-0429</x:v>
      </x:c>
      <x:c r="C430" s="14" t="str">
        <x:v>An ninh hàng không</x:v>
      </x:c>
      <x:c r="D430" s="14" t="str">
        <x:v>Khu vực hạn chế/kiểm soát ra vào</x:v>
      </x:c>
      <x:c r="E430" s="14" t="str">
        <x:v>Hồ sơ an ninh cơ sở, sơ đồ, danh sách quyền, nhật ký kiểm tra</x:v>
      </x:c>
      <x:c r="F430" s="14" t="str">
        <x:v>Biên bản/nhật ký/log</x:v>
      </x:c>
      <x:c r="G430" s="14" t="str">
        <x:v>Ban An ninh hàng không</x:v>
      </x:c>
      <x:c r="H430" s="14" t="str"/>
      <x:c r="I430" s="58" t="str"/>
      <x:c r="J430" s="58" t="str"/>
      <x:c r="K430" s="14" t="str"/>
      <x:c r="L430" s="14" t="str">
        <x:v>Chưa có</x:v>
      </x:c>
      <x:c r="M430" s="14" t="str">
        <x:v>Theo dõi và cập nhật link/chỉ dẫn hồ sơ sau khi có bằng chứng.</x:v>
      </x:c>
    </x:row>
    <x:row r="431">
      <x:c r="A431" s="14" t="str">
        <x:v>EVID-0430</x:v>
      </x:c>
      <x:c r="B431" s="14" t="str">
        <x:v>VATM-0430</x:v>
      </x:c>
      <x:c r="C431" s="14" t="str">
        <x:v>An ninh hàng không</x:v>
      </x:c>
      <x:c r="D431" s="14" t="str">
        <x:v>Chương trình/kế hoạch ANHK VATM</x:v>
      </x:c>
      <x:c r="E431" s="14" t="str">
        <x:v>Kế hoạch hành động, bảng GAP, biên bản giao việc</x:v>
      </x:c>
      <x:c r="F431" s="14" t="str">
        <x:v>Quyết định/Kế hoạch</x:v>
      </x:c>
      <x:c r="G431" s="14" t="str">
        <x:v>Ban An ninh hàng không; Văn phòng - Pháp chế</x:v>
      </x:c>
      <x:c r="H431" s="14" t="str"/>
      <x:c r="I431" s="58" t="str"/>
      <x:c r="J431" s="58" t="str"/>
      <x:c r="K431" s="14" t="str"/>
      <x:c r="L431" s="14" t="str">
        <x:v>Chưa có</x:v>
      </x:c>
      <x:c r="M431" s="14" t="str">
        <x:v>Theo dõi và cập nhật link/chỉ dẫn hồ sơ sau khi có bằng chứng.</x:v>
      </x:c>
    </x:row>
    <x:row r="432">
      <x:c r="A432" s="14" t="str">
        <x:v>EVID-0431</x:v>
      </x:c>
      <x:c r="B432" s="14" t="str">
        <x:v>VATM-0431</x:v>
      </x:c>
      <x:c r="C432" s="14" t="str">
        <x:v>An ninh hàng không</x:v>
      </x:c>
      <x:c r="D432" s="14" t="str">
        <x:v>Chương trình/kế hoạch ANHK VATM</x:v>
      </x:c>
      <x:c r="E432" s="14" t="str">
        <x:v>Phiếu đánh giá thay đổi, bản sửa chương trình, công văn phê duyệt</x:v>
      </x:c>
      <x:c r="F432" s="14" t="str">
        <x:v>Hồ sơ phê duyệt</x:v>
      </x:c>
      <x:c r="G432" s="14" t="str">
        <x:v>Ban An ninh hàng không; Văn phòng - Pháp chế</x:v>
      </x:c>
      <x:c r="H432" s="14" t="str"/>
      <x:c r="I432" s="58" t="str"/>
      <x:c r="J432" s="58" t="str"/>
      <x:c r="K432" s="14" t="str"/>
      <x:c r="L432" s="14" t="str">
        <x:v>Chưa có</x:v>
      </x:c>
      <x:c r="M432" s="14" t="str">
        <x:v>Theo dõi và cập nhật link/chỉ dẫn hồ sơ sau khi có bằng chứng.</x:v>
      </x:c>
    </x:row>
    <x:row r="433">
      <x:c r="A433" s="14" t="str">
        <x:v>EVID-0432</x:v>
      </x:c>
      <x:c r="B433" s="14" t="str">
        <x:v>VATM-0432</x:v>
      </x:c>
      <x:c r="C433" s="14" t="str">
        <x:v>An ninh hàng không</x:v>
      </x:c>
      <x:c r="D433" s="14" t="str">
        <x:v>An ninh hệ thống CNS/ATM/CNTT</x:v>
      </x:c>
      <x:c r="E433" s="14" t="str">
        <x:v>Danh sách tài khoản đặc quyền, log truy cập, biên bản rà soát</x:v>
      </x:c>
      <x:c r="F433" s="14" t="str">
        <x:v>Biên bản/nhật ký/log</x:v>
      </x:c>
      <x:c r="G433" s="14" t="str">
        <x:v>Ban An ninh hàng không; Ban Kế hoạch doanh nghiệp - Chuyển đổi số; Ban Kỹ thuật - CNS/IT/Môi trường</x:v>
      </x:c>
      <x:c r="H433" s="14" t="str"/>
      <x:c r="I433" s="58" t="str"/>
      <x:c r="J433" s="58" t="str"/>
      <x:c r="K433" s="14" t="str"/>
      <x:c r="L433" s="14" t="str">
        <x:v>Chưa có</x:v>
      </x:c>
      <x:c r="M433" s="14" t="str">
        <x:v>Theo dõi và cập nhật link/chỉ dẫn hồ sơ sau khi có bằng chứng.</x:v>
      </x:c>
    </x:row>
    <x:row r="434">
      <x:c r="A434" s="14" t="str">
        <x:v>EVID-0433</x:v>
      </x:c>
      <x:c r="B434" s="14" t="str">
        <x:v>VATM-0433</x:v>
      </x:c>
      <x:c r="C434" s="14" t="str">
        <x:v>An ninh hàng không</x:v>
      </x:c>
      <x:c r="D434" s="14" t="str">
        <x:v>Ứng phó sự cố/diễn tập ANHK</x:v>
      </x:c>
      <x:c r="E434" s="14" t="str">
        <x:v>Playbook, biên bản diễn tập cyber, log sự cố, báo cáo RCA</x:v>
      </x:c>
      <x:c r="F434" s="14" t="str">
        <x:v>Báo cáo</x:v>
      </x:c>
      <x:c r="G434" s="14" t="str">
        <x:v>Ban An ninh hàng không; Ban Kế hoạch doanh nghiệp - Chuyển đổi số; Ban Kỹ thuật - CNS/IT/Môi trường</x:v>
      </x:c>
      <x:c r="H434" s="14" t="str"/>
      <x:c r="I434" s="58" t="str"/>
      <x:c r="J434" s="58" t="str"/>
      <x:c r="K434" s="14" t="str"/>
      <x:c r="L434" s="14" t="str">
        <x:v>Chưa có</x:v>
      </x:c>
      <x:c r="M434" s="14" t="str">
        <x:v>Theo dõi và cập nhật link/chỉ dẫn hồ sơ sau khi có bằng chứng.</x:v>
      </x:c>
    </x:row>
    <x:row r="435">
      <x:c r="A435" s="14" t="str">
        <x:v>EVID-0434</x:v>
      </x:c>
      <x:c r="B435" s="14" t="str">
        <x:v>VATM-0434</x:v>
      </x:c>
      <x:c r="C435" s="14" t="str">
        <x:v>An ninh hàng không</x:v>
      </x:c>
      <x:c r="D435" s="14" t="str">
        <x:v>Khu vực hạn chế/kiểm soát ra vào</x:v>
      </x:c>
      <x:c r="E435" s="14" t="str">
        <x:v>Sơ đồ camera, log xuất dữ liệu, biên bản kiểm tra hình ảnh</x:v>
      </x:c>
      <x:c r="F435" s="14" t="str">
        <x:v>Biên bản/nhật ký/log</x:v>
      </x:c>
      <x:c r="G435" s="14" t="str">
        <x:v>Ban An ninh hàng không; Ban Kế hoạch doanh nghiệp - Chuyển đổi số; Ban Kỹ thuật - CNS/IT/Môi trường</x:v>
      </x:c>
      <x:c r="H435" s="14" t="str"/>
      <x:c r="I435" s="58" t="str"/>
      <x:c r="J435" s="58" t="str"/>
      <x:c r="K435" s="14" t="str"/>
      <x:c r="L435" s="14" t="str">
        <x:v>Chưa có</x:v>
      </x:c>
      <x:c r="M435" s="14" t="str">
        <x:v>Theo dõi và cập nhật link/chỉ dẫn hồ sơ sau khi có bằng chứng.</x:v>
      </x:c>
    </x:row>
    <x:row r="436">
      <x:c r="A436" s="14" t="str">
        <x:v>EVID-0435</x:v>
      </x:c>
      <x:c r="B436" s="14" t="str">
        <x:v>VATM-0435</x:v>
      </x:c>
      <x:c r="C436" s="14" t="str">
        <x:v>An ninh hàng không</x:v>
      </x:c>
      <x:c r="D436" s="14" t="str">
        <x:v>Khu vực hạn chế/kiểm soát ra vào</x:v>
      </x:c>
      <x:c r="E436" s="14" t="str">
        <x:v>Hồ sơ nhà thầu, cam kết an ninh, nhật ký giám sát, thẻ ra vào</x:v>
      </x:c>
      <x:c r="F436" s="14" t="str">
        <x:v>Biên bản/nhật ký/log</x:v>
      </x:c>
      <x:c r="G436" s="14" t="str">
        <x:v>Ban An ninh hàng không; Các Công ty Quản lý bay khu vực Bắc/Trung/Nam</x:v>
      </x:c>
      <x:c r="H436" s="14" t="str"/>
      <x:c r="I436" s="58" t="str"/>
      <x:c r="J436" s="58" t="str"/>
      <x:c r="K436" s="14" t="str"/>
      <x:c r="L436" s="14" t="str">
        <x:v>Chưa có</x:v>
      </x:c>
      <x:c r="M436" s="14" t="str">
        <x:v>Theo dõi và cập nhật link/chỉ dẫn hồ sơ sau khi có bằng chứng.</x:v>
      </x:c>
    </x:row>
    <x:row r="437">
      <x:c r="A437" s="14" t="str">
        <x:v>EVID-0436</x:v>
      </x:c>
      <x:c r="B437" s="14" t="str">
        <x:v>VATM-0436</x:v>
      </x:c>
      <x:c r="C437" s="14" t="str">
        <x:v>An ninh hàng không</x:v>
      </x:c>
      <x:c r="D437" s="14" t="str">
        <x:v>Khu vực hạn chế/kiểm soát ra vào</x:v>
      </x:c>
      <x:c r="E437" s="14" t="str">
        <x:v>Hồ sơ đào tạo, bài kiểm tra, danh sách đạt</x:v>
      </x:c>
      <x:c r="F437" s="14" t="str">
        <x:v>Báo cáo</x:v>
      </x:c>
      <x:c r="G437" s="14" t="str">
        <x:v>Ban An ninh hàng không</x:v>
      </x:c>
      <x:c r="H437" s="14" t="str"/>
      <x:c r="I437" s="58" t="str"/>
      <x:c r="J437" s="58" t="str"/>
      <x:c r="K437" s="14" t="str"/>
      <x:c r="L437" s="14" t="str">
        <x:v>Chưa có</x:v>
      </x:c>
      <x:c r="M437" s="14" t="str">
        <x:v>Theo dõi và cập nhật link/chỉ dẫn hồ sơ sau khi có bằng chứng.</x:v>
      </x:c>
    </x:row>
    <x:row r="438">
      <x:c r="A438" s="14" t="str">
        <x:v>EVID-0437</x:v>
      </x:c>
      <x:c r="B438" s="14" t="str">
        <x:v>VATM-0437</x:v>
      </x:c>
      <x:c r="C438" s="14" t="str">
        <x:v>An ninh hàng không</x:v>
      </x:c>
      <x:c r="D438" s="14" t="str">
        <x:v>Ứng phó sự cố/diễn tập ANHK</x:v>
      </x:c>
      <x:c r="E438" s="14" t="str">
        <x:v>Biên bản niêm phong dữ liệu, bản sao log, phiếu bàn giao chứng cứ</x:v>
      </x:c>
      <x:c r="F438" s="14" t="str">
        <x:v>Biên bản/nhật ký/log</x:v>
      </x:c>
      <x:c r="G438" s="14" t="str">
        <x:v>Ban An ninh hàng không; Ban Không lưu; Ban Kỹ thuật - CNS/IT/Môi trường</x:v>
      </x:c>
      <x:c r="H438" s="14" t="str"/>
      <x:c r="I438" s="58" t="str"/>
      <x:c r="J438" s="58" t="str"/>
      <x:c r="K438" s="14" t="str"/>
      <x:c r="L438" s="14" t="str">
        <x:v>Chưa có</x:v>
      </x:c>
      <x:c r="M438" s="14" t="str">
        <x:v>Theo dõi và cập nhật link/chỉ dẫn hồ sơ sau khi có bằng chứng.</x:v>
      </x:c>
    </x:row>
    <x:row r="439">
      <x:c r="A439" s="14" t="str">
        <x:v>EVID-0438</x:v>
      </x:c>
      <x:c r="B439" s="14" t="str">
        <x:v>VATM-0438</x:v>
      </x:c>
      <x:c r="C439" s="14" t="str">
        <x:v>An ninh hàng không</x:v>
      </x:c>
      <x:c r="D439" s="14" t="str">
        <x:v>Khu vực hạn chế/kiểm soát ra vào</x:v>
      </x:c>
      <x:c r="E439" s="14" t="str">
        <x:v>Log truy cập, danh mục thông tin hạn chế, hồ sơ cấp quyền</x:v>
      </x:c>
      <x:c r="F439" s="14" t="str">
        <x:v>Biên bản/nhật ký/log</x:v>
      </x:c>
      <x:c r="G439" s="14" t="str">
        <x:v>Ban An ninh hàng không; Ban Kế hoạch doanh nghiệp - Chuyển đổi số; Ban Không lưu; Ban Kỹ thuật - CNS/IT/Môi trường; Trung tâm Thông báo tin tức hàng không</x:v>
      </x:c>
      <x:c r="H439" s="14" t="str"/>
      <x:c r="I439" s="58" t="str"/>
      <x:c r="J439" s="58" t="str"/>
      <x:c r="K439" s="14" t="str"/>
      <x:c r="L439" s="14" t="str">
        <x:v>Chưa có</x:v>
      </x:c>
      <x:c r="M439" s="14" t="str">
        <x:v>Theo dõi và cập nhật link/chỉ dẫn hồ sơ sau khi có bằng chứng.</x:v>
      </x:c>
    </x:row>
    <x:row r="440">
      <x:c r="A440" s="14" t="str">
        <x:v>EVID-0439</x:v>
      </x:c>
      <x:c r="B440" s="14" t="str">
        <x:v>VATM-0439</x:v>
      </x:c>
      <x:c r="C440" s="14" t="str">
        <x:v>An ninh hàng không</x:v>
      </x:c>
      <x:c r="D440" s="14" t="str">
        <x:v>Khu vực hạn chế/kiểm soát ra vào</x:v>
      </x:c>
      <x:c r="E440" s="14" t="str">
        <x:v>Báo cáo sau diễn tập, CAPA tracker, biên bản nghiệm thu khắc phục</x:v>
      </x:c>
      <x:c r="F440" s="14" t="str">
        <x:v>Báo cáo</x:v>
      </x:c>
      <x:c r="G440" s="14" t="str">
        <x:v>Ban An ninh hàng không</x:v>
      </x:c>
      <x:c r="H440" s="14" t="str"/>
      <x:c r="I440" s="58" t="str"/>
      <x:c r="J440" s="58" t="str"/>
      <x:c r="K440" s="14" t="str"/>
      <x:c r="L440" s="14" t="str">
        <x:v>Chưa có</x:v>
      </x:c>
      <x:c r="M440" s="14" t="str">
        <x:v>Theo dõi và cập nhật link/chỉ dẫn hồ sơ sau khi có bằng chứng.</x:v>
      </x:c>
    </x:row>
    <x:row r="441">
      <x:c r="A441" s="14" t="str">
        <x:v>EVID-0440</x:v>
      </x:c>
      <x:c r="B441" s="14" t="str">
        <x:v>VATM-0440</x:v>
      </x:c>
      <x:c r="C441" s="14" t="str">
        <x:v>An ninh hàng không</x:v>
      </x:c>
      <x:c r="D441" s="14" t="str">
        <x:v>An ninh hệ thống CNS/ATM/CNTT</x:v>
      </x:c>
      <x:c r="E441" s="14" t="str">
        <x:v>Biên bản kiểm tra nội bộ, CAPA, báo cáo TGĐ</x:v>
      </x:c>
      <x:c r="F441" s="14" t="str">
        <x:v>Báo cáo</x:v>
      </x:c>
      <x:c r="G441" s="14" t="str">
        <x:v>Ban An ninh hàng không</x:v>
      </x:c>
      <x:c r="H441" s="14" t="str"/>
      <x:c r="I441" s="58" t="str"/>
      <x:c r="J441" s="58" t="str"/>
      <x:c r="K441" s="14" t="str"/>
      <x:c r="L441" s="14" t="str">
        <x:v>Chưa có</x:v>
      </x:c>
      <x:c r="M441" s="14" t="str">
        <x:v>Theo dõi và cập nhật link/chỉ dẫn hồ sơ sau khi có bằng chứng.</x:v>
      </x:c>
    </x:row>
    <x:row r="442">
      <x:c r="A442" s="14" t="str">
        <x:v>EVID-0441</x:v>
      </x:c>
      <x:c r="B442" s="14" t="str">
        <x:v>VATM-0441</x:v>
      </x:c>
      <x:c r="C442" s="14" t="str">
        <x:v>An ninh hàng không</x:v>
      </x:c>
      <x:c r="D442" s="14" t="str">
        <x:v>An ninh hệ thống CNS/ATM/CNTT</x:v>
      </x:c>
      <x:c r="E442" s="14" t="str">
        <x:v>Công văn, email chính thức, log xử lý yêu cầu</x:v>
      </x:c>
      <x:c r="F442" s="14" t="str">
        <x:v>Biên bản/nhật ký/log</x:v>
      </x:c>
      <x:c r="G442" s="14" t="str">
        <x:v>Ban An ninh hàng không; Văn phòng - Pháp chế</x:v>
      </x:c>
      <x:c r="H442" s="14" t="str"/>
      <x:c r="I442" s="58" t="str"/>
      <x:c r="J442" s="58" t="str"/>
      <x:c r="K442" s="14" t="str"/>
      <x:c r="L442" s="14" t="str">
        <x:v>Chưa có</x:v>
      </x:c>
      <x:c r="M442" s="14" t="str">
        <x:v>Theo dõi và cập nhật link/chỉ dẫn hồ sơ sau khi có bằng chứng.</x:v>
      </x:c>
    </x:row>
    <x:row r="443">
      <x:c r="A443" s="14" t="str">
        <x:v>EVID-0442</x:v>
      </x:c>
      <x:c r="B443" s="14" t="str">
        <x:v>VATM-0442</x:v>
      </x:c>
      <x:c r="C443" s="14" t="str">
        <x:v>An ninh hàng không</x:v>
      </x:c>
      <x:c r="D443" s="14" t="str">
        <x:v>Quản trị, phối hợp và giám sát ANHK</x:v>
      </x:c>
      <x:c r="E443" s="14" t="str">
        <x:v>Yêu cầu thiết kế, hồ sơ nghiệm thu, biên bản đánh giá rủi ro</x:v>
      </x:c>
      <x:c r="F443" s="14" t="str">
        <x:v>Biên bản/nhật ký/log</x:v>
      </x:c>
      <x:c r="G443" s="14" t="str">
        <x:v>Ban An ninh hàng không; Ban Kỹ thuật - CNS/IT/Môi trường</x:v>
      </x:c>
      <x:c r="H443" s="14" t="str"/>
      <x:c r="I443" s="58" t="str"/>
      <x:c r="J443" s="58" t="str"/>
      <x:c r="K443" s="14" t="str"/>
      <x:c r="L443" s="14" t="str">
        <x:v>Chưa có</x:v>
      </x:c>
      <x:c r="M443" s="14" t="str">
        <x:v>Theo dõi và cập nhật link/chỉ dẫn hồ sơ sau khi có bằng chứng.</x:v>
      </x:c>
    </x:row>
    <x:row r="444">
      <x:c r="A444" s="14" t="str">
        <x:v>EVID-0443</x:v>
      </x:c>
      <x:c r="B444" s="14" t="str">
        <x:v>VATM-0443</x:v>
      </x:c>
      <x:c r="C444" s="14" t="str">
        <x:v>An ninh hàng không</x:v>
      </x:c>
      <x:c r="D444" s="14" t="str">
        <x:v>An ninh hệ thống CNS/ATM/CNTT</x:v>
      </x:c>
      <x:c r="E444" s="14" t="str">
        <x:v>Sổ tiếp nhận báo cáo, dashboard, báo cáo phân tích xu hướng</x:v>
      </x:c>
      <x:c r="F444" s="14" t="str">
        <x:v>Báo cáo</x:v>
      </x:c>
      <x:c r="G444" s="14" t="str">
        <x:v>Ban An ninh hàng không; Ban An toàn - Chất lượng</x:v>
      </x:c>
      <x:c r="H444" s="14" t="str"/>
      <x:c r="I444" s="58" t="str"/>
      <x:c r="J444" s="58" t="str"/>
      <x:c r="K444" s="14" t="str"/>
      <x:c r="L444" s="14" t="str">
        <x:v>Chưa có</x:v>
      </x:c>
      <x:c r="M444" s="14" t="str">
        <x:v>Theo dõi và cập nhật link/chỉ dẫn hồ sơ sau khi có bằng chứng.</x:v>
      </x:c>
    </x:row>
    <x:row r="445">
      <x:c r="A445" s="14" t="str">
        <x:v>EVID-0444</x:v>
      </x:c>
      <x:c r="B445" s="14" t="str">
        <x:v>VATM-0444</x:v>
      </x:c>
      <x:c r="C445" s="14" t="str">
        <x:v>An ninh hàng không</x:v>
      </x:c>
      <x:c r="D445" s="14" t="str">
        <x:v>An ninh hệ thống CNS/ATM/CNTT</x:v>
      </x:c>
      <x:c r="E445" s="14" t="str">
        <x:v>Biên bản họp, văn bản góp ý, báo cáo kỹ thuật</x:v>
      </x:c>
      <x:c r="F445" s="14" t="str">
        <x:v>Báo cáo</x:v>
      </x:c>
      <x:c r="G445" s="14" t="str">
        <x:v>Ban An ninh hàng không; Văn phòng - Pháp chế; Trung tâm Thông báo tin tức hàng không</x:v>
      </x:c>
      <x:c r="H445" s="14" t="str"/>
      <x:c r="I445" s="58" t="str"/>
      <x:c r="J445" s="58" t="str"/>
      <x:c r="K445" s="14" t="str"/>
      <x:c r="L445" s="14" t="str">
        <x:v>Chưa có</x:v>
      </x:c>
      <x:c r="M445" s="14" t="str">
        <x:v>Theo dõi và cập nhật link/chỉ dẫn hồ sơ sau khi có bằng chứng.</x:v>
      </x:c>
    </x:row>
    <x:row r="446">
      <x:c r="A446" s="14" t="str">
        <x:v>EVID-0445</x:v>
      </x:c>
      <x:c r="B446" s="14" t="str">
        <x:v>VATM-0445</x:v>
      </x:c>
      <x:c r="C446" s="14" t="str">
        <x:v>An ninh hàng không</x:v>
      </x:c>
      <x:c r="D446" s="14" t="str">
        <x:v>Ứng phó sự cố/diễn tập ANHK</x:v>
      </x:c>
      <x:c r="E446" s="14" t="str">
        <x:v>Quy chế phối hợp, biên bản kiểm tra, danh bạ trực</x:v>
      </x:c>
      <x:c r="F446" s="14" t="str">
        <x:v>Quy trình/SOP</x:v>
      </x:c>
      <x:c r="G446" s="14" t="str">
        <x:v>Ban An ninh hàng không; Ban Kỹ thuật - CNS/IT/Môi trường; Các Công ty Quản lý bay khu vực Bắc/Trung/Nam</x:v>
      </x:c>
      <x:c r="H446" s="14" t="str"/>
      <x:c r="I446" s="58" t="str"/>
      <x:c r="J446" s="58" t="str"/>
      <x:c r="K446" s="14" t="str"/>
      <x:c r="L446" s="14" t="str">
        <x:v>Chưa có</x:v>
      </x:c>
      <x:c r="M446" s="14" t="str">
        <x:v>Theo dõi và cập nhật link/chỉ dẫn hồ sơ sau khi có bằng chứng.</x:v>
      </x:c>
    </x:row>
    <x:row r="447">
      <x:c r="A447" s="14" t="str">
        <x:v>EVID-0446</x:v>
      </x:c>
      <x:c r="B447" s="14" t="str">
        <x:v>VATM-0446</x:v>
      </x:c>
      <x:c r="C447" s="14" t="str">
        <x:v>An ninh hàng không</x:v>
      </x:c>
      <x:c r="D447" s="14" t="str">
        <x:v>Khu vực hạn chế/kiểm soát ra vào</x:v>
      </x:c>
      <x:c r="E447" s="14" t="str">
        <x:v>Hợp đồng, hồ sơ nhân sự bảo vệ, biên bản huấn luyện</x:v>
      </x:c>
      <x:c r="F447" s="14" t="str">
        <x:v>Biên bản/nhật ký/log</x:v>
      </x:c>
      <x:c r="G447" s="14" t="str">
        <x:v>Ban An ninh hàng không</x:v>
      </x:c>
      <x:c r="H447" s="14" t="str"/>
      <x:c r="I447" s="58" t="str"/>
      <x:c r="J447" s="58" t="str"/>
      <x:c r="K447" s="14" t="str"/>
      <x:c r="L447" s="14" t="str">
        <x:v>Chưa có</x:v>
      </x:c>
      <x:c r="M447" s="14" t="str">
        <x:v>Theo dõi và cập nhật link/chỉ dẫn hồ sơ sau khi có bằng chứng.</x:v>
      </x:c>
    </x:row>
    <x:row r="448">
      <x:c r="A448" s="14" t="str">
        <x:v>EVID-0447</x:v>
      </x:c>
      <x:c r="B448" s="14" t="str">
        <x:v>VATM-0447</x:v>
      </x:c>
      <x:c r="C448" s="14" t="str">
        <x:v>An ninh hàng không</x:v>
      </x:c>
      <x:c r="D448" s="14" t="str">
        <x:v>Khu vực hạn chế/kiểm soát ra vào</x:v>
      </x:c>
      <x:c r="E448" s="14" t="str">
        <x:v>Biên bản vụ việc, camera, nhật ký ca trực, bàn giao đối tượng</x:v>
      </x:c>
      <x:c r="F448" s="14" t="str">
        <x:v>Biên bản/nhật ký/log</x:v>
      </x:c>
      <x:c r="G448" s="14" t="str">
        <x:v>Ban An ninh hàng không; Văn phòng - Pháp chế</x:v>
      </x:c>
      <x:c r="H448" s="14" t="str"/>
      <x:c r="I448" s="58" t="str"/>
      <x:c r="J448" s="58" t="str"/>
      <x:c r="K448" s="14" t="str"/>
      <x:c r="L448" s="14" t="str">
        <x:v>Chưa có</x:v>
      </x:c>
      <x:c r="M448" s="14" t="str">
        <x:v>Theo dõi và cập nhật link/chỉ dẫn hồ sơ sau khi có bằng chứng.</x:v>
      </x:c>
    </x:row>
    <x:row r="449">
      <x:c r="A449" s="14" t="str">
        <x:v>EVID-0448</x:v>
      </x:c>
      <x:c r="B449" s="14" t="str">
        <x:v>VATM-0448</x:v>
      </x:c>
      <x:c r="C449" s="14" t="str">
        <x:v>An ninh hàng không</x:v>
      </x:c>
      <x:c r="D449" s="14" t="str">
        <x:v>Ứng phó sự cố/diễn tập ANHK</x:v>
      </x:c>
      <x:c r="E449" s="14" t="str">
        <x:v>Báo cáo phát hiện UAV, nhật ký ATC, NOTAM, biên bản phối hợp</x:v>
      </x:c>
      <x:c r="F449" s="14" t="str">
        <x:v>Báo cáo</x:v>
      </x:c>
      <x:c r="G449" s="14" t="str">
        <x:v>Ban An ninh hàng không; Ban Kỹ thuật - CNS/IT/Môi trường</x:v>
      </x:c>
      <x:c r="H449" s="14" t="str"/>
      <x:c r="I449" s="58" t="str"/>
      <x:c r="J449" s="58" t="str"/>
      <x:c r="K449" s="14" t="str"/>
      <x:c r="L449" s="14" t="str">
        <x:v>Chưa có</x:v>
      </x:c>
      <x:c r="M449" s="14" t="str">
        <x:v>Theo dõi và cập nhật link/chỉ dẫn hồ sơ sau khi có bằng chứng.</x:v>
      </x:c>
    </x:row>
    <x:row r="450">
      <x:c r="A450" s="14" t="str">
        <x:v>EVID-0449</x:v>
      </x:c>
      <x:c r="B450" s="14" t="str">
        <x:v>VATM-0449</x:v>
      </x:c>
      <x:c r="C450" s="14" t="str">
        <x:v>An ninh hàng không</x:v>
      </x:c>
      <x:c r="D450" s="14" t="str">
        <x:v>Ứng phó sự cố/diễn tập ANHK</x:v>
      </x:c>
      <x:c r="E450" s="14" t="str">
        <x:v>Kế hoạch contingency, biên bản thử, báo cáo khôi phục</x:v>
      </x:c>
      <x:c r="F450" s="14" t="str">
        <x:v>Quyết định/Kế hoạch</x:v>
      </x:c>
      <x:c r="G450" s="14" t="str">
        <x:v>Ban An ninh hàng không; Ban Kỹ thuật - CNS/IT/Môi trường</x:v>
      </x:c>
      <x:c r="H450" s="14" t="str"/>
      <x:c r="I450" s="58" t="str"/>
      <x:c r="J450" s="58" t="str"/>
      <x:c r="K450" s="14" t="str"/>
      <x:c r="L450" s="14" t="str">
        <x:v>Chưa có</x:v>
      </x:c>
      <x:c r="M450" s="14" t="str">
        <x:v>Theo dõi và cập nhật link/chỉ dẫn hồ sơ sau khi có bằng chứng.</x:v>
      </x:c>
    </x:row>
    <x:row r="451">
      <x:c r="A451" s="14" t="str">
        <x:v>EVID-0450</x:v>
      </x:c>
      <x:c r="B451" s="14" t="str">
        <x:v>VATM-0450</x:v>
      </x:c>
      <x:c r="C451" s="14" t="str">
        <x:v>An ninh hàng không</x:v>
      </x:c>
      <x:c r="D451" s="14" t="str">
        <x:v>Ứng phó sự cố/diễn tập ANHK</x:v>
      </x:c>
      <x:c r="E451" s="14" t="str">
        <x:v>Biên bản diễn tập, log phát hiện, CAPA</x:v>
      </x:c>
      <x:c r="F451" s="14" t="str">
        <x:v>Biên bản/nhật ký/log</x:v>
      </x:c>
      <x:c r="G451" s="14" t="str">
        <x:v>Ban An ninh hàng không; Ban Kế hoạch doanh nghiệp - Chuyển đổi số; Ban Kỹ thuật - CNS/IT/Môi trường</x:v>
      </x:c>
      <x:c r="H451" s="14" t="str"/>
      <x:c r="I451" s="58" t="str"/>
      <x:c r="J451" s="58" t="str"/>
      <x:c r="K451" s="14" t="str"/>
      <x:c r="L451" s="14" t="str">
        <x:v>Chưa có</x:v>
      </x:c>
      <x:c r="M451" s="14" t="str">
        <x:v>Theo dõi và cập nhật link/chỉ dẫn hồ sơ sau khi có bằng chứng.</x:v>
      </x:c>
    </x:row>
    <x:row r="452">
      <x:c r="A452" s="14" t="str">
        <x:v>EVID-0451</x:v>
      </x:c>
      <x:c r="B452" s="14" t="str">
        <x:v>VATM-0451</x:v>
      </x:c>
      <x:c r="C452" s="14" t="str">
        <x:v>An ninh hàng không</x:v>
      </x:c>
      <x:c r="D452" s="14" t="str">
        <x:v>An ninh hệ thống CNS/ATM/CNTT</x:v>
      </x:c>
      <x:c r="E452" s="14" t="str">
        <x:v>Danh mục vị trí nhạy cảm, hồ sơ kiểm tra, cam kết</x:v>
      </x:c>
      <x:c r="F452" s="14" t="str">
        <x:v>Dữ liệu hệ thống</x:v>
      </x:c>
      <x:c r="G452" s="14" t="str">
        <x:v>Ban An ninh hàng không</x:v>
      </x:c>
      <x:c r="H452" s="14" t="str"/>
      <x:c r="I452" s="58" t="str"/>
      <x:c r="J452" s="58" t="str"/>
      <x:c r="K452" s="14" t="str"/>
      <x:c r="L452" s="14" t="str">
        <x:v>Chưa có</x:v>
      </x:c>
      <x:c r="M452" s="14" t="str">
        <x:v>Theo dõi và cập nhật link/chỉ dẫn hồ sơ sau khi có bằng chứng.</x:v>
      </x:c>
    </x:row>
    <x:row r="453">
      <x:c r="A453" s="14" t="str">
        <x:v>EVID-0452</x:v>
      </x:c>
      <x:c r="B453" s="14" t="str">
        <x:v>VATM-0452</x:v>
      </x:c>
      <x:c r="C453" s="14" t="str">
        <x:v>An ninh hàng không</x:v>
      </x:c>
      <x:c r="D453" s="14" t="str">
        <x:v>Khu vực hạn chế/kiểm soát ra vào</x:v>
      </x:c>
      <x:c r="E453" s="14" t="str">
        <x:v>Sơ đồ zoning, quy định ra vào, biên bản kiểm tra</x:v>
      </x:c>
      <x:c r="F453" s="14" t="str">
        <x:v>Biên bản/nhật ký/log</x:v>
      </x:c>
      <x:c r="G453" s="14" t="str">
        <x:v>Ban An ninh hàng không; Các Công ty Quản lý bay khu vực Bắc/Trung/Nam</x:v>
      </x:c>
      <x:c r="H453" s="14" t="str"/>
      <x:c r="I453" s="58" t="str"/>
      <x:c r="J453" s="58" t="str"/>
      <x:c r="K453" s="14" t="str"/>
      <x:c r="L453" s="14" t="str">
        <x:v>Chưa có</x:v>
      </x:c>
      <x:c r="M453" s="14" t="str">
        <x:v>Theo dõi và cập nhật link/chỉ dẫn hồ sơ sau khi có bằng chứng.</x:v>
      </x:c>
    </x:row>
    <x:row r="454">
      <x:c r="A454" s="14" t="str">
        <x:v>EVID-0453</x:v>
      </x:c>
      <x:c r="B454" s="14" t="str">
        <x:v>VATM-0453</x:v>
      </x:c>
      <x:c r="C454" s="14" t="str">
        <x:v>An ninh hàng không</x:v>
      </x:c>
      <x:c r="D454" s="14" t="str">
        <x:v>Khu vực hạn chế/kiểm soát ra vào</x:v>
      </x:c>
      <x:c r="E454" s="14" t="str">
        <x:v>Báo cáo RCA, biên bản giảng bình, CAPA</x:v>
      </x:c>
      <x:c r="F454" s="14" t="str">
        <x:v>Báo cáo</x:v>
      </x:c>
      <x:c r="G454" s="14" t="str">
        <x:v>Ban An ninh hàng không; Ban An toàn - Chất lượng</x:v>
      </x:c>
      <x:c r="H454" s="14" t="str"/>
      <x:c r="I454" s="58" t="str"/>
      <x:c r="J454" s="58" t="str"/>
      <x:c r="K454" s="14" t="str"/>
      <x:c r="L454" s="14" t="str">
        <x:v>Chưa có</x:v>
      </x:c>
      <x:c r="M454" s="14" t="str">
        <x:v>Theo dõi và cập nhật link/chỉ dẫn hồ sơ sau khi có bằng chứng.</x:v>
      </x:c>
    </x:row>
    <x:row r="455">
      <x:c r="A455" s="14" t="str">
        <x:v>EVID-0454</x:v>
      </x:c>
      <x:c r="B455" s="14" t="str">
        <x:v>VATM-0454</x:v>
      </x:c>
      <x:c r="C455" s="14" t="str">
        <x:v>An ninh hàng không</x:v>
      </x:c>
      <x:c r="D455" s="14" t="str">
        <x:v>Quản trị, phối hợp và giám sát ANHK</x:v>
      </x:c>
      <x:c r="E455" s="14" t="str">
        <x:v>Bộ hồ sơ sẵn sàng kiểm tra, log bàn giao ca, biên bản kiểm tra thử</x:v>
      </x:c>
      <x:c r="F455" s="14" t="str">
        <x:v>Biên bản/nhật ký/log</x:v>
      </x:c>
      <x:c r="G455" s="14" t="str">
        <x:v>Ban An ninh hàng không; Các Công ty Quản lý bay khu vực Bắc/Trung/Nam</x:v>
      </x:c>
      <x:c r="H455" s="14" t="str"/>
      <x:c r="I455" s="58" t="str"/>
      <x:c r="J455" s="58" t="str"/>
      <x:c r="K455" s="14" t="str"/>
      <x:c r="L455" s="14" t="str">
        <x:v>Chưa có</x:v>
      </x:c>
      <x:c r="M455" s="14" t="str">
        <x:v>Theo dõi và cập nhật link/chỉ dẫn hồ sơ sau khi có bằng chứng.</x:v>
      </x:c>
    </x:row>
    <x:row r="456">
      <x:c r="A456" s="14" t="str">
        <x:v>EVID-0455</x:v>
      </x:c>
      <x:c r="B456" s="14" t="str">
        <x:v>VATM-0455</x:v>
      </x:c>
      <x:c r="C456" s="14" t="str">
        <x:v>An ninh hàng không</x:v>
      </x:c>
      <x:c r="D456" s="14" t="str">
        <x:v>Khu vực hạn chế/kiểm soát ra vào</x:v>
      </x:c>
      <x:c r="E456" s="14" t="str">
        <x:v>Lịch bảo trì, phiếu kiểm tra, biên bản sửa chữa</x:v>
      </x:c>
      <x:c r="F456" s="14" t="str">
        <x:v>Biên bản/nhật ký/log</x:v>
      </x:c>
      <x:c r="G456" s="14" t="str">
        <x:v>Ban An ninh hàng không; Ban Kỹ thuật - CNS/IT/Môi trường</x:v>
      </x:c>
      <x:c r="H456" s="14" t="str"/>
      <x:c r="I456" s="58" t="str"/>
      <x:c r="J456" s="58" t="str"/>
      <x:c r="K456" s="14" t="str"/>
      <x:c r="L456" s="14" t="str">
        <x:v>Chưa có</x:v>
      </x:c>
      <x:c r="M456" s="14" t="str">
        <x:v>Theo dõi và cập nhật link/chỉ dẫn hồ sơ sau khi có bằng chứng.</x:v>
      </x:c>
    </x:row>
    <x:row r="457">
      <x:c r="A457" s="14" t="str">
        <x:v>EVID-0456</x:v>
      </x:c>
      <x:c r="B457" s="14" t="str">
        <x:v>VATM-0456</x:v>
      </x:c>
      <x:c r="C457" s="14" t="str">
        <x:v>An ninh hàng không</x:v>
      </x:c>
      <x:c r="D457" s="14" t="str">
        <x:v>An ninh hệ thống CNS/ATM/CNTT</x:v>
      </x:c>
      <x:c r="E457" s="14" t="str">
        <x:v>Dashboard, báo cáo lãnh đạo, biên bản giao ban</x:v>
      </x:c>
      <x:c r="F457" s="14" t="str">
        <x:v>Báo cáo</x:v>
      </x:c>
      <x:c r="G457" s="14" t="str">
        <x:v>Ban An ninh hàng không; Văn phòng - Pháp chế</x:v>
      </x:c>
      <x:c r="H457" s="14" t="str"/>
      <x:c r="I457" s="58" t="str"/>
      <x:c r="J457" s="58" t="str"/>
      <x:c r="K457" s="14" t="str"/>
      <x:c r="L457" s="14" t="str">
        <x:v>Chưa có</x:v>
      </x:c>
      <x:c r="M457" s="14" t="str">
        <x:v>Theo dõi và cập nhật link/chỉ dẫn hồ sơ sau khi có bằng chứng.</x:v>
      </x:c>
    </x:row>
    <x:row r="458">
      <x:c r="A458" s="14" t="str">
        <x:v>EVID-0457</x:v>
      </x:c>
      <x:c r="B458" s="14" t="str">
        <x:v>VATM-0457</x:v>
      </x:c>
      <x:c r="C458" s="14" t="str">
        <x:v>An ninh hàng không</x:v>
      </x:c>
      <x:c r="D458" s="14" t="str">
        <x:v>Khu vực hạn chế/kiểm soát ra vào</x:v>
      </x:c>
      <x:c r="E458" s="14" t="str">
        <x:v>Quy chế phối hợp địa phương, sơ đồ ra vào, biên bản hiệp đồng</x:v>
      </x:c>
      <x:c r="F458" s="14" t="str">
        <x:v>Quy trình/SOP</x:v>
      </x:c>
      <x:c r="G458" s="14" t="str">
        <x:v>Ban An ninh hàng không; Các Công ty Quản lý bay khu vực Bắc/Trung/Nam</x:v>
      </x:c>
      <x:c r="H458" s="14" t="str"/>
      <x:c r="I458" s="58" t="str"/>
      <x:c r="J458" s="58" t="str"/>
      <x:c r="K458" s="14" t="str"/>
      <x:c r="L458" s="14" t="str">
        <x:v>Chưa có</x:v>
      </x:c>
      <x:c r="M458" s="14" t="str">
        <x:v>Theo dõi và cập nhật link/chỉ dẫn hồ sơ sau khi có bằng chứng.</x:v>
      </x:c>
    </x:row>
    <x:row r="459">
      <x:c r="A459" s="14" t="str">
        <x:v>EVID-0458</x:v>
      </x:c>
      <x:c r="B459" s="14" t="str">
        <x:v>VATM-0458</x:v>
      </x:c>
      <x:c r="C459" s="14" t="str">
        <x:v>An ninh hàng không</x:v>
      </x:c>
      <x:c r="D459" s="14" t="str">
        <x:v>Khu vực hạn chế/kiểm soát ra vào</x:v>
      </x:c>
      <x:c r="E459" s="14" t="str">
        <x:v>Hồ sơ bảo vệ trạm, biên bản tuần tra, hợp đồng bảo vệ, diễn tập</x:v>
      </x:c>
      <x:c r="F459" s="14" t="str">
        <x:v>Biên bản/nhật ký/log</x:v>
      </x:c>
      <x:c r="G459" s="14" t="str">
        <x:v>Ban An ninh hàng không; Ban Kỹ thuật - CNS/IT/Môi trường; Các Công ty Quản lý bay khu vực Bắc/Trung/Nam</x:v>
      </x:c>
      <x:c r="H459" s="14" t="str"/>
      <x:c r="I459" s="58" t="str"/>
      <x:c r="J459" s="58" t="str"/>
      <x:c r="K459" s="14" t="str"/>
      <x:c r="L459" s="14" t="str">
        <x:v>Chưa có</x:v>
      </x:c>
      <x:c r="M459" s="14" t="str">
        <x:v>Theo dõi và cập nhật link/chỉ dẫn hồ sơ sau khi có bằng chứng.</x:v>
      </x:c>
    </x:row>
    <x:row r="460">
      <x:c r="A460" s="14" t="str">
        <x:v>EVID-0459</x:v>
      </x:c>
      <x:c r="B460" s="14" t="str">
        <x:v>VATM-0459</x:v>
      </x:c>
      <x:c r="C460" s="14" t="str">
        <x:v>An ninh hàng không</x:v>
      </x:c>
      <x:c r="D460" s="14" t="str">
        <x:v>An ninh hệ thống CNS/ATM/CNTT</x:v>
      </x:c>
      <x:c r="E460" s="14" t="str">
        <x:v>Báo cáo đánh giá bảo mật, hợp đồng/thỏa thuận, log API</x:v>
      </x:c>
      <x:c r="F460" s="14" t="str">
        <x:v>Báo cáo</x:v>
      </x:c>
      <x:c r="G460" s="14" t="str">
        <x:v>Ban An ninh hàng không; Ban Kế hoạch doanh nghiệp - Chuyển đổi số; Ban Kỹ thuật - CNS/IT/Môi trường; Trung tâm Thông báo tin tức hàng không</x:v>
      </x:c>
      <x:c r="H460" s="14" t="str"/>
      <x:c r="I460" s="58" t="str"/>
      <x:c r="J460" s="58" t="str"/>
      <x:c r="K460" s="14" t="str"/>
      <x:c r="L460" s="14" t="str">
        <x:v>Chưa có</x:v>
      </x:c>
      <x:c r="M460" s="14" t="str">
        <x:v>Theo dõi và cập nhật link/chỉ dẫn hồ sơ sau khi có bằng chứng.</x:v>
      </x:c>
    </x:row>
    <x:row r="461">
      <x:c r="A461" s="14" t="str">
        <x:v>EVID-0460</x:v>
      </x:c>
      <x:c r="B461" s="14" t="str">
        <x:v>VATM-0460</x:v>
      </x:c>
      <x:c r="C461" s="14" t="str">
        <x:v>An ninh hàng không</x:v>
      </x:c>
      <x:c r="D461" s="14" t="str">
        <x:v>Chương trình/kế hoạch ANHK VATM</x:v>
      </x:c>
      <x:c r="E461" s="14" t="str">
        <x:v>Quyết định phân công, JD, sơ đồ tổ chức</x:v>
      </x:c>
      <x:c r="F461" s="14" t="str">
        <x:v>Khác</x:v>
      </x:c>
      <x:c r="G461" s="14" t="str">
        <x:v>Ban An ninh hàng không</x:v>
      </x:c>
      <x:c r="H461" s="14" t="str"/>
      <x:c r="I461" s="58" t="str"/>
      <x:c r="J461" s="58" t="str"/>
      <x:c r="K461" s="14" t="str"/>
      <x:c r="L461" s="14" t="str">
        <x:v>Chưa có</x:v>
      </x:c>
      <x:c r="M461" s="14" t="str">
        <x:v>Theo dõi và cập nhật link/chỉ dẫn hồ sơ sau khi có bằng chứng.</x:v>
      </x:c>
    </x:row>
    <x:row r="462">
      <x:c r="A462" s="14" t="str">
        <x:v>EVID-0461</x:v>
      </x:c>
      <x:c r="B462" s="14" t="str">
        <x:v>VATM-0461</x:v>
      </x:c>
      <x:c r="C462" s="14" t="str">
        <x:v>An ninh hàng không</x:v>
      </x:c>
      <x:c r="D462" s="14" t="str">
        <x:v>An ninh hệ thống CNS/ATM/CNTT</x:v>
      </x:c>
      <x:c r="E462" s="14" t="str">
        <x:v>Biên bản test liên lạc, danh bạ, cấu hình kênh dự phòng</x:v>
      </x:c>
      <x:c r="F462" s="14" t="str">
        <x:v>Biên bản/nhật ký/log</x:v>
      </x:c>
      <x:c r="G462" s="14" t="str">
        <x:v>Ban An ninh hàng không; Ban Kỹ thuật - CNS/IT/Môi trường</x:v>
      </x:c>
      <x:c r="H462" s="14" t="str"/>
      <x:c r="I462" s="58" t="str"/>
      <x:c r="J462" s="58" t="str"/>
      <x:c r="K462" s="14" t="str"/>
      <x:c r="L462" s="14" t="str">
        <x:v>Chưa có</x:v>
      </x:c>
      <x:c r="M462" s="14" t="str">
        <x:v>Theo dõi và cập nhật link/chỉ dẫn hồ sơ sau khi có bằng chứng.</x:v>
      </x:c>
    </x:row>
    <x:row r="463">
      <x:c r="A463" s="14" t="str">
        <x:v>EVID-0462</x:v>
      </x:c>
      <x:c r="B463" s="14" t="str">
        <x:v>VATM-0462</x:v>
      </x:c>
      <x:c r="C463" s="14" t="str">
        <x:v>An ninh hàng không</x:v>
      </x:c>
      <x:c r="D463" s="14" t="str">
        <x:v>Khu vực hạn chế/kiểm soát ra vào</x:v>
      </x:c>
      <x:c r="E463" s="14" t="str">
        <x:v>Checklist kiểm tra, ảnh hiện trường, CAPA</x:v>
      </x:c>
      <x:c r="F463" s="14" t="str">
        <x:v>Biểu mẫu/Checklist</x:v>
      </x:c>
      <x:c r="G463" s="14" t="str">
        <x:v>Ban An ninh hàng không; Ban Kế hoạch doanh nghiệp - Chuyển đổi số; Ban Kỹ thuật - CNS/IT/Môi trường</x:v>
      </x:c>
      <x:c r="H463" s="14" t="str"/>
      <x:c r="I463" s="58" t="str"/>
      <x:c r="J463" s="58" t="str"/>
      <x:c r="K463" s="14" t="str"/>
      <x:c r="L463" s="14" t="str">
        <x:v>Chưa có</x:v>
      </x:c>
      <x:c r="M463" s="14" t="str">
        <x:v>Theo dõi và cập nhật link/chỉ dẫn hồ sơ sau khi có bằng chứng.</x:v>
      </x:c>
    </x:row>
    <x:row r="464">
      <x:c r="A464" s="14" t="str">
        <x:v>EVID-0463</x:v>
      </x:c>
      <x:c r="B464" s="14" t="str">
        <x:v>VATM-0463</x:v>
      </x:c>
      <x:c r="C464" s="14" t="str">
        <x:v>An ninh hàng không</x:v>
      </x:c>
      <x:c r="D464" s="14" t="str">
        <x:v>Ứng phó sự cố/diễn tập ANHK</x:v>
      </x:c>
      <x:c r="E464" s="14" t="str">
        <x:v>Kế hoạch đào tạo, giáo án, hồ sơ cấp phép, báo cáo diễn tập</x:v>
      </x:c>
      <x:c r="F464" s="14" t="str">
        <x:v>Quyết định/Kế hoạch</x:v>
      </x:c>
      <x:c r="G464" s="14" t="str">
        <x:v>Ban An ninh hàng không</x:v>
      </x:c>
      <x:c r="H464" s="14" t="str"/>
      <x:c r="I464" s="58" t="str"/>
      <x:c r="J464" s="58" t="str"/>
      <x:c r="K464" s="14" t="str"/>
      <x:c r="L464" s="14" t="str">
        <x:v>Chưa có</x:v>
      </x:c>
      <x:c r="M464" s="14" t="str">
        <x:v>Theo dõi và cập nhật link/chỉ dẫn hồ sơ sau khi có bằng chứng.</x:v>
      </x:c>
    </x:row>
    <x:row r="465">
      <x:c r="A465" s="14" t="str">
        <x:v>EVID-0464</x:v>
      </x:c>
      <x:c r="B465" s="14" t="str">
        <x:v>VATM-0464</x:v>
      </x:c>
      <x:c r="C465" s="14" t="str">
        <x:v>An ninh hàng không</x:v>
      </x:c>
      <x:c r="D465" s="14" t="str">
        <x:v>Khu vực hạn chế/kiểm soát ra vào</x:v>
      </x:c>
      <x:c r="E465" s="14" t="str">
        <x:v>Quy chế, hợp đồng, mô tả công việc, đào tạo</x:v>
      </x:c>
      <x:c r="F465" s="14" t="str">
        <x:v>Quy trình/SOP</x:v>
      </x:c>
      <x:c r="G465" s="14" t="str">
        <x:v>Ban An ninh hàng không; Văn phòng - Pháp chế</x:v>
      </x:c>
      <x:c r="H465" s="14" t="str"/>
      <x:c r="I465" s="58" t="str"/>
      <x:c r="J465" s="58" t="str"/>
      <x:c r="K465" s="14" t="str"/>
      <x:c r="L465" s="14" t="str">
        <x:v>Chưa có</x:v>
      </x:c>
      <x:c r="M465" s="14" t="str">
        <x:v>Theo dõi và cập nhật link/chỉ dẫn hồ sơ sau khi có bằng chứng.</x:v>
      </x:c>
    </x:row>
    <x:row r="466">
      <x:c r="A466" s="14" t="str">
        <x:v>EVID-0465</x:v>
      </x:c>
      <x:c r="B466" s="14" t="str">
        <x:v>VATM-0465</x:v>
      </x:c>
      <x:c r="C466" s="14" t="str">
        <x:v>An ninh hàng không</x:v>
      </x:c>
      <x:c r="D466" s="14" t="str">
        <x:v>Khu vực hạn chế/kiểm soát ra vào</x:v>
      </x:c>
      <x:c r="E466" s="14" t="str">
        <x:v>Danh mục văn bản, quyết định sửa đổi, bản đối chiếu NĐ 215</x:v>
      </x:c>
      <x:c r="F466" s="14" t="str">
        <x:v>Quy trình/SOP</x:v>
      </x:c>
      <x:c r="G466" s="14" t="str">
        <x:v>Ban An ninh hàng không; Văn phòng - Pháp chế</x:v>
      </x:c>
      <x:c r="H466" s="14" t="str"/>
      <x:c r="I466" s="58" t="str"/>
      <x:c r="J466" s="58" t="str"/>
      <x:c r="K466" s="14" t="str"/>
      <x:c r="L466" s="14" t="str">
        <x:v>Chưa có</x:v>
      </x:c>
      <x:c r="M466" s="14" t="str">
        <x:v>Theo dõi và cập nhật link/chỉ dẫn hồ sơ sau khi có bằng chứng.</x:v>
      </x:c>
    </x:row>
    <x:row r="467">
      <x:c r="A467" s="14" t="str">
        <x:v>EVID-0466</x:v>
      </x:c>
      <x:c r="B467" s="14" t="str">
        <x:v>VATM-0466</x:v>
      </x:c>
      <x:c r="C467" s="14" t="str">
        <x:v>An ninh hàng không</x:v>
      </x:c>
      <x:c r="D467" s="14" t="str">
        <x:v>An ninh hệ thống CNS/ATM/CNTT</x:v>
      </x:c>
      <x:c r="E467" s="14" t="str">
        <x:v>Thông báo nội bộ, kế hoạch chuyển đổi, báo cáo tự rà soát</x:v>
      </x:c>
      <x:c r="F467" s="14" t="str">
        <x:v>Quyết định/Kế hoạch</x:v>
      </x:c>
      <x:c r="G467" s="14" t="str">
        <x:v>Ban An ninh hàng không; Văn phòng - Pháp chế</x:v>
      </x:c>
      <x:c r="H467" s="14" t="str"/>
      <x:c r="I467" s="58" t="str"/>
      <x:c r="J467" s="58" t="str"/>
      <x:c r="K467" s="14" t="str"/>
      <x:c r="L467" s="14" t="str">
        <x:v>Chưa có</x:v>
      </x:c>
      <x:c r="M467" s="14" t="str">
        <x:v>Theo dõi và cập nhật link/chỉ dẫn hồ sơ sau khi có bằng chứng.</x:v>
      </x:c>
    </x:row>
    <x:row r="468">
      <x:c r="A468" s="14" t="str">
        <x:v>EVID-0467</x:v>
      </x:c>
      <x:c r="B468" s="14" t="str">
        <x:v>VATM-0467</x:v>
      </x:c>
      <x:c r="C468" s="14" t="str">
        <x:v>Tuân thủ, dữ liệu &amp; chuyển đổi số</x:v>
      </x:c>
      <x:c r="D468" s="14" t="str">
        <x:v>Hồ sơ điện tử, CSDL và ký số</x:v>
      </x:c>
      <x:c r="E468" s="14" t="str">
        <x:v>Quyết định/Kế hoạch triển khai; ma trận trách nhiệm; lịch báo cáo; Ban hành trước 01/07/2026; 100% đơn vị có đầu mối và kế hoạch con; 01 kế hoạch tổng thể + kế hoạch đơn vị</x:v>
      </x:c>
      <x:c r="F468" s="14" t="str">
        <x:v>Quyết định/Kế hoạch</x:v>
      </x:c>
      <x:c r="G468" s="14" t="str">
        <x:v>Ban Kế hoạch doanh nghiệp - Chuyển đổi số; Ban Kỹ thuật - CNS/IT/Môi trường; Văn phòng - Pháp chế; Ban Không lưu</x:v>
      </x:c>
      <x:c r="H468" s="14" t="str"/>
      <x:c r="I468" s="58" t="str"/>
      <x:c r="J468" s="58" t="str"/>
      <x:c r="K468" s="14" t="str"/>
      <x:c r="L468" s="14" t="str">
        <x:v>Chưa có</x:v>
      </x:c>
      <x:c r="M468" s="14" t="str">
        <x:v>Theo dõi và cập nhật link/chỉ dẫn hồ sơ sau khi có bằng chứng.</x:v>
      </x:c>
    </x:row>
    <x:row r="469">
      <x:c r="A469" s="14" t="str">
        <x:v>EVID-0468</x:v>
      </x:c>
      <x:c r="B469" s="14" t="str">
        <x:v>VATM-0468</x:v>
      </x:c>
      <x:c r="C469" s="14" t="str">
        <x:v>Tuân thủ, dữ liệu &amp; chuyển đổi số</x:v>
      </x:c>
      <x:c r="D469" s="14" t="str">
        <x:v>Hồ sơ điện tử, CSDL và ký số</x:v>
      </x:c>
      <x:c r="E469" s="14" t="str">
        <x:v>Danh mục văn bản cần sửa/ban hành mới; bảng gap pháp lý; 100% văn bản nội bộ có trạng thái: giữ/sửa/bãi bỏ/thay mới; Tối thiểu 01 danh mục toàn VATM</x:v>
      </x:c>
      <x:c r="F469" s="14" t="str">
        <x:v>Khác</x:v>
      </x:c>
      <x:c r="G469" s="14" t="str">
        <x:v>Ban Kế hoạch doanh nghiệp - Chuyển đổi số; Ban Kỹ thuật - CNS/IT/Môi trường; Văn phòng - Pháp chế</x:v>
      </x:c>
      <x:c r="H469" s="14" t="str"/>
      <x:c r="I469" s="58" t="str"/>
      <x:c r="J469" s="58" t="str"/>
      <x:c r="K469" s="14" t="str"/>
      <x:c r="L469" s="14" t="str">
        <x:v>Chưa có</x:v>
      </x:c>
      <x:c r="M469" s="14" t="str">
        <x:v>Theo dõi và cập nhật link/chỉ dẫn hồ sơ sau khi có bằng chứng.</x:v>
      </x:c>
    </x:row>
    <x:row r="470">
      <x:c r="A470" s="14" t="str">
        <x:v>EVID-0469</x:v>
      </x:c>
      <x:c r="B470" s="14" t="str">
        <x:v>VATM-0469</x:v>
      </x:c>
      <x:c r="C470" s="14" t="str">
        <x:v>Tuân thủ, dữ liệu &amp; chuyển đổi số</x:v>
      </x:c>
      <x:c r="D470" s="14" t="str">
        <x:v>Hồ sơ điện tử, CSDL và ký số</x:v>
      </x:c>
      <x:c r="E470" s="14" t="str">
        <x:v>Quy trình hồ sơ điện tử; mẫu metadata; kho lưu trữ số; 100% hồ sơ có log, số hóa kết quả và khả năng truy xuất; 01 quy trình + cấu hình hệ thống</x:v>
      </x:c>
      <x:c r="F470" s="14" t="str">
        <x:v>Quy trình/SOP</x:v>
      </x:c>
      <x:c r="G470" s="14" t="str">
        <x:v>Ban Kế hoạch doanh nghiệp - Chuyển đổi số; Ban Kỹ thuật - CNS/IT/Môi trường; Văn phòng - Pháp chế</x:v>
      </x:c>
      <x:c r="H470" s="14" t="str"/>
      <x:c r="I470" s="58" t="str"/>
      <x:c r="J470" s="58" t="str"/>
      <x:c r="K470" s="14" t="str"/>
      <x:c r="L470" s="14" t="str">
        <x:v>Chưa có</x:v>
      </x:c>
      <x:c r="M470" s="14" t="str">
        <x:v>Theo dõi và cập nhật link/chỉ dẫn hồ sơ sau khi có bằng chứng.</x:v>
      </x:c>
    </x:row>
    <x:row r="471">
      <x:c r="A471" s="14" t="str">
        <x:v>EVID-0470</x:v>
      </x:c>
      <x:c r="B471" s="14" t="str">
        <x:v>VATM-0470</x:v>
      </x:c>
      <x:c r="C471" s="14" t="str">
        <x:v>ANS - ATM/ATS/ATFM</x:v>
      </x:c>
      <x:c r="D471" s="14" t="str">
        <x:v>Cấp phép bay, FPL và xử lý hồ sơ bay</x:v>
      </x:c>
      <x:c r="E471" s="14" t="str">
        <x:v>SOP trực ngoài giờ; ma trận phân quyền; mẫu phản hồi; log xử lý; Không gián đoạn xử lý tình huống thuộc khoản 5 Đ14; 100% hồ sơ lưu vết; 01 SOP + ca trực 24/7</x:v>
      </x:c>
      <x:c r="F471" s="14" t="str">
        <x:v>Quy trình/SOP</x:v>
      </x:c>
      <x:c r="G471" s="14" t="str">
        <x:v>Ban Không lưu; Trung tâm Quản lý luồng không lưu</x:v>
      </x:c>
      <x:c r="H471" s="14" t="str"/>
      <x:c r="I471" s="58" t="str"/>
      <x:c r="J471" s="58" t="str"/>
      <x:c r="K471" s="14" t="str"/>
      <x:c r="L471" s="14" t="str">
        <x:v>Chưa có</x:v>
      </x:c>
      <x:c r="M471" s="14" t="str">
        <x:v>Theo dõi và cập nhật link/chỉ dẫn hồ sơ sau khi có bằng chứng.</x:v>
      </x:c>
    </x:row>
    <x:row r="472">
      <x:c r="A472" s="14" t="str">
        <x:v>EVID-0471</x:v>
      </x:c>
      <x:c r="B472" s="14" t="str">
        <x:v>VATM-0471</x:v>
      </x:c>
      <x:c r="C472" s="14" t="str">
        <x:v>ANS - ATM/ATS/ATFM</x:v>
      </x:c>
      <x:c r="D472" s="14" t="str">
        <x:v>Cấp phép bay, FPL và xử lý hồ sơ bay</x:v>
      </x:c>
      <x:c r="E472" s="14" t="str">
        <x:v>Quy trình phản hồi FPL; checklist dữ liệu bắt buộc; báo cáo đối soát; 100% FPL đủ điều kiện được phản hồi đúng quy định; phát hiện và trả lại hồ sơ thiếu dữ liệu; 01 quy trình + biểu mẫu kiểm tra</x:v>
      </x:c>
      <x:c r="F472" s="14" t="str">
        <x:v>Quy trình/SOP</x:v>
      </x:c>
      <x:c r="G472" s="14" t="str">
        <x:v>Ban Không lưu; Trung tâm Quản lý luồng không lưu</x:v>
      </x:c>
      <x:c r="H472" s="14" t="str"/>
      <x:c r="I472" s="58" t="str"/>
      <x:c r="J472" s="58" t="str"/>
      <x:c r="K472" s="14" t="str"/>
      <x:c r="L472" s="14" t="str">
        <x:v>Chưa có</x:v>
      </x:c>
      <x:c r="M472" s="14" t="str">
        <x:v>Theo dõi và cập nhật link/chỉ dẫn hồ sơ sau khi có bằng chứng.</x:v>
      </x:c>
    </x:row>
    <x:row r="473">
      <x:c r="A473" s="14" t="str">
        <x:v>EVID-0472</x:v>
      </x:c>
      <x:c r="B473" s="14" t="str">
        <x:v>VATM-0472</x:v>
      </x:c>
      <x:c r="C473" s="14" t="str">
        <x:v>ANS - ATM/ATS/ATFM</x:v>
      </x:c>
      <x:c r="D473" s="14" t="str">
        <x:v>Cấp phép bay, FPL và xử lý hồ sơ bay</x:v>
      </x:c>
      <x:c r="E473" s="14" t="str">
        <x:v>Đầu mối email/AFS/điện thoại; mẫu phản hồi; log điện tử; dashboard; 100% hồ sơ M8G có xác nhận phản hồi; dữ liệu đồng bộ với FPL và billing; 01 luồng xử lý 24/7</x:v>
      </x:c>
      <x:c r="F473" s="14" t="str">
        <x:v>Biểu mẫu/Checklist</x:v>
      </x:c>
      <x:c r="G473" s="14" t="str">
        <x:v>Ban Không lưu; Trung tâm Quản lý luồng không lưu</x:v>
      </x:c>
      <x:c r="H473" s="14" t="str"/>
      <x:c r="I473" s="58" t="str"/>
      <x:c r="J473" s="58" t="str"/>
      <x:c r="K473" s="14" t="str"/>
      <x:c r="L473" s="14" t="str">
        <x:v>Chưa có</x:v>
      </x:c>
      <x:c r="M473" s="14" t="str">
        <x:v>Theo dõi và cập nhật link/chỉ dẫn hồ sơ sau khi có bằng chứng.</x:v>
      </x:c>
    </x:row>
    <x:row r="474">
      <x:c r="A474" s="14" t="str">
        <x:v>EVID-0473</x:v>
      </x:c>
      <x:c r="B474" s="14" t="str">
        <x:v>VATM-0473</x:v>
      </x:c>
      <x:c r="C474" s="14" t="str">
        <x:v>ANS - ATM/ATS/ATFM</x:v>
      </x:c>
      <x:c r="D474" s="14" t="str">
        <x:v>Cấp phép bay, FPL và xử lý hồ sơ bay</x:v>
      </x:c>
      <x:c r="E474" s="14" t="str">
        <x:v>Quy chế thanh toán; dashboard nợ; mẫu thông báo bảo đảm thanh toán; Không áp dụng với tàu bay đang bay; 100% quyết định có căn cứ pháp lý và phê duyệt; 01 quy chế + dashboard</x:v>
      </x:c>
      <x:c r="F474" s="14" t="str">
        <x:v>Quy trình/SOP</x:v>
      </x:c>
      <x:c r="G474" s="14" t="str">
        <x:v>Ban Không lưu; Văn phòng - Pháp chế; Ban Tài chính</x:v>
      </x:c>
      <x:c r="H474" s="14" t="str"/>
      <x:c r="I474" s="58" t="str"/>
      <x:c r="J474" s="58" t="str"/>
      <x:c r="K474" s="14" t="str"/>
      <x:c r="L474" s="14" t="str">
        <x:v>Chưa có</x:v>
      </x:c>
      <x:c r="M474" s="14" t="str">
        <x:v>Theo dõi và cập nhật link/chỉ dẫn hồ sơ sau khi có bằng chứng.</x:v>
      </x:c>
    </x:row>
    <x:row r="475">
      <x:c r="A475" s="14" t="str">
        <x:v>EVID-0474</x:v>
      </x:c>
      <x:c r="B475" s="14" t="str">
        <x:v>VATM-0474</x:v>
      </x:c>
      <x:c r="C475" s="14" t="str">
        <x:v>ANS - ATM/ATS/ATFM</x:v>
      </x:c>
      <x:c r="D475" s="14" t="str">
        <x:v>Cấp phép bay, FPL và xử lý hồ sơ bay</x:v>
      </x:c>
      <x:c r="E475" s="14" t="str">
        <x:v>Checklist dữ liệu; thư viện lỗi; hướng dẫn xử lý sửa đổi/hủy; Giảm lỗi dữ liệu đầu vào; 100% sửa đổi/hủy có liên kết phép bay gốc; 01 checklist theo từng mẫu</x:v>
      </x:c>
      <x:c r="F475" s="14" t="str">
        <x:v>Quy trình/SOP</x:v>
      </x:c>
      <x:c r="G475" s="14" t="str">
        <x:v>Ban Không lưu; Trung tâm Quản lý luồng không lưu</x:v>
      </x:c>
      <x:c r="H475" s="14" t="str"/>
      <x:c r="I475" s="58" t="str"/>
      <x:c r="J475" s="58" t="str"/>
      <x:c r="K475" s="14" t="str"/>
      <x:c r="L475" s="14" t="str">
        <x:v>Chưa có</x:v>
      </x:c>
      <x:c r="M475" s="14" t="str">
        <x:v>Theo dõi và cập nhật link/chỉ dẫn hồ sơ sau khi có bằng chứng.</x:v>
      </x:c>
    </x:row>
    <x:row r="476">
      <x:c r="A476" s="14" t="str">
        <x:v>EVID-0475</x:v>
      </x:c>
      <x:c r="B476" s="14" t="str">
        <x:v>VATM-0475</x:v>
      </x:c>
      <x:c r="C476" s="14" t="str">
        <x:v>ANS - ATM/ATS/ATFM</x:v>
      </x:c>
      <x:c r="D476" s="14" t="str">
        <x:v>ATFM, năng lực và điều phối luồng</x:v>
      </x:c>
      <x:c r="E476" s="14" t="str">
        <x:v>LOA/SOP FUA; danh mục đầu mối 24/7; quy trình AUP/UUP nội bộ; Trước 30/06/2027 hoàn thiện theo Đ139; vận hành thử tối thiểu 02 chu kỳ; 01 bộ LOA/SOP cấp quốc gia + khu vực</x:v>
      </x:c>
      <x:c r="F476" s="14" t="str">
        <x:v>Quy trình/SOP</x:v>
      </x:c>
      <x:c r="G476" s="14" t="str">
        <x:v>Trung tâm Quản lý luồng không lưu; Ban Không lưu</x:v>
      </x:c>
      <x:c r="H476" s="14" t="str"/>
      <x:c r="I476" s="58" t="str"/>
      <x:c r="J476" s="58" t="str"/>
      <x:c r="K476" s="14" t="str"/>
      <x:c r="L476" s="14" t="str">
        <x:v>Chưa có</x:v>
      </x:c>
      <x:c r="M476" s="14" t="str">
        <x:v>Theo dõi và cập nhật link/chỉ dẫn hồ sơ sau khi có bằng chứng.</x:v>
      </x:c>
    </x:row>
    <x:row r="477">
      <x:c r="A477" s="14" t="str">
        <x:v>EVID-0476</x:v>
      </x:c>
      <x:c r="B477" s="14" t="str">
        <x:v>VATM-0476</x:v>
      </x:c>
      <x:c r="C477" s="14" t="str">
        <x:v>ANS - ATM/ATS/ATFM</x:v>
      </x:c>
      <x:c r="D477" s="14" t="str">
        <x:v>ATFM, năng lực và điều phối luồng</x:v>
      </x:c>
      <x:c r="E477" s="14" t="str">
        <x:v>SOP thông báo nhanh; mẫu UUP/NOTAM nội bộ; log biến động vùng trời; 100% thay đổi ảnh hưởng khai thác được ghi nhận và truyền đến cơ sở ATS liên quan; 01 luồng phối hợp 24/7</x:v>
      </x:c>
      <x:c r="F477" s="14" t="str">
        <x:v>Quy trình/SOP</x:v>
      </x:c>
      <x:c r="G477" s="14" t="str">
        <x:v>Trung tâm Quản lý luồng không lưu; Ban Không lưu</x:v>
      </x:c>
      <x:c r="H477" s="14" t="str"/>
      <x:c r="I477" s="58" t="str"/>
      <x:c r="J477" s="58" t="str"/>
      <x:c r="K477" s="14" t="str"/>
      <x:c r="L477" s="14" t="str">
        <x:v>Chưa có</x:v>
      </x:c>
      <x:c r="M477" s="14" t="str">
        <x:v>Theo dõi và cập nhật link/chỉ dẫn hồ sơ sau khi có bằng chứng.</x:v>
      </x:c>
    </x:row>
    <x:row r="478">
      <x:c r="A478" s="14" t="str">
        <x:v>EVID-0477</x:v>
      </x:c>
      <x:c r="B478" s="14" t="str">
        <x:v>VATM-0477</x:v>
      </x:c>
      <x:c r="C478" s="14" t="str">
        <x:v>ANS - ATM/ATS/ATFM</x:v>
      </x:c>
      <x:c r="D478" s="14" t="str">
        <x:v>ATFM, năng lực và điều phối luồng</x:v>
      </x:c>
      <x:c r="E478" s="14" t="str">
        <x:v>Tài liệu ATFM/CDM; quy trình đánh giá sau khai thác; KPI delay/capacity; Có KPI năng lực và chậm trễ; báo cáo sau khai thác định kỳ hàng tháng; 01 bộ tài liệu + dashboard KPI</x:v>
      </x:c>
      <x:c r="F478" s="14" t="str">
        <x:v>Quy trình/SOP</x:v>
      </x:c>
      <x:c r="G478" s="14" t="str">
        <x:v>Trung tâm Quản lý luồng không lưu; Ban Không lưu</x:v>
      </x:c>
      <x:c r="H478" s="14" t="str"/>
      <x:c r="I478" s="58" t="str"/>
      <x:c r="J478" s="58" t="str"/>
      <x:c r="K478" s="14" t="str"/>
      <x:c r="L478" s="14" t="str">
        <x:v>Chưa có</x:v>
      </x:c>
      <x:c r="M478" s="14" t="str">
        <x:v>Theo dõi và cập nhật link/chỉ dẫn hồ sơ sau khi có bằng chứng.</x:v>
      </x:c>
    </x:row>
    <x:row r="479">
      <x:c r="A479" s="14" t="str">
        <x:v>EVID-0478</x:v>
      </x:c>
      <x:c r="B479" s="14" t="str">
        <x:v>VATM-0478</x:v>
      </x:c>
      <x:c r="C479" s="14" t="str">
        <x:v>ANS - ATM/ATS/ATFM</x:v>
      </x:c>
      <x:c r="D479" s="14" t="str">
        <x:v>ATFM, năng lực và điều phối luồng</x:v>
      </x:c>
      <x:c r="E479" s="14" t="str">
        <x:v>Thỏa thuận chia sẻ dữ liệu; danh mục dữ liệu; cơ chế bảo mật; Dữ liệu đủ cho dự báo nhu cầu/năng lực; có phân quyền và kiểm tra định kỳ; 01 thỏa thuận mẫu + thí điểm tại sân bay lớn</x:v>
      </x:c>
      <x:c r="F479" s="14" t="str">
        <x:v>Biểu mẫu/Checklist</x:v>
      </x:c>
      <x:c r="G479" s="14" t="str">
        <x:v>Trung tâm Quản lý luồng không lưu; Ban Không lưu</x:v>
      </x:c>
      <x:c r="H479" s="14" t="str"/>
      <x:c r="I479" s="58" t="str"/>
      <x:c r="J479" s="58" t="str"/>
      <x:c r="K479" s="14" t="str"/>
      <x:c r="L479" s="14" t="str">
        <x:v>Chưa có</x:v>
      </x:c>
      <x:c r="M479" s="14" t="str">
        <x:v>Theo dõi và cập nhật link/chỉ dẫn hồ sơ sau khi có bằng chứng.</x:v>
      </x:c>
    </x:row>
    <x:row r="480">
      <x:c r="A480" s="14" t="str">
        <x:v>EVID-0479</x:v>
      </x:c>
      <x:c r="B480" s="14" t="str">
        <x:v>VATM-0479</x:v>
      </x:c>
      <x:c r="C480" s="14" t="str">
        <x:v>ANS - ATM/ATS/ATFM</x:v>
      </x:c>
      <x:c r="D480" s="14" t="str">
        <x:v>Cung cấp ATS/điều hành bay</x:v>
      </x:c>
      <x:c r="E480" s="14" t="str">
        <x:v>Bảng phân công khu vực ATS; đề xuất cập nhật AIP; hồ sơ năng lực; Không có khu vực trách nhiệm mâu thuẫn; 100% thay đổi được công bố đúng AIRAC; Rà soát toàn bộ FIR/khu vực ATS</x:v>
      </x:c>
      <x:c r="F480" s="14" t="str">
        <x:v>Biểu mẫu/Checklist</x:v>
      </x:c>
      <x:c r="G480" s="14" t="str">
        <x:v>Ban Không lưu; Trung tâm Thông báo tin tức hàng không</x:v>
      </x:c>
      <x:c r="H480" s="14" t="str"/>
      <x:c r="I480" s="58" t="str"/>
      <x:c r="J480" s="58" t="str"/>
      <x:c r="K480" s="14" t="str"/>
      <x:c r="L480" s="14" t="str">
        <x:v>Chưa có</x:v>
      </x:c>
      <x:c r="M480" s="14" t="str">
        <x:v>Theo dõi và cập nhật link/chỉ dẫn hồ sơ sau khi có bằng chứng.</x:v>
      </x:c>
    </x:row>
    <x:row r="481">
      <x:c r="A481" s="14" t="str">
        <x:v>EVID-0480</x:v>
      </x:c>
      <x:c r="B481" s="14" t="str">
        <x:v>VATM-0480</x:v>
      </x:c>
      <x:c r="C481" s="14" t="str">
        <x:v>ANS - ATM/ATS/ATFM</x:v>
      </x:c>
      <x:c r="D481" s="14" t="str">
        <x:v>Cung cấp ATS/điều hành bay</x:v>
      </x:c>
      <x:c r="E481" s="14" t="str">
        <x:v>Giáo trình cập nhật; bài kiểm tra; hồ sơ năng định kỳ; 100% KSVKL liên quan hoàn thành huấn luyện; kết quả kiểm tra đạt yêu cầu; Huấn luyện toàn bộ cơ sở ATS</x:v>
      </x:c>
      <x:c r="F481" s="14" t="str">
        <x:v>Khác</x:v>
      </x:c>
      <x:c r="G481" s="14" t="str">
        <x:v>Ban Không lưu; Trung tâm Huấn luyện đào tạo</x:v>
      </x:c>
      <x:c r="H481" s="14" t="str"/>
      <x:c r="I481" s="58" t="str"/>
      <x:c r="J481" s="58" t="str"/>
      <x:c r="K481" s="14" t="str"/>
      <x:c r="L481" s="14" t="str">
        <x:v>Chưa có</x:v>
      </x:c>
      <x:c r="M481" s="14" t="str">
        <x:v>Theo dõi và cập nhật link/chỉ dẫn hồ sơ sau khi có bằng chứng.</x:v>
      </x:c>
    </x:row>
    <x:row r="482">
      <x:c r="A482" s="14" t="str">
        <x:v>EVID-0481</x:v>
      </x:c>
      <x:c r="B482" s="14" t="str">
        <x:v>VATM-0481</x:v>
      </x:c>
      <x:c r="C482" s="14" t="str">
        <x:v>ANS - ATM/ATS/ATFM</x:v>
      </x:c>
      <x:c r="D482" s="14" t="str">
        <x:v>Cung cấp ATS/điều hành bay</x:v>
      </x:c>
      <x:c r="E482" s="14" t="str">
        <x:v>SOP xử lý; bản đồ khu vực; mẫu thông báo; checklist ATCO; 100% tình huống có ghi âm/log, hiệp đồng và thông báo kịp thời; cập nhật AIP/NOTAM khi cần; 01 SOP toàn quốc + phụ lục khu vực</x:v>
      </x:c>
      <x:c r="F482" s="14" t="str">
        <x:v>Quy trình/SOP</x:v>
      </x:c>
      <x:c r="G482" s="14" t="str">
        <x:v>Ban Không lưu</x:v>
      </x:c>
      <x:c r="H482" s="14" t="str"/>
      <x:c r="I482" s="58" t="str"/>
      <x:c r="J482" s="58" t="str"/>
      <x:c r="K482" s="14" t="str"/>
      <x:c r="L482" s="14" t="str">
        <x:v>Chưa có</x:v>
      </x:c>
      <x:c r="M482" s="14" t="str">
        <x:v>Theo dõi và cập nhật link/chỉ dẫn hồ sơ sau khi có bằng chứng.</x:v>
      </x:c>
    </x:row>
    <x:row r="483">
      <x:c r="A483" s="14" t="str">
        <x:v>EVID-0482</x:v>
      </x:c>
      <x:c r="B483" s="14" t="str">
        <x:v>VATM-0482</x:v>
      </x:c>
      <x:c r="C483" s="14" t="str">
        <x:v>ANS - ATM/ATS/ATFM</x:v>
      </x:c>
      <x:c r="D483" s="14" t="str">
        <x:v>Cung cấp ATS/điều hành bay</x:v>
      </x:c>
      <x:c r="E483" s="14" t="str">
        <x:v>SOP hiệp đồng; checklist điều hành; kịch bản diễn tập bàn; 100% cơ sở ATS liên quan có SOP; diễn tập bàn tối thiểu 01 lần/năm; Theo từng sân bay/cơ sở ATS liên quan</x:v>
      </x:c>
      <x:c r="F483" s="14" t="str">
        <x:v>Quy trình/SOP</x:v>
      </x:c>
      <x:c r="G483" s="14" t="str">
        <x:v>Ban Không lưu</x:v>
      </x:c>
      <x:c r="H483" s="14" t="str"/>
      <x:c r="I483" s="58" t="str"/>
      <x:c r="J483" s="58" t="str"/>
      <x:c r="K483" s="14" t="str"/>
      <x:c r="L483" s="14" t="str">
        <x:v>Chưa có</x:v>
      </x:c>
      <x:c r="M483" s="14" t="str">
        <x:v>Theo dõi và cập nhật link/chỉ dẫn hồ sơ sau khi có bằng chứng.</x:v>
      </x:c>
    </x:row>
    <x:row r="484">
      <x:c r="A484" s="14" t="str">
        <x:v>EVID-0483</x:v>
      </x:c>
      <x:c r="B484" s="14" t="str">
        <x:v>VATM-0483</x:v>
      </x:c>
      <x:c r="C484" s="14" t="str">
        <x:v>ANS - AIS/AIM/Tin tức HK</x:v>
      </x:c>
      <x:c r="D484" s="14" t="str">
        <x:v>Dữ liệu địa hình/chướng ngại và bản đồ</x:v>
      </x:c>
      <x:c r="E484" s="14" t="str">
        <x:v>Kế hoạch 24 tháng; danh mục sân bay/đường CHC; hồ sơ dữ liệu OLS; Hoàn thành trước 30/06/2028; ưu tiên sân bay có khai thác lớn và sân bay dùng chung; Toàn bộ sân bay có hoạt động HKDD liên quan VATM</x:v>
      </x:c>
      <x:c r="F484" s="14" t="str">
        <x:v>Quyết định/Kế hoạch</x:v>
      </x:c>
      <x:c r="G484" s="14" t="str">
        <x:v>Trung tâm Thông báo tin tức hàng không; Ban Không lưu; Các Công ty Quản lý bay khu vực Bắc/Trung/Nam</x:v>
      </x:c>
      <x:c r="H484" s="14" t="str"/>
      <x:c r="I484" s="58" t="str"/>
      <x:c r="J484" s="58" t="str"/>
      <x:c r="K484" s="14" t="str"/>
      <x:c r="L484" s="14" t="str">
        <x:v>Chưa có</x:v>
      </x:c>
      <x:c r="M484" s="14" t="str">
        <x:v>Theo dõi và cập nhật link/chỉ dẫn hồ sơ sau khi có bằng chứng.</x:v>
      </x:c>
    </x:row>
    <x:row r="485">
      <x:c r="A485" s="14" t="str">
        <x:v>EVID-0484</x:v>
      </x:c>
      <x:c r="B485" s="14" t="str">
        <x:v>VATM-0484</x:v>
      </x:c>
      <x:c r="C485" s="14" t="str">
        <x:v>ANS - AIS/AIM/Tin tức HK</x:v>
      </x:c>
      <x:c r="D485" s="14" t="str">
        <x:v>Dữ liệu địa hình/chướng ngại và bản đồ</x:v>
      </x:c>
      <x:c r="E485" s="14" t="str">
        <x:v>CSDL chướng ngại vật; quy trình tiếp nhận/kiểm tra; mẫu báo cáo sai lệch; Dữ liệu có loại vật thể, WGS-84, chiều cao/mức cao, marking/lighting, effectivity; độ chính xác theo PL-II; 01 CSDL chung + đầu mối nhận dữ liệu</x:v>
      </x:c>
      <x:c r="F485" s="14" t="str">
        <x:v>Quy trình/SOP</x:v>
      </x:c>
      <x:c r="G485" s="14" t="str">
        <x:v>Trung tâm Thông báo tin tức hàng không; Các Công ty Quản lý bay khu vực Bắc/Trung/Nam</x:v>
      </x:c>
      <x:c r="H485" s="14" t="str"/>
      <x:c r="I485" s="58" t="str"/>
      <x:c r="J485" s="58" t="str"/>
      <x:c r="K485" s="14" t="str"/>
      <x:c r="L485" s="14" t="str">
        <x:v>Chưa có</x:v>
      </x:c>
      <x:c r="M485" s="14" t="str">
        <x:v>Theo dõi và cập nhật link/chỉ dẫn hồ sơ sau khi có bằng chứng.</x:v>
      </x:c>
    </x:row>
    <x:row r="486">
      <x:c r="A486" s="14" t="str">
        <x:v>EVID-0485</x:v>
      </x:c>
      <x:c r="B486" s="14" t="str">
        <x:v>VATM-0485</x:v>
      </x:c>
      <x:c r="C486" s="14" t="str">
        <x:v>ANS - AIS/AIM/Tin tức HK</x:v>
      </x:c>
      <x:c r="D486" s="14" t="str">
        <x:v>Dữ liệu địa hình/chướng ngại và bản đồ</x:v>
      </x:c>
      <x:c r="E486" s="14" t="str">
        <x:v>Quy trình đánh giá; mẫu ý kiến kỹ thuật; sổ theo dõi chấp thuận độ cao; 100% ý kiến kỹ thuật có cơ sở dữ liệu, bản đồ và kết luận ảnh hưởng; Theo từng hồ sơ công trình được gửi tới VATM</x:v>
      </x:c>
      <x:c r="F486" s="14" t="str">
        <x:v>Quy trình/SOP</x:v>
      </x:c>
      <x:c r="G486" s="14" t="str">
        <x:v>Trung tâm Thông báo tin tức hàng không; Ban Kỹ thuật - CNS/IT/Môi trường</x:v>
      </x:c>
      <x:c r="H486" s="14" t="str"/>
      <x:c r="I486" s="58" t="str"/>
      <x:c r="J486" s="58" t="str"/>
      <x:c r="K486" s="14" t="str"/>
      <x:c r="L486" s="14" t="str">
        <x:v>Chưa có</x:v>
      </x:c>
      <x:c r="M486" s="14" t="str">
        <x:v>Theo dõi và cập nhật link/chỉ dẫn hồ sơ sau khi có bằng chứng.</x:v>
      </x:c>
    </x:row>
    <x:row r="487">
      <x:c r="A487" s="14" t="str">
        <x:v>EVID-0486</x:v>
      </x:c>
      <x:c r="B487" s="14" t="str">
        <x:v>VATM-0486</x:v>
      </x:c>
      <x:c r="C487" s="14" t="str">
        <x:v>ANS - CNS/IT/Kỹ thuật</x:v>
      </x:c>
      <x:c r="D487" s="14" t="str">
        <x:v>CNS, trang thiết bị và bảo trì kỹ thuật</x:v>
      </x:c>
      <x:c r="E487" s="14" t="str">
        <x:v>Bộ bản đồ BRA; quy trình đánh giá; thư viện thông số CNS; hồ sơ ATSEP xác nhận; 100% đài trạm trọng yếu có BRA; hồ sơ được cập nhật khi thay đổi thiết bị/vị trí; Theo từng đài trạm CNS</x:v>
      </x:c>
      <x:c r="F487" s="14" t="str">
        <x:v>Quy trình/SOP</x:v>
      </x:c>
      <x:c r="G487" s="14" t="str">
        <x:v>Ban Kỹ thuật - CNS/IT/Môi trường</x:v>
      </x:c>
      <x:c r="H487" s="14" t="str"/>
      <x:c r="I487" s="58" t="str"/>
      <x:c r="J487" s="58" t="str"/>
      <x:c r="K487" s="14" t="str"/>
      <x:c r="L487" s="14" t="str">
        <x:v>Chưa có</x:v>
      </x:c>
      <x:c r="M487" s="14" t="str">
        <x:v>Theo dõi và cập nhật link/chỉ dẫn hồ sơ sau khi có bằng chứng.</x:v>
      </x:c>
    </x:row>
    <x:row r="488">
      <x:c r="A488" s="14" t="str">
        <x:v>EVID-0487</x:v>
      </x:c>
      <x:c r="B488" s="14" t="str">
        <x:v>VATM-0487</x:v>
      </x:c>
      <x:c r="C488" s="14" t="str">
        <x:v>ANS - AIS/AIM/Tin tức HK</x:v>
      </x:c>
      <x:c r="D488" s="14" t="str">
        <x:v>Phương thức bay, sơ đồ và công bố AIS</x:v>
      </x:c>
      <x:c r="E488" s="14" t="str">
        <x:v>Quy trình PANS-OPS/charts; hồ sơ khảo sát; ma trận trách nhiệm; 100% phương thức/sơ đồ có dữ liệu đầu vào hợp lệ, kiểm tra độc lập và hồ sơ phê chuẩn; Theo từng sân bay/phương thức/sơ đồ</x:v>
      </x:c>
      <x:c r="F488" s="14" t="str">
        <x:v>Quy trình/SOP</x:v>
      </x:c>
      <x:c r="G488" s="14" t="str">
        <x:v>Trung tâm Thông báo tin tức hàng không; Ban Không lưu</x:v>
      </x:c>
      <x:c r="H488" s="14" t="str"/>
      <x:c r="I488" s="58" t="str"/>
      <x:c r="J488" s="58" t="str"/>
      <x:c r="K488" s="14" t="str"/>
      <x:c r="L488" s="14" t="str">
        <x:v>Chưa có</x:v>
      </x:c>
      <x:c r="M488" s="14" t="str">
        <x:v>Theo dõi và cập nhật link/chỉ dẫn hồ sơ sau khi có bằng chứng.</x:v>
      </x:c>
    </x:row>
    <x:row r="489">
      <x:c r="A489" s="14" t="str">
        <x:v>EVID-0488</x:v>
      </x:c>
      <x:c r="B489" s="14" t="str">
        <x:v>VATM-0488</x:v>
      </x:c>
      <x:c r="C489" s="14" t="str">
        <x:v>ANS - AIS/AIM/Tin tức HK</x:v>
      </x:c>
      <x:c r="D489" s="14" t="str">
        <x:v>Phương thức bay, sơ đồ và công bố AIS</x:v>
      </x:c>
      <x:c r="E489" s="14" t="str">
        <x:v>Đề án eTOD; cấu trúc dữ liệu; phân quyền truy cập; kế hoạch cập nhật; Đáp ứng yêu cầu bảo mật, an ninh mạng, truy xuất nguồn gốc; tích hợp AIM/PANS; 01 đề án và lộ trình dữ liệu số</x:v>
      </x:c>
      <x:c r="F489" s="14" t="str">
        <x:v>Quyết định/Kế hoạch</x:v>
      </x:c>
      <x:c r="G489" s="14" t="str">
        <x:v>Trung tâm Thông báo tin tức hàng không; Ban Kế hoạch doanh nghiệp - Chuyển đổi số; Ban Kỹ thuật - CNS/IT/Môi trường</x:v>
      </x:c>
      <x:c r="H489" s="14" t="str"/>
      <x:c r="I489" s="58" t="str"/>
      <x:c r="J489" s="58" t="str"/>
      <x:c r="K489" s="14" t="str"/>
      <x:c r="L489" s="14" t="str">
        <x:v>Chưa có</x:v>
      </x:c>
      <x:c r="M489" s="14" t="str">
        <x:v>Theo dõi và cập nhật link/chỉ dẫn hồ sơ sau khi có bằng chứng.</x:v>
      </x:c>
    </x:row>
    <x:row r="490">
      <x:c r="A490" s="14" t="str">
        <x:v>EVID-0489</x:v>
      </x:c>
      <x:c r="B490" s="14" t="str">
        <x:v>VATM-0489</x:v>
      </x:c>
      <x:c r="C490" s="14" t="str">
        <x:v>ANS - AIS/AIM/Tin tức HK</x:v>
      </x:c>
      <x:c r="D490" s="14" t="str">
        <x:v>Dữ liệu địa hình/chướng ngại và bản đồ</x:v>
      </x:c>
      <x:c r="E490" s="14" t="str">
        <x:v>Sổ tay QMS AIM; quy trình kiểm soát dữ liệu; log toàn vẹn/truy xuất; Dữ liệu chính xác, đầy đủ, kịp thời, nhất quán, hợp lệ, có thể kiểm chứng; 01 QMS AIM + quy trình dữ liệu</x:v>
      </x:c>
      <x:c r="F490" s="14" t="str">
        <x:v>Quy trình/SOP</x:v>
      </x:c>
      <x:c r="G490" s="14" t="str">
        <x:v>Trung tâm Thông báo tin tức hàng không; Ban An toàn - Chất lượng</x:v>
      </x:c>
      <x:c r="H490" s="14" t="str"/>
      <x:c r="I490" s="58" t="str"/>
      <x:c r="J490" s="58" t="str"/>
      <x:c r="K490" s="14" t="str"/>
      <x:c r="L490" s="14" t="str">
        <x:v>Chưa có</x:v>
      </x:c>
      <x:c r="M490" s="14" t="str">
        <x:v>Theo dõi và cập nhật link/chỉ dẫn hồ sơ sau khi có bằng chứng.</x:v>
      </x:c>
    </x:row>
    <x:row r="491">
      <x:c r="A491" s="14" t="str">
        <x:v>EVID-0490</x:v>
      </x:c>
      <x:c r="B491" s="14" t="str">
        <x:v>VATM-0490</x:v>
      </x:c>
      <x:c r="C491" s="14" t="str">
        <x:v>ANS - AIS/AIM/Tin tức HK</x:v>
      </x:c>
      <x:c r="D491" s="14" t="str">
        <x:v>Dữ liệu địa hình/chướng ngại và bản đồ</x:v>
      </x:c>
      <x:c r="E491" s="14" t="str">
        <x:v>Danh mục người khởi tạo dữ liệu; MoU/SLA; lịch AIRAC; biểu mẫu yêu cầu dữ liệu; 100% người khởi tạo trọng yếu có thỏa thuận; không nhận dữ liệu không rõ nguồn; Tối thiểu theo nhóm dữ liệu AIP, PANS, MET, CNS, obstacle</x:v>
      </x:c>
      <x:c r="F491" s="14" t="str">
        <x:v>Biểu mẫu/Checklist</x:v>
      </x:c>
      <x:c r="G491" s="14" t="str">
        <x:v>Trung tâm Thông báo tin tức hàng không</x:v>
      </x:c>
      <x:c r="H491" s="14" t="str"/>
      <x:c r="I491" s="58" t="str"/>
      <x:c r="J491" s="58" t="str"/>
      <x:c r="K491" s="14" t="str"/>
      <x:c r="L491" s="14" t="str">
        <x:v>Chưa có</x:v>
      </x:c>
      <x:c r="M491" s="14" t="str">
        <x:v>Theo dõi và cập nhật link/chỉ dẫn hồ sơ sau khi có bằng chứng.</x:v>
      </x:c>
    </x:row>
    <x:row r="492">
      <x:c r="A492" s="14" t="str">
        <x:v>EVID-0491</x:v>
      </x:c>
      <x:c r="B492" s="14" t="str">
        <x:v>VATM-0491</x:v>
      </x:c>
      <x:c r="C492" s="14" t="str">
        <x:v>ANS - AIS/AIM/Tin tức HK</x:v>
      </x:c>
      <x:c r="D492" s="14" t="str">
        <x:v>Dữ liệu địa hình/chướng ngại và bản đồ</x:v>
      </x:c>
      <x:c r="E492" s="14" t="str">
        <x:v>Lộ trình AIM digital datasets; tiêu chuẩn định dạng; kế hoạch thử nghiệm; Dữ liệu số có cấu trúc, tiêu chuẩn trao đổi, kiểm tra toàn vẹn và phân phối an toàn; 01 lộ trình + thí điểm dữ liệu số</x:v>
      </x:c>
      <x:c r="F492" s="14" t="str">
        <x:v>Quyết định/Kế hoạch</x:v>
      </x:c>
      <x:c r="G492" s="14" t="str">
        <x:v>Trung tâm Thông báo tin tức hàng không; Ban Kế hoạch doanh nghiệp - Chuyển đổi số; Ban Kỹ thuật - CNS/IT/Môi trường</x:v>
      </x:c>
      <x:c r="H492" s="14" t="str"/>
      <x:c r="I492" s="58" t="str"/>
      <x:c r="J492" s="58" t="str"/>
      <x:c r="K492" s="14" t="str"/>
      <x:c r="L492" s="14" t="str">
        <x:v>Chưa có</x:v>
      </x:c>
      <x:c r="M492" s="14" t="str">
        <x:v>Theo dõi và cập nhật link/chỉ dẫn hồ sơ sau khi có bằng chứng.</x:v>
      </x:c>
    </x:row>
    <x:row r="493">
      <x:c r="A493" s="14" t="str">
        <x:v>EVID-0492</x:v>
      </x:c>
      <x:c r="B493" s="14" t="str">
        <x:v>VATM-0492</x:v>
      </x:c>
      <x:c r="C493" s="14" t="str">
        <x:v>Tuân thủ, pháp chế &amp; quản trị</x:v>
      </x:c>
      <x:c r="D493" s="14" t="str">
        <x:v>Giấy phép/phê chuẩn và register</x:v>
      </x:c>
      <x:c r="E493" s="14" t="str">
        <x:v>Hồ sơ tự đánh giá ANSP; kế hoạch khắc phục; danh mục giấy phép/phê chuẩn; 100% điều kiện theo Đ99 có bằng chứng đáp ứng hoặc kế hoạch khắc phục; 01 bộ hồ sơ self-assessment toàn VATM</x:v>
      </x:c>
      <x:c r="F493" s="14" t="str">
        <x:v>Quyết định/Kế hoạch</x:v>
      </x:c>
      <x:c r="G493" s="14" t="str">
        <x:v>Văn phòng - Pháp chế; Ban An toàn - Chất lượng</x:v>
      </x:c>
      <x:c r="H493" s="14" t="str"/>
      <x:c r="I493" s="58" t="str"/>
      <x:c r="J493" s="58" t="str"/>
      <x:c r="K493" s="14" t="str"/>
      <x:c r="L493" s="14" t="str">
        <x:v>Chưa có</x:v>
      </x:c>
      <x:c r="M493" s="14" t="str">
        <x:v>Theo dõi và cập nhật link/chỉ dẫn hồ sơ sau khi có bằng chứng.</x:v>
      </x:c>
    </x:row>
    <x:row r="494">
      <x:c r="A494" s="14" t="str">
        <x:v>EVID-0493</x:v>
      </x:c>
      <x:c r="B494" s="14" t="str">
        <x:v>VATM-0493</x:v>
      </x:c>
      <x:c r="C494" s="14" t="str">
        <x:v>Tuân thủ, pháp chế &amp; quản trị</x:v>
      </x:c>
      <x:c r="D494" s="14" t="str">
        <x:v>Giấy phép/phê chuẩn và register</x:v>
      </x:c>
      <x:c r="E494" s="14" t="str">
        <x:v>FRMS/Chương trình quản lý mệt mỏi; tiêu chí theo dõi ca kíp; báo cáo rủi ro mệt mỏi; 100% cơ sở ATS áp dụng; dữ liệu ca kíp được giám sát; hành động giảm rủi ro được theo dõi; 01 chương trình FRMS toàn ATS</x:v>
      </x:c>
      <x:c r="F494" s="14" t="str">
        <x:v>Báo cáo</x:v>
      </x:c>
      <x:c r="G494" s="14" t="str">
        <x:v>Văn phòng - Pháp chế; Ban Tổ chức cán bộ; Ban Không lưu; Ban An toàn - Chất lượng</x:v>
      </x:c>
      <x:c r="H494" s="14" t="str"/>
      <x:c r="I494" s="58" t="str"/>
      <x:c r="J494" s="58" t="str"/>
      <x:c r="K494" s="14" t="str"/>
      <x:c r="L494" s="14" t="str">
        <x:v>Chưa có</x:v>
      </x:c>
      <x:c r="M494" s="14" t="str">
        <x:v>Theo dõi và cập nhật link/chỉ dẫn hồ sơ sau khi có bằng chứng.</x:v>
      </x:c>
    </x:row>
    <x:row r="495">
      <x:c r="A495" s="14" t="str">
        <x:v>EVID-0494</x:v>
      </x:c>
      <x:c r="B495" s="14" t="str">
        <x:v>VATM-0494</x:v>
      </x:c>
      <x:c r="C495" s="14" t="str">
        <x:v>Tuân thủ, pháp chế &amp; quản trị</x:v>
      </x:c>
      <x:c r="D495" s="14" t="str">
        <x:v>Giấy phép/phê chuẩn và register</x:v>
      </x:c>
      <x:c r="E495" s="14" t="str">
        <x:v>Danh mục giấy phép/phê chuẩn; cảnh báo hết hạn; kế hoạch bổ sung; Không khai thác hệ thống chưa được cấp phép/phê chuẩn theo quy định; Toàn bộ cơ sở và hệ thống kỹ thuật ANS</x:v>
      </x:c>
      <x:c r="F495" s="14" t="str">
        <x:v>Quyết định/Kế hoạch</x:v>
      </x:c>
      <x:c r="G495" s="14" t="str">
        <x:v>Văn phòng - Pháp chế; Ban Kỹ thuật - CNS/IT/Môi trường</x:v>
      </x:c>
      <x:c r="H495" s="14" t="str"/>
      <x:c r="I495" s="58" t="str"/>
      <x:c r="J495" s="58" t="str"/>
      <x:c r="K495" s="14" t="str"/>
      <x:c r="L495" s="14" t="str">
        <x:v>Chưa có</x:v>
      </x:c>
      <x:c r="M495" s="14" t="str">
        <x:v>Theo dõi và cập nhật link/chỉ dẫn hồ sơ sau khi có bằng chứng.</x:v>
      </x:c>
    </x:row>
    <x:row r="496">
      <x:c r="A496" s="14" t="str">
        <x:v>EVID-0495</x:v>
      </x:c>
      <x:c r="B496" s="14" t="str">
        <x:v>VATM-0495</x:v>
      </x:c>
      <x:c r="C496" s="14" t="str">
        <x:v>Tuân thủ, pháp chế &amp; quản trị</x:v>
      </x:c>
      <x:c r="D496" s="14" t="str">
        <x:v>Giấy phép/phê chuẩn và register</x:v>
      </x:c>
      <x:c r="E496" s="14" t="str">
        <x:v>Đề xuất VATM cho Chương trình ANS; danh mục dự án; KPI; hồ sơ nguồn vốn; Có KPI đo lường an toàn, năng lực, hiệu quả, môi trường, số hóa; danh mục dự án được ưu tiên; 01 đề xuất chương trình + danh mục dự án</x:v>
      </x:c>
      <x:c r="F496" s="14" t="str">
        <x:v>Khác</x:v>
      </x:c>
      <x:c r="G496" s="14" t="str">
        <x:v>Văn phòng - Pháp chế; Ban Không lưu; Ban Kỹ thuật - CNS/IT/Môi trường</x:v>
      </x:c>
      <x:c r="H496" s="14" t="str"/>
      <x:c r="I496" s="58" t="str"/>
      <x:c r="J496" s="58" t="str"/>
      <x:c r="K496" s="14" t="str"/>
      <x:c r="L496" s="14" t="str">
        <x:v>Chưa có</x:v>
      </x:c>
      <x:c r="M496" s="14" t="str">
        <x:v>Theo dõi và cập nhật link/chỉ dẫn hồ sơ sau khi có bằng chứng.</x:v>
      </x:c>
    </x:row>
    <x:row r="497">
      <x:c r="A497" s="14" t="str">
        <x:v>EVID-0496</x:v>
      </x:c>
      <x:c r="B497" s="14" t="str">
        <x:v>VATM-0496</x:v>
      </x:c>
      <x:c r="C497" s="14" t="str">
        <x:v>Tài chính - Kế hoạch đầu tư</x:v>
      </x:c>
      <x:c r="D497" s="14" t="str">
        <x:v>Kế hoạch vốn, đầu tư và mua sắm</x:v>
      </x:c>
      <x:c r="E497" s="14" t="str">
        <x:v>Kế hoạch vốn; danh mục chi; quy trình hạch toán; báo cáo 2 năm từ 2027; Chi đúng nội dung Đ119; có chỉ số hiệu quả đầu tư và báo cáo định kỳ; Kế hoạch 2027-2030 + báo cáo 2 năm</x:v>
      </x:c>
      <x:c r="F497" s="14" t="str">
        <x:v>Quyết định/Kế hoạch</x:v>
      </x:c>
      <x:c r="G497" s="14" t="str">
        <x:v>Ban Kế hoạch - Đầu tư; Ban Tài chính</x:v>
      </x:c>
      <x:c r="H497" s="14" t="str"/>
      <x:c r="I497" s="58" t="str"/>
      <x:c r="J497" s="58" t="str"/>
      <x:c r="K497" s="14" t="str"/>
      <x:c r="L497" s="14" t="str">
        <x:v>Chưa có</x:v>
      </x:c>
      <x:c r="M497" s="14" t="str">
        <x:v>Theo dõi và cập nhật link/chỉ dẫn hồ sơ sau khi có bằng chứng.</x:v>
      </x:c>
    </x:row>
    <x:row r="498">
      <x:c r="A498" s="14" t="str">
        <x:v>EVID-0497</x:v>
      </x:c>
      <x:c r="B498" s="14" t="str">
        <x:v>VATM-0497</x:v>
      </x:c>
      <x:c r="C498" s="14" t="str">
        <x:v>ANS - CNS/IT/Kỹ thuật</x:v>
      </x:c>
      <x:c r="D498" s="14" t="str">
        <x:v>CNS, trang thiết bị và bảo trì kỹ thuật</x:v>
      </x:c>
      <x:c r="E498" s="14" t="str">
        <x:v>Sổ tay CNS; danh mục hệ thống; kế hoạch bảo trì/flight check; báo cáo khả dụng; Dịch vụ CNS liên tục, đúng chuẩn ICAO; sự cố/can nhiễu có xử lý và báo cáo; Toàn bộ hệ thống CNS VATM</x:v>
      </x:c>
      <x:c r="F498" s="14" t="str">
        <x:v>Quyết định/Kế hoạch</x:v>
      </x:c>
      <x:c r="G498" s="14" t="str">
        <x:v>Ban Kỹ thuật - CNS/IT/Môi trường</x:v>
      </x:c>
      <x:c r="H498" s="14" t="str"/>
      <x:c r="I498" s="58" t="str"/>
      <x:c r="J498" s="58" t="str"/>
      <x:c r="K498" s="14" t="str"/>
      <x:c r="L498" s="14" t="str">
        <x:v>Chưa có</x:v>
      </x:c>
      <x:c r="M498" s="14" t="str">
        <x:v>Theo dõi và cập nhật link/chỉ dẫn hồ sơ sau khi có bằng chứng.</x:v>
      </x:c>
    </x:row>
    <x:row r="499">
      <x:c r="A499" s="14" t="str">
        <x:v>EVID-0498</x:v>
      </x:c>
      <x:c r="B499" s="14" t="str">
        <x:v>VATM-0498</x:v>
      </x:c>
      <x:c r="C499" s="14" t="str">
        <x:v>ANS - CNS/IT/Kỹ thuật</x:v>
      </x:c>
      <x:c r="D499" s="14" t="str">
        <x:v>CNS, trang thiết bị và bảo trì kỹ thuật</x:v>
      </x:c>
      <x:c r="E499" s="14" t="str">
        <x:v>Kiến trúc dữ liệu; quy chế phân quyền; phương án dự phòng; kiểm thử an ninh; Kết nối an toàn, đúng mục đích, có phân quyền và kiểm tra định kỳ; 01 kiến trúc tích hợp + pilot</x:v>
      </x:c>
      <x:c r="F499" s="14" t="str">
        <x:v>Quy trình/SOP</x:v>
      </x:c>
      <x:c r="G499" s="14" t="str">
        <x:v>Ban Kỹ thuật - CNS/IT/Môi trường; Ban Kế hoạch doanh nghiệp - Chuyển đổi số</x:v>
      </x:c>
      <x:c r="H499" s="14" t="str"/>
      <x:c r="I499" s="58" t="str"/>
      <x:c r="J499" s="58" t="str"/>
      <x:c r="K499" s="14" t="str"/>
      <x:c r="L499" s="14" t="str">
        <x:v>Chưa có</x:v>
      </x:c>
      <x:c r="M499" s="14" t="str">
        <x:v>Theo dõi và cập nhật link/chỉ dẫn hồ sơ sau khi có bằng chứng.</x:v>
      </x:c>
    </x:row>
    <x:row r="500">
      <x:c r="A500" s="14" t="str">
        <x:v>EVID-0499</x:v>
      </x:c>
      <x:c r="B500" s="14" t="str">
        <x:v>VATM-0499</x:v>
      </x:c>
      <x:c r="C500" s="14" t="str">
        <x:v>ANS - MET/Khí tượng hàng không</x:v>
      </x:c>
      <x:c r="D500" s="14" t="str">
        <x:v>Quan trắc, dự báo và cảnh báo MET</x:v>
      </x:c>
      <x:c r="E500" s="14" t="str">
        <x:v>Danh mục sản phẩm MET; SLA; quy trình cảnh báo/tư vấn; hồ sơ thiết bị; Sản phẩm đúng ICAO, đúng thời hạn; cảnh báo/tư vấn được truyền kịp thời tới người dùng; Toàn bộ sân bay/cơ sở MET VATM</x:v>
      </x:c>
      <x:c r="F500" s="14" t="str">
        <x:v>Quy trình/SOP</x:v>
      </x:c>
      <x:c r="G500" s="14" t="str">
        <x:v>Trung tâm Khí tượng hàng không</x:v>
      </x:c>
      <x:c r="H500" s="14" t="str"/>
      <x:c r="I500" s="58" t="str"/>
      <x:c r="J500" s="58" t="str"/>
      <x:c r="K500" s="14" t="str"/>
      <x:c r="L500" s="14" t="str">
        <x:v>Chưa có</x:v>
      </x:c>
      <x:c r="M500" s="14" t="str">
        <x:v>Theo dõi và cập nhật link/chỉ dẫn hồ sơ sau khi có bằng chứng.</x:v>
      </x:c>
    </x:row>
    <x:row r="501">
      <x:c r="A501" s="14" t="str">
        <x:v>EVID-0500</x:v>
      </x:c>
      <x:c r="B501" s="14" t="str">
        <x:v>VATM-0500</x:v>
      </x:c>
      <x:c r="C501" s="14" t="str">
        <x:v>ANS - Tìm kiếm cứu nạn &amp; khẩn nguy</x:v>
      </x:c>
      <x:c r="D501" s="14" t="str">
        <x:v>SAR, khẩn nguy và hiệp đồng</x:v>
      </x:c>
      <x:c r="E501" s="14" t="str">
        <x:v>Kế hoạch SAR; SOP xác định khu vực ưu tiên; danh bạ phối hợp; log trực; Trực SAR 24/7; khu vực ưu tiên có cơ sở tính toán; phối hợp kịp thời; 01 kế hoạch toàn quốc + kế hoạch khu vực</x:v>
      </x:c>
      <x:c r="F501" s="14" t="str">
        <x:v>Quyết định/Kế hoạch</x:v>
      </x:c>
      <x:c r="G501" s="14" t="str">
        <x:v>Trung tâm Tìm kiếm cứu nạn hàng không</x:v>
      </x:c>
      <x:c r="H501" s="14" t="str"/>
      <x:c r="I501" s="58" t="str"/>
      <x:c r="J501" s="58" t="str"/>
      <x:c r="K501" s="14" t="str"/>
      <x:c r="L501" s="14" t="str">
        <x:v>Chưa có</x:v>
      </x:c>
      <x:c r="M501" s="14" t="str">
        <x:v>Theo dõi và cập nhật link/chỉ dẫn hồ sơ sau khi có bằng chứng.</x:v>
      </x:c>
    </x:row>
    <x:row r="502">
      <x:c r="A502" s="14" t="str">
        <x:v>EVID-0501</x:v>
      </x:c>
      <x:c r="B502" s="14" t="str">
        <x:v>VATM-0501</x:v>
      </x:c>
      <x:c r="C502" s="14" t="str">
        <x:v>ANS - Tìm kiếm cứu nạn &amp; khẩn nguy</x:v>
      </x:c>
      <x:c r="D502" s="14" t="str">
        <x:v>SAR, khẩn nguy và hiệp đồng</x:v>
      </x:c>
      <x:c r="E502" s="14" t="str">
        <x:v>Kịch bản diễn tập; kế hoạch lực lượng; biên bản rút kinh nghiệm; Tối thiểu 01 diễn tập quốc gia/2 năm; 01 diễn tập bàn VATM/năm; Theo chu kỳ 2027, 2029...</x:v>
      </x:c>
      <x:c r="F502" s="14" t="str">
        <x:v>Quyết định/Kế hoạch</x:v>
      </x:c>
      <x:c r="G502" s="14" t="str">
        <x:v>Trung tâm Tìm kiếm cứu nạn hàng không; Ban An toàn - Chất lượng</x:v>
      </x:c>
      <x:c r="H502" s="14" t="str"/>
      <x:c r="I502" s="58" t="str"/>
      <x:c r="J502" s="58" t="str"/>
      <x:c r="K502" s="14" t="str"/>
      <x:c r="L502" s="14" t="str">
        <x:v>Chưa có</x:v>
      </x:c>
      <x:c r="M502" s="14" t="str">
        <x:v>Theo dõi và cập nhật link/chỉ dẫn hồ sơ sau khi có bằng chứng.</x:v>
      </x:c>
    </x:row>
    <x:row r="503">
      <x:c r="A503" s="14" t="str">
        <x:v>EVID-0502</x:v>
      </x:c>
      <x:c r="B503" s="14" t="str">
        <x:v>VATM-0502</x:v>
      </x:c>
      <x:c r="C503" s="14" t="str">
        <x:v>ANS - ATM/ATS/ATFM</x:v>
      </x:c>
      <x:c r="D503" s="14" t="str">
        <x:v>Cung cấp ATS/điều hành bay</x:v>
      </x:c>
      <x:c r="E503" s="14" t="str">
        <x:v>Chương trình đào tạo; tài liệu tóm tắt theo vai trò; bài kiểm tra; 100% nhân sự trọng yếu hoàn thành đào tạo trước khi áp dụng SOP mới; Tối thiểu 08 module theo nhóm nghiệp vụ</x:v>
      </x:c>
      <x:c r="F503" s="14" t="str">
        <x:v>Quy trình/SOP</x:v>
      </x:c>
      <x:c r="G503" s="14" t="str">
        <x:v>Ban Không lưu; Văn phòng - Pháp chế; Trung tâm Huấn luyện đào tạo</x:v>
      </x:c>
      <x:c r="H503" s="14" t="str"/>
      <x:c r="I503" s="58" t="str"/>
      <x:c r="J503" s="58" t="str"/>
      <x:c r="K503" s="14" t="str"/>
      <x:c r="L503" s="14" t="str">
        <x:v>Chưa có</x:v>
      </x:c>
      <x:c r="M503" s="14" t="str">
        <x:v>Theo dõi và cập nhật link/chỉ dẫn hồ sơ sau khi có bằng chứng.</x:v>
      </x:c>
    </x:row>
    <x:row r="504">
      <x:c r="A504" s="14" t="str">
        <x:v>EVID-0503</x:v>
      </x:c>
      <x:c r="B504" s="14" t="str">
        <x:v>VATM-0503</x:v>
      </x:c>
      <x:c r="C504" s="14" t="str">
        <x:v>ANS - ATM/ATS/ATFM</x:v>
      </x:c>
      <x:c r="D504" s="14" t="str">
        <x:v>Cung cấp ATS/điều hành bay</x:v>
      </x:c>
      <x:c r="E504" s="14" t="str">
        <x:v>Danh bạ đầu mối; hướng dẫn gửi dữ liệu/hồ sơ; thông báo tới đối tác; Đầu mối rõ, hoạt động 24/7 nếu liên quan khai thác; giảm nhầm lẫn thẩm quyền; 01 gói truyền thông đối tác</x:v>
      </x:c>
      <x:c r="F504" s="14" t="str">
        <x:v>Quy trình/SOP</x:v>
      </x:c>
      <x:c r="G504" s="14" t="str">
        <x:v>Ban Không lưu; Văn phòng - Pháp chế</x:v>
      </x:c>
      <x:c r="H504" s="14" t="str"/>
      <x:c r="I504" s="58" t="str"/>
      <x:c r="J504" s="58" t="str"/>
      <x:c r="K504" s="14" t="str"/>
      <x:c r="L504" s="14" t="str">
        <x:v>Chưa có</x:v>
      </x:c>
      <x:c r="M504" s="14" t="str">
        <x:v>Theo dõi và cập nhật link/chỉ dẫn hồ sơ sau khi có bằng chứng.</x:v>
      </x:c>
    </x:row>
    <x:row r="505">
      <x:c r="A505" s="14" t="str">
        <x:v>EVID-0504</x:v>
      </x:c>
      <x:c r="B505" s="14" t="str">
        <x:v>VATM-0504</x:v>
      </x:c>
      <x:c r="C505" s="14" t="str">
        <x:v>ANS - ATM/ATS/ATFM</x:v>
      </x:c>
      <x:c r="D505" s="14" t="str">
        <x:v>Cung cấp ATS/điều hành bay</x:v>
      </x:c>
      <x:c r="E505" s="14" t="str">
        <x:v>Dashboard tiến độ; báo cáo tháng/quý; danh mục rủi ro; 100% nhiệm vụ P1 có chủ trì, mốc, sản phẩm và trạng thái; xử lý vướng mắc đúng cấp; 01 dashboard + báo cáo định kỳ</x:v>
      </x:c>
      <x:c r="F505" s="14" t="str">
        <x:v>Báo cáo</x:v>
      </x:c>
      <x:c r="G505" s="14" t="str">
        <x:v>Ban Không lưu; Văn phòng - Pháp chế; Ban An toàn - Chất lượng</x:v>
      </x:c>
      <x:c r="H505" s="14" t="str"/>
      <x:c r="I505" s="58" t="str"/>
      <x:c r="J505" s="58" t="str"/>
      <x:c r="K505" s="14" t="str"/>
      <x:c r="L505" s="14" t="str">
        <x:v>Chưa có</x:v>
      </x:c>
      <x:c r="M505" s="14" t="str">
        <x:v>Theo dõi và cập nhật link/chỉ dẫn hồ sơ sau khi có bằng chứng.</x:v>
      </x:c>
    </x:row>
    <x:row r="506">
      <x:c r="A506" s="14" t="str">
        <x:v>EVID-0505</x:v>
      </x:c>
      <x:c r="B506" s="14" t="str">
        <x:v>VATM-0505</x:v>
      </x:c>
      <x:c r="C506" s="14" t="str">
        <x:v>Tuân thủ, pháp chế &amp; quản trị</x:v>
      </x:c>
      <x:c r="D506" s="14" t="str">
        <x:v>Quản trị triển khai, RACI và báo cáo</x:v>
      </x:c>
      <x:c r="E506" s="14" t="str">
        <x:v>Quyết định thành lập, RACI, lịch họp, dashboard tiến độ; 01 đầu mối cấp Tổng công ty; họp ít nhất 2 tuần/lần giai đoạn 01/07-30/09/2026</x:v>
      </x:c>
      <x:c r="F506" s="14" t="str">
        <x:v>Dữ liệu hệ thống</x:v>
      </x:c>
      <x:c r="G506" s="14" t="str">
        <x:v>Văn phòng - Pháp chế; Ban Không lưu</x:v>
      </x:c>
      <x:c r="H506" s="14" t="str"/>
      <x:c r="I506" s="58" t="str"/>
      <x:c r="J506" s="58" t="str"/>
      <x:c r="K506" s="14" t="str"/>
      <x:c r="L506" s="14" t="str">
        <x:v>Chưa có</x:v>
      </x:c>
      <x:c r="M506" s="14" t="str">
        <x:v>Theo dõi và cập nhật link/chỉ dẫn hồ sơ sau khi có bằng chứng.</x:v>
      </x:c>
    </x:row>
    <x:row r="507">
      <x:c r="A507" s="14" t="str">
        <x:v>EVID-0506</x:v>
      </x:c>
      <x:c r="B507" s="14" t="str">
        <x:v>VATM-0506</x:v>
      </x:c>
      <x:c r="C507" s="14" t="str">
        <x:v>Tuân thủ, pháp chế &amp; quản trị</x:v>
      </x:c>
      <x:c r="D507" s="14" t="str">
        <x:v>Quản trị triển khai, RACI và báo cáo</x:v>
      </x:c>
      <x:c r="E507" s="14" t="str">
        <x:v>Báo cáo GAP; danh mục văn bản nội bộ sửa đổi/ban hành mới; Bao phủ 100% điều/phụ lục liên quan trực tiếp/gián tiếp</x:v>
      </x:c>
      <x:c r="F507" s="14" t="str">
        <x:v>Báo cáo</x:v>
      </x:c>
      <x:c r="G507" s="14" t="str">
        <x:v>Văn phòng - Pháp chế</x:v>
      </x:c>
      <x:c r="H507" s="14" t="str"/>
      <x:c r="I507" s="58" t="str"/>
      <x:c r="J507" s="58" t="str"/>
      <x:c r="K507" s="14" t="str"/>
      <x:c r="L507" s="14" t="str">
        <x:v>Chưa có</x:v>
      </x:c>
      <x:c r="M507" s="14" t="str">
        <x:v>Theo dõi và cập nhật link/chỉ dẫn hồ sơ sau khi có bằng chứng.</x:v>
      </x:c>
    </x:row>
    <x:row r="508">
      <x:c r="A508" s="14" t="str">
        <x:v>EVID-0507</x:v>
      </x:c>
      <x:c r="B508" s="14" t="str">
        <x:v>VATM-0507</x:v>
      </x:c>
      <x:c r="C508" s="14" t="str">
        <x:v>Tuân thủ, pháp chế &amp; quản trị</x:v>
      </x:c>
      <x:c r="D508" s="14" t="str">
        <x:v>Quản trị triển khai, RACI và báo cáo</x:v>
      </x:c>
      <x:c r="E508" s="14" t="str">
        <x:v>Sổ theo dõi pháp chế; quy trình cập nhật yêu cầu NCTHK; Cập nhật trong 03 ngày làm việc từ khi nhận văn bản/chỉ lệnh</x:v>
      </x:c>
      <x:c r="F508" s="14" t="str">
        <x:v>Quy trình/SOP</x:v>
      </x:c>
      <x:c r="G508" s="14" t="str">
        <x:v>Văn phòng - Pháp chế</x:v>
      </x:c>
      <x:c r="H508" s="14" t="str"/>
      <x:c r="I508" s="58" t="str"/>
      <x:c r="J508" s="58" t="str"/>
      <x:c r="K508" s="14" t="str"/>
      <x:c r="L508" s="14" t="str">
        <x:v>Chưa có</x:v>
      </x:c>
      <x:c r="M508" s="14" t="str">
        <x:v>Theo dõi và cập nhật link/chỉ dẫn hồ sơ sau khi có bằng chứng.</x:v>
      </x:c>
    </x:row>
    <x:row r="509">
      <x:c r="A509" s="14" t="str">
        <x:v>EVID-0508</x:v>
      </x:c>
      <x:c r="B509" s="14" t="str">
        <x:v>VATM-0508</x:v>
      </x:c>
      <x:c r="C509" s="14" t="str">
        <x:v>Tuân thủ, pháp chế &amp; quản trị</x:v>
      </x:c>
      <x:c r="D509" s="14" t="str">
        <x:v>Quản trị triển khai, RACI và báo cáo</x:v>
      </x:c>
      <x:c r="E509" s="14" t="str">
        <x:v>Register giấy phép/phê chuẩn; cảnh báo hết hạn; 100% giấy phép/phê chuẩn có owner, hạn hiệu lực, điều kiện duy trì</x:v>
      </x:c>
      <x:c r="F509" s="14" t="str">
        <x:v>Hồ sơ phê duyệt</x:v>
      </x:c>
      <x:c r="G509" s="14" t="str">
        <x:v>Văn phòng - Pháp chế</x:v>
      </x:c>
      <x:c r="H509" s="14" t="str"/>
      <x:c r="I509" s="58" t="str"/>
      <x:c r="J509" s="58" t="str"/>
      <x:c r="K509" s="14" t="str"/>
      <x:c r="L509" s="14" t="str">
        <x:v>Chưa có</x:v>
      </x:c>
      <x:c r="M509" s="14" t="str">
        <x:v>Theo dõi và cập nhật link/chỉ dẫn hồ sơ sau khi có bằng chứng.</x:v>
      </x:c>
    </x:row>
    <x:row r="510">
      <x:c r="A510" s="14" t="str">
        <x:v>EVID-0509</x:v>
      </x:c>
      <x:c r="B510" s="14" t="str">
        <x:v>VATM-0509</x:v>
      </x:c>
      <x:c r="C510" s="14" t="str">
        <x:v>Tuân thủ, dữ liệu &amp; chuyển đổi số</x:v>
      </x:c>
      <x:c r="D510" s="14" t="str">
        <x:v>Hồ sơ điện tử, CSDL và ký số</x:v>
      </x:c>
      <x:c r="E510" s="14" t="str">
        <x:v>SOP thủ tục với Cục HKVN; mẫu checklist hồ sơ; Không hồ sơ quá hạn do chậm nộp phí/bổ sung; log 100% hồ sơ</x:v>
      </x:c>
      <x:c r="F510" s="14" t="str">
        <x:v>Quy trình/SOP</x:v>
      </x:c>
      <x:c r="G510" s="14" t="str">
        <x:v>Ban Kế hoạch doanh nghiệp - Chuyển đổi số; Ban Kỹ thuật - CNS/IT/Môi trường; Văn phòng - Pháp chế</x:v>
      </x:c>
      <x:c r="H510" s="14" t="str"/>
      <x:c r="I510" s="58" t="str"/>
      <x:c r="J510" s="58" t="str"/>
      <x:c r="K510" s="14" t="str"/>
      <x:c r="L510" s="14" t="str">
        <x:v>Chưa có</x:v>
      </x:c>
      <x:c r="M510" s="14" t="str">
        <x:v>Theo dõi và cập nhật link/chỉ dẫn hồ sơ sau khi có bằng chứng.</x:v>
      </x:c>
    </x:row>
    <x:row r="511">
      <x:c r="A511" s="14" t="str">
        <x:v>EVID-0510</x:v>
      </x:c>
      <x:c r="B511" s="14" t="str">
        <x:v>VATM-0510</x:v>
      </x:c>
      <x:c r="C511" s="14" t="str">
        <x:v>Tuân thủ, dữ liệu &amp; chuyển đổi số</x:v>
      </x:c>
      <x:c r="D511" s="14" t="str">
        <x:v>Hồ sơ điện tử, CSDL và ký số</x:v>
      </x:c>
      <x:c r="E511" s="14" t="str">
        <x:v>Quy chế; ma trận loại chữ ký; tiêu chuẩn lưu trữ điện tử; 100% hồ sơ gửi cơ quan quản lý dùng chữ ký số hợp lệ; hồ sơ nội bộ có xác thực/lưu vết</x:v>
      </x:c>
      <x:c r="F511" s="14" t="str">
        <x:v>Quy trình/SOP</x:v>
      </x:c>
      <x:c r="G511" s="14" t="str">
        <x:v>Ban Kế hoạch doanh nghiệp - Chuyển đổi số; Ban Kỹ thuật - CNS/IT/Môi trường</x:v>
      </x:c>
      <x:c r="H511" s="14" t="str"/>
      <x:c r="I511" s="58" t="str"/>
      <x:c r="J511" s="58" t="str"/>
      <x:c r="K511" s="14" t="str"/>
      <x:c r="L511" s="14" t="str">
        <x:v>Chưa có</x:v>
      </x:c>
      <x:c r="M511" s="14" t="str">
        <x:v>Theo dõi và cập nhật link/chỉ dẫn hồ sơ sau khi có bằng chứng.</x:v>
      </x:c>
    </x:row>
    <x:row r="512">
      <x:c r="A512" s="14" t="str">
        <x:v>EVID-0511</x:v>
      </x:c>
      <x:c r="B512" s="14" t="str">
        <x:v>VATM-0511</x:v>
      </x:c>
      <x:c r="C512" s="14" t="str">
        <x:v>Tuân thủ, dữ liệu &amp; chuyển đổi số</x:v>
      </x:c>
      <x:c r="D512" s="14" t="str">
        <x:v>Hồ sơ điện tử, CSDL và ký số</x:v>
      </x:c>
      <x:c r="E512" s="14" t="str">
        <x:v>Data inventory và data owner map; Mỗi tập dữ liệu có owner, tần suất cập nhật, tiêu chuẩn chất lượng, mức độ bảo mật</x:v>
      </x:c>
      <x:c r="F512" s="14" t="str">
        <x:v>Dữ liệu hệ thống</x:v>
      </x:c>
      <x:c r="G512" s="14" t="str">
        <x:v>Ban Kế hoạch doanh nghiệp - Chuyển đổi số; Ban Kỹ thuật - CNS/IT/Môi trường</x:v>
      </x:c>
      <x:c r="H512" s="14" t="str"/>
      <x:c r="I512" s="58" t="str"/>
      <x:c r="J512" s="58" t="str"/>
      <x:c r="K512" s="14" t="str"/>
      <x:c r="L512" s="14" t="str">
        <x:v>Chưa có</x:v>
      </x:c>
      <x:c r="M512" s="14" t="str">
        <x:v>Theo dõi và cập nhật link/chỉ dẫn hồ sơ sau khi có bằng chứng.</x:v>
      </x:c>
    </x:row>
    <x:row r="513">
      <x:c r="A513" s="14" t="str">
        <x:v>EVID-0512</x:v>
      </x:c>
      <x:c r="B513" s="14" t="str">
        <x:v>VATM-0512</x:v>
      </x:c>
      <x:c r="C513" s="14" t="str">
        <x:v>Tuân thủ, dữ liệu &amp; chuyển đổi số</x:v>
      </x:c>
      <x:c r="D513" s="14" t="str">
        <x:v>Hồ sơ điện tử, CSDL và ký số</x:v>
      </x:c>
      <x:c r="E513" s="14" t="str">
        <x:v>Kiến trúc kết nối; API/file exchange; quy chế phân quyền; SLA dữ liệu ≥95% đúng hạn; log truy cập lưu tối thiểu theo quy định nội bộ/pháp luật</x:v>
      </x:c>
      <x:c r="F513" s="14" t="str">
        <x:v>Quy trình/SOP</x:v>
      </x:c>
      <x:c r="G513" s="14" t="str">
        <x:v>Ban Kế hoạch doanh nghiệp - Chuyển đổi số; Ban Kỹ thuật - CNS/IT/Môi trường</x:v>
      </x:c>
      <x:c r="H513" s="14" t="str"/>
      <x:c r="I513" s="58" t="str"/>
      <x:c r="J513" s="58" t="str"/>
      <x:c r="K513" s="14" t="str"/>
      <x:c r="L513" s="14" t="str">
        <x:v>Chưa có</x:v>
      </x:c>
      <x:c r="M513" s="14" t="str">
        <x:v>Theo dõi và cập nhật link/chỉ dẫn hồ sơ sau khi có bằng chứng.</x:v>
      </x:c>
    </x:row>
    <x:row r="514">
      <x:c r="A514" s="14" t="str">
        <x:v>EVID-0513</x:v>
      </x:c>
      <x:c r="B514" s="14" t="str">
        <x:v>VATM-0513</x:v>
      </x:c>
      <x:c r="C514" s="14" t="str">
        <x:v>Tuân thủ, dữ liệu &amp; chuyển đổi số</x:v>
      </x:c>
      <x:c r="D514" s="14" t="str">
        <x:v>Hồ sơ điện tử, CSDL và ký số</x:v>
      </x:c>
      <x:c r="E514" s="14" t="str">
        <x:v>DQP - Data Quality Procedure; báo cáo chất lượng dữ liệu quý; Độ đầy đủ ≥98%; lỗi dữ liệu trọng yếu có CAP trong 05 ngày làm việc</x:v>
      </x:c>
      <x:c r="F514" s="14" t="str">
        <x:v>Báo cáo</x:v>
      </x:c>
      <x:c r="G514" s="14" t="str">
        <x:v>Ban Kế hoạch doanh nghiệp - Chuyển đổi số; Ban Kỹ thuật - CNS/IT/Môi trường</x:v>
      </x:c>
      <x:c r="H514" s="14" t="str"/>
      <x:c r="I514" s="58" t="str"/>
      <x:c r="J514" s="58" t="str"/>
      <x:c r="K514" s="14" t="str"/>
      <x:c r="L514" s="14" t="str">
        <x:v>Chưa có</x:v>
      </x:c>
      <x:c r="M514" s="14" t="str">
        <x:v>Theo dõi và cập nhật link/chỉ dẫn hồ sơ sau khi có bằng chứng.</x:v>
      </x:c>
    </x:row>
    <x:row r="515">
      <x:c r="A515" s="14" t="str">
        <x:v>EVID-0514</x:v>
      </x:c>
      <x:c r="B515" s="14" t="str">
        <x:v>VATM-0514</x:v>
      </x:c>
      <x:c r="C515" s="14" t="str">
        <x:v>An toàn hàng không / SMS</x:v>
      </x:c>
      <x:c r="D515" s="14" t="str">
        <x:v>Khung SMS và quản trị an toàn</x:v>
      </x:c>
      <x:c r="E515" s="14" t="str">
        <x:v>SMS Manual revision; hồ sơ trình NCTHK chấp thuận; Trình chấp thuận trong 12 tháng từ ngày hiệu lực; bao phủ ATS/CNS/MET/AIS/SAR</x:v>
      </x:c>
      <x:c r="F515" s="14" t="str">
        <x:v>Khác</x:v>
      </x:c>
      <x:c r="G515" s="14" t="str">
        <x:v>Ban An toàn - Chất lượng</x:v>
      </x:c>
      <x:c r="H515" s="14" t="str"/>
      <x:c r="I515" s="58" t="str"/>
      <x:c r="J515" s="58" t="str"/>
      <x:c r="K515" s="14" t="str"/>
      <x:c r="L515" s="14" t="str">
        <x:v>Chưa có</x:v>
      </x:c>
      <x:c r="M515" s="14" t="str">
        <x:v>Theo dõi và cập nhật link/chỉ dẫn hồ sơ sau khi có bằng chứng.</x:v>
      </x:c>
    </x:row>
    <x:row r="516">
      <x:c r="A516" s="14" t="str">
        <x:v>EVID-0515</x:v>
      </x:c>
      <x:c r="B516" s="14" t="str">
        <x:v>VATM-0515</x:v>
      </x:c>
      <x:c r="C516" s="14" t="str">
        <x:v>An toàn hàng không / SMS</x:v>
      </x:c>
      <x:c r="D516" s="14" t="str">
        <x:v>Khung SMS và quản trị an toàn</x:v>
      </x:c>
      <x:c r="E516" s="14" t="str">
        <x:v>Bộ SPI/SPT; dashboard theo tháng/quý; Có baseline, target, alert level; đánh giá trend hằng quý</x:v>
      </x:c>
      <x:c r="F516" s="14" t="str">
        <x:v>Dữ liệu hệ thống</x:v>
      </x:c>
      <x:c r="G516" s="14" t="str">
        <x:v>Ban An toàn - Chất lượng</x:v>
      </x:c>
      <x:c r="H516" s="14" t="str"/>
      <x:c r="I516" s="58" t="str"/>
      <x:c r="J516" s="58" t="str"/>
      <x:c r="K516" s="14" t="str"/>
      <x:c r="L516" s="14" t="str">
        <x:v>Chưa có</x:v>
      </x:c>
      <x:c r="M516" s="14" t="str">
        <x:v>Theo dõi và cập nhật link/chỉ dẫn hồ sơ sau khi có bằng chứng.</x:v>
      </x:c>
    </x:row>
    <x:row r="517">
      <x:c r="A517" s="14" t="str">
        <x:v>EVID-0516</x:v>
      </x:c>
      <x:c r="B517" s="14" t="str">
        <x:v>VATM-0516</x:v>
      </x:c>
      <x:c r="C517" s="14" t="str">
        <x:v>An toàn hàng không / SMS</x:v>
      </x:c>
      <x:c r="D517" s="14" t="str">
        <x:v>Khung SMS và quản trị an toàn</x:v>
      </x:c>
      <x:c r="E517" s="14" t="str">
        <x:v>Danh mục taxonomy; hướng dẫn mã hóa; 100% báo cáo mới có mã phân loại; mapping với hệ thống hiện hữu</x:v>
      </x:c>
      <x:c r="F517" s="14" t="str">
        <x:v>Quy trình/SOP</x:v>
      </x:c>
      <x:c r="G517" s="14" t="str">
        <x:v>Ban An toàn - Chất lượng</x:v>
      </x:c>
      <x:c r="H517" s="14" t="str"/>
      <x:c r="I517" s="58" t="str"/>
      <x:c r="J517" s="58" t="str"/>
      <x:c r="K517" s="14" t="str"/>
      <x:c r="L517" s="14" t="str">
        <x:v>Chưa có</x:v>
      </x:c>
      <x:c r="M517" s="14" t="str">
        <x:v>Theo dõi và cập nhật link/chỉ dẫn hồ sơ sau khi có bằng chứng.</x:v>
      </x:c>
    </x:row>
    <x:row r="518">
      <x:c r="A518" s="14" t="str">
        <x:v>EVID-0517</x:v>
      </x:c>
      <x:c r="B518" s="14" t="str">
        <x:v>VATM-0517</x:v>
      </x:c>
      <x:c r="C518" s="14" t="str">
        <x:v>An toàn hàng không / SMS</x:v>
      </x:c>
      <x:c r="D518" s="14" t="str">
        <x:v>Khung SMS và quản trị an toàn</x:v>
      </x:c>
      <x:c r="E518" s="14" t="str">
        <x:v>Kết nối dữ liệu; biên bản thử nghiệm/ nghiệm thu; Không mất dữ liệu; mã hóa/ẩn danh theo yêu cầu; backup và DR test định kỳ</x:v>
      </x:c>
      <x:c r="F518" s="14" t="str">
        <x:v>Biên bản/nhật ký/log</x:v>
      </x:c>
      <x:c r="G518" s="14" t="str">
        <x:v>Ban An toàn - Chất lượng; Ban Kế hoạch doanh nghiệp - Chuyển đổi số; Ban Kỹ thuật - CNS/IT/Môi trường</x:v>
      </x:c>
      <x:c r="H518" s="14" t="str"/>
      <x:c r="I518" s="58" t="str"/>
      <x:c r="J518" s="58" t="str"/>
      <x:c r="K518" s="14" t="str"/>
      <x:c r="L518" s="14" t="str">
        <x:v>Chưa có</x:v>
      </x:c>
      <x:c r="M518" s="14" t="str">
        <x:v>Theo dõi và cập nhật link/chỉ dẫn hồ sơ sau khi có bằng chứng.</x:v>
      </x:c>
    </x:row>
    <x:row r="519">
      <x:c r="A519" s="14" t="str">
        <x:v>EVID-0518</x:v>
      </x:c>
      <x:c r="B519" s="14" t="str">
        <x:v>VATM-0518</x:v>
      </x:c>
      <x:c r="C519" s="14" t="str">
        <x:v>An toàn hàng không / SMS</x:v>
      </x:c>
      <x:c r="D519" s="14" t="str">
        <x:v>Khung SMS và quản trị an toàn</x:v>
      </x:c>
      <x:c r="E519" s="14" t="str">
        <x:v>CAP/RCA procedure; tracker không tuân thủ; 100% NC có owner/deadline; P1 CAP được lãnh đạo phê duyệt; closure on-time ≥95%</x:v>
      </x:c>
      <x:c r="F519" s="14" t="str">
        <x:v>Hồ sơ phê duyệt</x:v>
      </x:c>
      <x:c r="G519" s="14" t="str">
        <x:v>Ban An toàn - Chất lượng</x:v>
      </x:c>
      <x:c r="H519" s="14" t="str"/>
      <x:c r="I519" s="58" t="str"/>
      <x:c r="J519" s="58" t="str"/>
      <x:c r="K519" s="14" t="str"/>
      <x:c r="L519" s="14" t="str">
        <x:v>Chưa có</x:v>
      </x:c>
      <x:c r="M519" s="14" t="str">
        <x:v>Theo dõi và cập nhật link/chỉ dẫn hồ sơ sau khi có bằng chứng.</x:v>
      </x:c>
    </x:row>
    <x:row r="520">
      <x:c r="A520" s="14" t="str">
        <x:v>EVID-0519</x:v>
      </x:c>
      <x:c r="B520" s="14" t="str">
        <x:v>VATM-0519</x:v>
      </x:c>
      <x:c r="C520" s="14" t="str">
        <x:v>An toàn hàng không / SMS</x:v>
      </x:c>
      <x:c r="D520" s="14" t="str">
        <x:v>Khung SMS và quản trị an toàn</x:v>
      </x:c>
      <x:c r="E520" s="14" t="str">
        <x:v>Mẫu risk assessment; mẫu nghiên cứu hàng không; tracker miễn trừ; Mọi miễn trừ có thời hạn, giới hạn, mitigation và tiêu chí chấm dứt</x:v>
      </x:c>
      <x:c r="F520" s="14" t="str">
        <x:v>Biểu mẫu/Checklist</x:v>
      </x:c>
      <x:c r="G520" s="14" t="str">
        <x:v>Ban An toàn - Chất lượng</x:v>
      </x:c>
      <x:c r="H520" s="14" t="str"/>
      <x:c r="I520" s="58" t="str"/>
      <x:c r="J520" s="58" t="str"/>
      <x:c r="K520" s="14" t="str"/>
      <x:c r="L520" s="14" t="str">
        <x:v>Chưa có</x:v>
      </x:c>
      <x:c r="M520" s="14" t="str">
        <x:v>Theo dõi và cập nhật link/chỉ dẫn hồ sơ sau khi có bằng chứng.</x:v>
      </x:c>
    </x:row>
    <x:row r="521">
      <x:c r="A521" s="14" t="str">
        <x:v>EVID-0520</x:v>
      </x:c>
      <x:c r="B521" s="14" t="str">
        <x:v>VATM-0520</x:v>
      </x:c>
      <x:c r="C521" s="14" t="str">
        <x:v>An toàn hàng không / SMS</x:v>
      </x:c>
      <x:c r="D521" s="14" t="str">
        <x:v>Khung SMS và quản trị an toàn</x:v>
      </x:c>
      <x:c r="E521" s="14" t="str">
        <x:v>Bộ quy tắc ứng xử; kế hoạch truyền thông; safety promotion calendar; Đào tạo ≥95% lao động thuộc dây chuyền ANS/năm; khảo sát văn hóa an toàn hằng năm</x:v>
      </x:c>
      <x:c r="F521" s="14" t="str">
        <x:v>Quyết định/Kế hoạch</x:v>
      </x:c>
      <x:c r="G521" s="14" t="str">
        <x:v>Ban An toàn - Chất lượng</x:v>
      </x:c>
      <x:c r="H521" s="14" t="str"/>
      <x:c r="I521" s="58" t="str"/>
      <x:c r="J521" s="58" t="str"/>
      <x:c r="K521" s="14" t="str"/>
      <x:c r="L521" s="14" t="str">
        <x:v>Chưa có</x:v>
      </x:c>
      <x:c r="M521" s="14" t="str">
        <x:v>Theo dõi và cập nhật link/chỉ dẫn hồ sơ sau khi có bằng chứng.</x:v>
      </x:c>
    </x:row>
    <x:row r="522">
      <x:c r="A522" s="14" t="str">
        <x:v>EVID-0521</x:v>
      </x:c>
      <x:c r="B522" s="14" t="str">
        <x:v>VATM-0521</x:v>
      </x:c>
      <x:c r="C522" s="14" t="str">
        <x:v>An toàn hàng không / SMS</x:v>
      </x:c>
      <x:c r="D522" s="14" t="str">
        <x:v>Khung SMS và quản trị an toàn</x:v>
      </x:c>
      <x:c r="E522" s="14" t="str">
        <x:v>Chính sách non-punitive/just culture; kênh báo cáo tự nguyện; Tối thiểu 01 chiến dịch/năm; không lộ danh tính trái thẩm quyền</x:v>
      </x:c>
      <x:c r="F522" s="14" t="str">
        <x:v>Báo cáo</x:v>
      </x:c>
      <x:c r="G522" s="14" t="str">
        <x:v>Ban An toàn - Chất lượng</x:v>
      </x:c>
      <x:c r="H522" s="14" t="str"/>
      <x:c r="I522" s="58" t="str"/>
      <x:c r="J522" s="58" t="str"/>
      <x:c r="K522" s="14" t="str"/>
      <x:c r="L522" s="14" t="str">
        <x:v>Chưa có</x:v>
      </x:c>
      <x:c r="M522" s="14" t="str">
        <x:v>Theo dõi và cập nhật link/chỉ dẫn hồ sơ sau khi có bằng chứng.</x:v>
      </x:c>
    </x:row>
    <x:row r="523">
      <x:c r="A523" s="14" t="str">
        <x:v>EVID-0522</x:v>
      </x:c>
      <x:c r="B523" s="14" t="str">
        <x:v>VATM-0522</x:v>
      </x:c>
      <x:c r="C523" s="14" t="str">
        <x:v>An toàn hàng không / SMS</x:v>
      </x:c>
      <x:c r="D523" s="14" t="str">
        <x:v>Báo cáo MOR, sự cố và điều tra</x:v>
      </x:c>
      <x:c r="E523" s="14" t="str">
        <x:v>E-reporting/SOP; danh mục sự cố bắt buộc; quy trình thẩm tra; 100% sự cố bắt buộc báo cáo NCTHK tối đa 72 giờ; báo cáo nội bộ ngay theo cấp độ</x:v>
      </x:c>
      <x:c r="F523" s="14" t="str">
        <x:v>Quy trình/SOP</x:v>
      </x:c>
      <x:c r="G523" s="14" t="str">
        <x:v>Ban An toàn - Chất lượng</x:v>
      </x:c>
      <x:c r="H523" s="14" t="str"/>
      <x:c r="I523" s="58" t="str"/>
      <x:c r="J523" s="58" t="str"/>
      <x:c r="K523" s="14" t="str"/>
      <x:c r="L523" s="14" t="str">
        <x:v>Chưa có</x:v>
      </x:c>
      <x:c r="M523" s="14" t="str">
        <x:v>Theo dõi và cập nhật link/chỉ dẫn hồ sơ sau khi có bằng chứng.</x:v>
      </x:c>
    </x:row>
    <x:row r="524">
      <x:c r="A524" s="14" t="str">
        <x:v>EVID-0523</x:v>
      </x:c>
      <x:c r="B524" s="14" t="str">
        <x:v>VATM-0523</x:v>
      </x:c>
      <x:c r="C524" s="14" t="str">
        <x:v>An toàn hàng không / SMS</x:v>
      </x:c>
      <x:c r="D524" s="14" t="str">
        <x:v>Báo cáo MOR, sự cố và điều tra</x:v>
      </x:c>
      <x:c r="E524" s="14" t="str">
        <x:v>SOP ACCID/SINCID; mẫu báo cáo 24h; hotline/đầu mối 24/7; 100% tình huống có log thời gian phát hiện/thông báo; kiểm tra diễn tập 2 lần/năm</x:v>
      </x:c>
      <x:c r="F524" s="14" t="str">
        <x:v>Quy trình/SOP</x:v>
      </x:c>
      <x:c r="G524" s="14" t="str">
        <x:v>Ban An toàn - Chất lượng</x:v>
      </x:c>
      <x:c r="H524" s="14" t="str"/>
      <x:c r="I524" s="58" t="str"/>
      <x:c r="J524" s="58" t="str"/>
      <x:c r="K524" s="14" t="str"/>
      <x:c r="L524" s="14" t="str">
        <x:v>Chưa có</x:v>
      </x:c>
      <x:c r="M524" s="14" t="str">
        <x:v>Theo dõi và cập nhật link/chỉ dẫn hồ sơ sau khi có bằng chứng.</x:v>
      </x:c>
    </x:row>
    <x:row r="525">
      <x:c r="A525" s="14" t="str">
        <x:v>EVID-0524</x:v>
      </x:c>
      <x:c r="B525" s="14" t="str">
        <x:v>VATM-0524</x:v>
      </x:c>
      <x:c r="C525" s="14" t="str">
        <x:v>An toàn hàng không / SMS</x:v>
      </x:c>
      <x:c r="D525" s="14" t="str">
        <x:v>Báo cáo MOR, sự cố và điều tra</x:v>
      </x:c>
      <x:c r="E525" s="14" t="str">
        <x:v>Tài liệu đào tạo; hồ sơ tham dự; bài kiểm tra; ≥95% nhân viên liên quan hoàn thành trước 31/12/2026; kiểm tra đạt ≥80%</x:v>
      </x:c>
      <x:c r="F525" s="14" t="str">
        <x:v>Khác</x:v>
      </x:c>
      <x:c r="G525" s="14" t="str">
        <x:v>Ban An toàn - Chất lượng</x:v>
      </x:c>
      <x:c r="H525" s="14" t="str"/>
      <x:c r="I525" s="58" t="str"/>
      <x:c r="J525" s="58" t="str"/>
      <x:c r="K525" s="14" t="str"/>
      <x:c r="L525" s="14" t="str">
        <x:v>Chưa có</x:v>
      </x:c>
      <x:c r="M525" s="14" t="str">
        <x:v>Theo dõi và cập nhật link/chỉ dẫn hồ sơ sau khi có bằng chứng.</x:v>
      </x:c>
    </x:row>
    <x:row r="526">
      <x:c r="A526" s="14" t="str">
        <x:v>EVID-0525</x:v>
      </x:c>
      <x:c r="B526" s="14" t="str">
        <x:v>VATM-0525</x:v>
      </x:c>
      <x:c r="C526" s="14" t="str">
        <x:v>Huấn luyện đào tạo &amp; nhân viên HK</x:v>
      </x:c>
      <x:c r="D526" s="14" t="str">
        <x:v>Giấy phép, năng định, chứng chỉ</x:v>
      </x:c>
      <x:c r="E526" s="14" t="str">
        <x:v>License register; cảnh báo hết hạn; hồ sơ scan; 100% nhân viên trực tiếp có hồ sơ còn hiệu lực trước phân công</x:v>
      </x:c>
      <x:c r="F526" s="14" t="str">
        <x:v>Khác</x:v>
      </x:c>
      <x:c r="G526" s="14" t="str">
        <x:v>Trung tâm Huấn luyện đào tạo; Ban Tổ chức cán bộ</x:v>
      </x:c>
      <x:c r="H526" s="14" t="str"/>
      <x:c r="I526" s="58" t="str"/>
      <x:c r="J526" s="58" t="str"/>
      <x:c r="K526" s="14" t="str"/>
      <x:c r="L526" s="14" t="str">
        <x:v>Chưa có</x:v>
      </x:c>
      <x:c r="M526" s="14" t="str">
        <x:v>Theo dõi và cập nhật link/chỉ dẫn hồ sơ sau khi có bằng chứng.</x:v>
      </x:c>
    </x:row>
    <x:row r="527">
      <x:c r="A527" s="14" t="str">
        <x:v>EVID-0526</x:v>
      </x:c>
      <x:c r="B527" s="14" t="str">
        <x:v>VATM-0526</x:v>
      </x:c>
      <x:c r="C527" s="14" t="str">
        <x:v>Huấn luyện đào tạo &amp; nhân viên HK</x:v>
      </x:c>
      <x:c r="D527" s="14" t="str">
        <x:v>Giấy phép, năng định, chứng chỉ</x:v>
      </x:c>
      <x:c r="E527" s="14" t="str">
        <x:v>Danh mục chức danh/chứng chỉ; kế hoạch đào tạo bổ sung; Không có nhân viên làm nhiệm vụ khi thiếu chứng chỉ bắt buộc</x:v>
      </x:c>
      <x:c r="F527" s="14" t="str">
        <x:v>Quyết định/Kế hoạch</x:v>
      </x:c>
      <x:c r="G527" s="14" t="str">
        <x:v>Trung tâm Huấn luyện đào tạo; Ban Tổ chức cán bộ</x:v>
      </x:c>
      <x:c r="H527" s="14" t="str"/>
      <x:c r="I527" s="58" t="str"/>
      <x:c r="J527" s="58" t="str"/>
      <x:c r="K527" s="14" t="str"/>
      <x:c r="L527" s="14" t="str">
        <x:v>Chưa có</x:v>
      </x:c>
      <x:c r="M527" s="14" t="str">
        <x:v>Theo dõi và cập nhật link/chỉ dẫn hồ sơ sau khi có bằng chứng.</x:v>
      </x:c>
    </x:row>
    <x:row r="528">
      <x:c r="A528" s="14" t="str">
        <x:v>EVID-0527</x:v>
      </x:c>
      <x:c r="B528" s="14" t="str">
        <x:v>VATM-0527</x:v>
      </x:c>
      <x:c r="C528" s="14" t="str">
        <x:v>Huấn luyện đào tạo &amp; nhân viên HK</x:v>
      </x:c>
      <x:c r="D528" s="14" t="str">
        <x:v>Giấy phép, năng định, chứng chỉ</x:v>
      </x:c>
      <x:c r="E528" s="14" t="str">
        <x:v>English proficiency plan; lịch kiểm tra; hồ sơ kết quả; 100% ATCO có kết quả còn hiệu lực; cảnh báo trước hết hạn ≥90 ngày</x:v>
      </x:c>
      <x:c r="F528" s="14" t="str">
        <x:v>Khác</x:v>
      </x:c>
      <x:c r="G528" s="14" t="str">
        <x:v>Trung tâm Huấn luyện đào tạo; Ban Tổ chức cán bộ</x:v>
      </x:c>
      <x:c r="H528" s="14" t="str"/>
      <x:c r="I528" s="58" t="str"/>
      <x:c r="J528" s="58" t="str"/>
      <x:c r="K528" s="14" t="str"/>
      <x:c r="L528" s="14" t="str">
        <x:v>Chưa có</x:v>
      </x:c>
      <x:c r="M528" s="14" t="str">
        <x:v>Theo dõi và cập nhật link/chỉ dẫn hồ sơ sau khi có bằng chứng.</x:v>
      </x:c>
    </x:row>
    <x:row r="529">
      <x:c r="A529" s="14" t="str">
        <x:v>EVID-0528</x:v>
      </x:c>
      <x:c r="B529" s="14" t="str">
        <x:v>VATM-0528</x:v>
      </x:c>
      <x:c r="C529" s="14" t="str">
        <x:v>Huấn luyện đào tạo &amp; nhân viên HK</x:v>
      </x:c>
      <x:c r="D529" s="14" t="str">
        <x:v>Giấy phép, năng định, chứng chỉ</x:v>
      </x:c>
      <x:c r="E529" s="14" t="str">
        <x:v>Kế hoạch khám; danh sách cơ sở y tế; hướng dẫn hồ sơ Mẫu 02-04; 100% ATCO có giấy chứng nhận sức khỏe hợp lệ theo quy định mới trước 01/07/2027</x:v>
      </x:c>
      <x:c r="F529" s="14" t="str">
        <x:v>Quyết định/Kế hoạch</x:v>
      </x:c>
      <x:c r="G529" s="14" t="str">
        <x:v>Trung tâm Huấn luyện đào tạo; Ban Tổ chức cán bộ</x:v>
      </x:c>
      <x:c r="H529" s="14" t="str"/>
      <x:c r="I529" s="58" t="str"/>
      <x:c r="J529" s="58" t="str"/>
      <x:c r="K529" s="14" t="str"/>
      <x:c r="L529" s="14" t="str">
        <x:v>Chưa có</x:v>
      </x:c>
      <x:c r="M529" s="14" t="str">
        <x:v>Theo dõi và cập nhật link/chỉ dẫn hồ sơ sau khi có bằng chứng.</x:v>
      </x:c>
    </x:row>
    <x:row r="530">
      <x:c r="A530" s="14" t="str">
        <x:v>EVID-0529</x:v>
      </x:c>
      <x:c r="B530" s="14" t="str">
        <x:v>VATM-0529</x:v>
      </x:c>
      <x:c r="C530" s="14" t="str">
        <x:v>Huấn luyện đào tạo &amp; nhân viên HK</x:v>
      </x:c>
      <x:c r="D530" s="14" t="str">
        <x:v>Giấy phép, năng định, chứng chỉ</x:v>
      </x:c>
      <x:c r="E530" s="14" t="str">
        <x:v>Quy chế ca kíp/nghỉ bù; fatigue risk register; 100% ca trực kiểm soát thời gian nghỉ; làm thêm vượt giới hạn phải có nghỉ bù tương ứng</x:v>
      </x:c>
      <x:c r="F530" s="14" t="str">
        <x:v>Quy trình/SOP</x:v>
      </x:c>
      <x:c r="G530" s="14" t="str">
        <x:v>Trung tâm Huấn luyện đào tạo; Ban Tổ chức cán bộ</x:v>
      </x:c>
      <x:c r="H530" s="14" t="str"/>
      <x:c r="I530" s="58" t="str"/>
      <x:c r="J530" s="58" t="str"/>
      <x:c r="K530" s="14" t="str"/>
      <x:c r="L530" s="14" t="str">
        <x:v>Chưa có</x:v>
      </x:c>
      <x:c r="M530" s="14" t="str">
        <x:v>Theo dõi và cập nhật link/chỉ dẫn hồ sơ sau khi có bằng chứng.</x:v>
      </x:c>
    </x:row>
    <x:row r="531">
      <x:c r="A531" s="14" t="str">
        <x:v>EVID-0530</x:v>
      </x:c>
      <x:c r="B531" s="14" t="str">
        <x:v>VATM-0530</x:v>
      </x:c>
      <x:c r="C531" s="14" t="str">
        <x:v>Huấn luyện đào tạo &amp; nhân viên HK</x:v>
      </x:c>
      <x:c r="D531" s="14" t="str">
        <x:v>Giấy phép, năng định, chứng chỉ</x:v>
      </x:c>
      <x:c r="E531" s="14" t="str">
        <x:v>FRMS/Fatigue Management Procedure; chỉ số fatigue; Không phân công khi không đáp ứng nghỉ ngơi; báo cáo fatigue trend hằng quý</x:v>
      </x:c>
      <x:c r="F531" s="14" t="str">
        <x:v>Báo cáo</x:v>
      </x:c>
      <x:c r="G531" s="14" t="str">
        <x:v>Trung tâm Huấn luyện đào tạo; Ban Tổ chức cán bộ; Ban Không lưu</x:v>
      </x:c>
      <x:c r="H531" s="14" t="str"/>
      <x:c r="I531" s="58" t="str"/>
      <x:c r="J531" s="58" t="str"/>
      <x:c r="K531" s="14" t="str"/>
      <x:c r="L531" s="14" t="str">
        <x:v>Chưa có</x:v>
      </x:c>
      <x:c r="M531" s="14" t="str">
        <x:v>Theo dõi và cập nhật link/chỉ dẫn hồ sơ sau khi có bằng chứng.</x:v>
      </x:c>
    </x:row>
    <x:row r="532">
      <x:c r="A532" s="14" t="str">
        <x:v>EVID-0531</x:v>
      </x:c>
      <x:c r="B532" s="14" t="str">
        <x:v>VATM-0531</x:v>
      </x:c>
      <x:c r="C532" s="14" t="str">
        <x:v>Huấn luyện đào tạo &amp; nhân viên HK</x:v>
      </x:c>
      <x:c r="D532" s="14" t="str">
        <x:v>Giấy phép, năng định, chứng chỉ</x:v>
      </x:c>
      <x:c r="E532" s="14" t="str">
        <x:v>Nội quy sửa đổi; mẫu quyết định tạm đình chỉ; quy trình điều tra kỷ luật; Đúng pháp luật lao động; tách xử lý kỷ luật và biện pháp khẩn cấp an toàn</x:v>
      </x:c>
      <x:c r="F532" s="14" t="str">
        <x:v>Quy trình/SOP</x:v>
      </x:c>
      <x:c r="G532" s="14" t="str">
        <x:v>Trung tâm Huấn luyện đào tạo; Ban Tổ chức cán bộ; Văn phòng - Pháp chế</x:v>
      </x:c>
      <x:c r="H532" s="14" t="str"/>
      <x:c r="I532" s="58" t="str"/>
      <x:c r="J532" s="58" t="str"/>
      <x:c r="K532" s="14" t="str"/>
      <x:c r="L532" s="14" t="str">
        <x:v>Chưa có</x:v>
      </x:c>
      <x:c r="M532" s="14" t="str">
        <x:v>Theo dõi và cập nhật link/chỉ dẫn hồ sơ sau khi có bằng chứng.</x:v>
      </x:c>
    </x:row>
    <x:row r="533">
      <x:c r="A533" s="14" t="str">
        <x:v>EVID-0532</x:v>
      </x:c>
      <x:c r="B533" s="14" t="str">
        <x:v>VATM-0532</x:v>
      </x:c>
      <x:c r="C533" s="14" t="str">
        <x:v>Huấn luyện đào tạo &amp; nhân viên HK</x:v>
      </x:c>
      <x:c r="D533" s="14" t="str">
        <x:v>Giấy phép, năng định, chứng chỉ</x:v>
      </x:c>
      <x:c r="E533" s="14" t="str">
        <x:v>Mẫu báo cáo; dữ liệu điện tử; lịch nhắc hạn; Báo cáo trước 05/7 và 10/1; dữ liệu đầy đủ 100% từ hệ thống HR/ca kíp</x:v>
      </x:c>
      <x:c r="F533" s="14" t="str">
        <x:v>Biểu mẫu/Checklist</x:v>
      </x:c>
      <x:c r="G533" s="14" t="str">
        <x:v>Trung tâm Huấn luyện đào tạo; Ban Tổ chức cán bộ</x:v>
      </x:c>
      <x:c r="H533" s="14" t="str"/>
      <x:c r="I533" s="58" t="str"/>
      <x:c r="J533" s="58" t="str"/>
      <x:c r="K533" s="14" t="str"/>
      <x:c r="L533" s="14" t="str">
        <x:v>Chưa có</x:v>
      </x:c>
      <x:c r="M533" s="14" t="str">
        <x:v>Theo dõi và cập nhật link/chỉ dẫn hồ sơ sau khi có bằng chứng.</x:v>
      </x:c>
    </x:row>
    <x:row r="534">
      <x:c r="A534" s="14" t="str">
        <x:v>EVID-0533</x:v>
      </x:c>
      <x:c r="B534" s="14" t="str">
        <x:v>VATM-0533</x:v>
      </x:c>
      <x:c r="C534" s="14" t="str">
        <x:v>Huấn luyện đào tạo &amp; nhân viên HK</x:v>
      </x:c>
      <x:c r="D534" s="14" t="str">
        <x:v>Chương trình/cơ sở huấn luyện</x:v>
      </x:c>
      <x:c r="E534" s="14" t="str">
        <x:v>Báo cáo pháp lý GCN; phạm vi đào tạo hiện hữu/đề xuất; 100% chương trình đang đào tạo có cơ sở pháp lý và phạm vi phê chuẩn</x:v>
      </x:c>
      <x:c r="F534" s="14" t="str">
        <x:v>Báo cáo</x:v>
      </x:c>
      <x:c r="G534" s="14" t="str">
        <x:v>Trung tâm Huấn luyện đào tạo; Ban Tổ chức cán bộ; Ban Không lưu</x:v>
      </x:c>
      <x:c r="H534" s="14" t="str"/>
      <x:c r="I534" s="58" t="str"/>
      <x:c r="J534" s="58" t="str"/>
      <x:c r="K534" s="14" t="str"/>
      <x:c r="L534" s="14" t="str">
        <x:v>Chưa có</x:v>
      </x:c>
      <x:c r="M534" s="14" t="str">
        <x:v>Theo dõi và cập nhật link/chỉ dẫn hồ sơ sau khi có bằng chứng.</x:v>
      </x:c>
    </x:row>
    <x:row r="535">
      <x:c r="A535" s="14" t="str">
        <x:v>EVID-0534</x:v>
      </x:c>
      <x:c r="B535" s="14" t="str">
        <x:v>VATM-0534</x:v>
      </x:c>
      <x:c r="C535" s="14" t="str">
        <x:v>Huấn luyện đào tạo &amp; nhân viên HK</x:v>
      </x:c>
      <x:c r="D535" s="14" t="str">
        <x:v>Chương trình/cơ sở huấn luyện</x:v>
      </x:c>
      <x:c r="E535" s="14" t="str">
        <x:v>ATO Manual, syllabus, giáo trình, quy trình kiểm tra/đánh giá; Tài liệu có version control; phù hợp chương trình Bộ Xây dựng và phạm vi phê chuẩn</x:v>
      </x:c>
      <x:c r="F535" s="14" t="str">
        <x:v>Quy trình/SOP</x:v>
      </x:c>
      <x:c r="G535" s="14" t="str">
        <x:v>Trung tâm Huấn luyện đào tạo; Ban Tổ chức cán bộ</x:v>
      </x:c>
      <x:c r="H535" s="14" t="str"/>
      <x:c r="I535" s="58" t="str"/>
      <x:c r="J535" s="58" t="str"/>
      <x:c r="K535" s="14" t="str"/>
      <x:c r="L535" s="14" t="str">
        <x:v>Chưa có</x:v>
      </x:c>
      <x:c r="M535" s="14" t="str">
        <x:v>Theo dõi và cập nhật link/chỉ dẫn hồ sơ sau khi có bằng chứng.</x:v>
      </x:c>
    </x:row>
    <x:row r="536">
      <x:c r="A536" s="14" t="str">
        <x:v>EVID-0535</x:v>
      </x:c>
      <x:c r="B536" s="14" t="str">
        <x:v>VATM-0535</x:v>
      </x:c>
      <x:c r="C536" s="14" t="str">
        <x:v>Huấn luyện đào tạo &amp; nhân viên HK</x:v>
      </x:c>
      <x:c r="D536" s="14" t="str">
        <x:v>Chương trình/cơ sở huấn luyện</x:v>
      </x:c>
      <x:c r="E536" s="14" t="str">
        <x:v>QMS đào tạo; SMS đào tạo; quy định class capacity; Tính toán số lượng học viên tối đa theo phòng/thiết bị/giáo viên; hồ sơ truy xuất 100%</x:v>
      </x:c>
      <x:c r="F536" s="14" t="str">
        <x:v>Khác</x:v>
      </x:c>
      <x:c r="G536" s="14" t="str">
        <x:v>Trung tâm Huấn luyện đào tạo; Ban Tổ chức cán bộ</x:v>
      </x:c>
      <x:c r="H536" s="14" t="str"/>
      <x:c r="I536" s="58" t="str"/>
      <x:c r="J536" s="58" t="str"/>
      <x:c r="K536" s="14" t="str"/>
      <x:c r="L536" s="14" t="str">
        <x:v>Chưa có</x:v>
      </x:c>
      <x:c r="M536" s="14" t="str">
        <x:v>Theo dõi và cập nhật link/chỉ dẫn hồ sơ sau khi có bằng chứng.</x:v>
      </x:c>
    </x:row>
    <x:row r="537">
      <x:c r="A537" s="14" t="str">
        <x:v>EVID-0536</x:v>
      </x:c>
      <x:c r="B537" s="14" t="str">
        <x:v>VATM-0536</x:v>
      </x:c>
      <x:c r="C537" s="14" t="str">
        <x:v>Huấn luyện đào tạo &amp; nhân viên HK</x:v>
      </x:c>
      <x:c r="D537" s="14" t="str">
        <x:v>Chương trình/cơ sở huấn luyện</x:v>
      </x:c>
      <x:c r="E537" s="14" t="str">
        <x:v>Equipment GAP report; kế hoạch đầu tư; nhật ký kỹ thuật simulator; Có tối thiểu 01 simulator phù hợp chương trình ATCO; nhật ký kiểm tra trước/sau dùng</x:v>
      </x:c>
      <x:c r="F537" s="14" t="str">
        <x:v>Quyết định/Kế hoạch</x:v>
      </x:c>
      <x:c r="G537" s="14" t="str">
        <x:v>Trung tâm Huấn luyện đào tạo; Ban Tổ chức cán bộ</x:v>
      </x:c>
      <x:c r="H537" s="14" t="str"/>
      <x:c r="I537" s="58" t="str"/>
      <x:c r="J537" s="58" t="str"/>
      <x:c r="K537" s="14" t="str"/>
      <x:c r="L537" s="14" t="str">
        <x:v>Chưa có</x:v>
      </x:c>
      <x:c r="M537" s="14" t="str">
        <x:v>Theo dõi và cập nhật link/chỉ dẫn hồ sơ sau khi có bằng chứng.</x:v>
      </x:c>
    </x:row>
    <x:row r="538">
      <x:c r="A538" s="14" t="str">
        <x:v>EVID-0537</x:v>
      </x:c>
      <x:c r="B538" s="14" t="str">
        <x:v>VATM-0537</x:v>
      </x:c>
      <x:c r="C538" s="14" t="str">
        <x:v>Huấn luyện đào tạo &amp; nhân viên HK</x:v>
      </x:c>
      <x:c r="D538" s="14" t="str">
        <x:v>Chương trình/cơ sở huấn luyện</x:v>
      </x:c>
      <x:c r="E538" s="14" t="str">
        <x:v>Thỏa thuận nội bộ/MOU; quy định an toàn khi thực hành; Không ảnh hưởng khai thác; có phân quyền và giám sát</x:v>
      </x:c>
      <x:c r="F538" s="14" t="str">
        <x:v>Khác</x:v>
      </x:c>
      <x:c r="G538" s="14" t="str">
        <x:v>Trung tâm Huấn luyện đào tạo; Ban Tổ chức cán bộ</x:v>
      </x:c>
      <x:c r="H538" s="14" t="str"/>
      <x:c r="I538" s="58" t="str"/>
      <x:c r="J538" s="58" t="str"/>
      <x:c r="K538" s="14" t="str"/>
      <x:c r="L538" s="14" t="str">
        <x:v>Chưa có</x:v>
      </x:c>
      <x:c r="M538" s="14" t="str">
        <x:v>Theo dõi và cập nhật link/chỉ dẫn hồ sơ sau khi có bằng chứng.</x:v>
      </x:c>
    </x:row>
    <x:row r="539">
      <x:c r="A539" s="14" t="str">
        <x:v>EVID-0538</x:v>
      </x:c>
      <x:c r="B539" s="14" t="str">
        <x:v>VATM-0538</x:v>
      </x:c>
      <x:c r="C539" s="14" t="str">
        <x:v>Huấn luyện đào tạo &amp; nhân viên HK</x:v>
      </x:c>
      <x:c r="D539" s="14" t="str">
        <x:v>Chương trình/cơ sở huấn luyện</x:v>
      </x:c>
      <x:c r="E539" s="14" t="str">
        <x:v>CSDL giáo viên; quyết định giao nhiệm vụ; kế hoạch bồi dưỡng; Mỗi môn có ≥01 giáo viên; giáo viên thỉnh giảng ≤50% số giáo viên chuyên ngành</x:v>
      </x:c>
      <x:c r="F539" s="14" t="str">
        <x:v>Quyết định/Kế hoạch</x:v>
      </x:c>
      <x:c r="G539" s="14" t="str">
        <x:v>Trung tâm Huấn luyện đào tạo; Ban Tổ chức cán bộ</x:v>
      </x:c>
      <x:c r="H539" s="14" t="str"/>
      <x:c r="I539" s="58" t="str"/>
      <x:c r="J539" s="58" t="str"/>
      <x:c r="K539" s="14" t="str"/>
      <x:c r="L539" s="14" t="str">
        <x:v>Chưa có</x:v>
      </x:c>
      <x:c r="M539" s="14" t="str">
        <x:v>Theo dõi và cập nhật link/chỉ dẫn hồ sơ sau khi có bằng chứng.</x:v>
      </x:c>
    </x:row>
    <x:row r="540">
      <x:c r="A540" s="14" t="str">
        <x:v>EVID-0539</x:v>
      </x:c>
      <x:c r="B540" s="14" t="str">
        <x:v>VATM-0539</x:v>
      </x:c>
      <x:c r="C540" s="14" t="str">
        <x:v>Huấn luyện đào tạo &amp; nhân viên HK</x:v>
      </x:c>
      <x:c r="D540" s="14" t="str">
        <x:v>Chương trình/cơ sở huấn luyện</x:v>
      </x:c>
      <x:c r="E540" s="14" t="str">
        <x:v>Kế hoạch recurrent/re-entry; hồ sơ đánh giá instructor; 100% giáo viên thực hành có đánh giá định kỳ ≤24 tháng</x:v>
      </x:c>
      <x:c r="F540" s="14" t="str">
        <x:v>Quyết định/Kế hoạch</x:v>
      </x:c>
      <x:c r="G540" s="14" t="str">
        <x:v>Trung tâm Huấn luyện đào tạo; Ban Tổ chức cán bộ</x:v>
      </x:c>
      <x:c r="H540" s="14" t="str"/>
      <x:c r="I540" s="58" t="str"/>
      <x:c r="J540" s="58" t="str"/>
      <x:c r="K540" s="14" t="str"/>
      <x:c r="L540" s="14" t="str">
        <x:v>Chưa có</x:v>
      </x:c>
      <x:c r="M540" s="14" t="str">
        <x:v>Theo dõi và cập nhật link/chỉ dẫn hồ sơ sau khi có bằng chứng.</x:v>
      </x:c>
    </x:row>
    <x:row r="541">
      <x:c r="A541" s="14" t="str">
        <x:v>EVID-0540</x:v>
      </x:c>
      <x:c r="B541" s="14" t="str">
        <x:v>VATM-0540</x:v>
      </x:c>
      <x:c r="C541" s="14" t="str">
        <x:v>Huấn luyện đào tạo &amp; nhân viên HK</x:v>
      </x:c>
      <x:c r="D541" s="14" t="str">
        <x:v>Chương trình/cơ sở huấn luyện</x:v>
      </x:c>
      <x:c r="E541" s="14" t="str">
        <x:v>Hồ sơ Mẫu 05, báo cáo hoạt động, cơ sở vật chất, giáo viên; Nộp đúng hạn; không để GCN hết hiệu lực; CAP sau thẩm định đúng hạn</x:v>
      </x:c>
      <x:c r="F541" s="14" t="str">
        <x:v>Biểu mẫu/Checklist</x:v>
      </x:c>
      <x:c r="G541" s="14" t="str">
        <x:v>Trung tâm Huấn luyện đào tạo; Ban Tổ chức cán bộ</x:v>
      </x:c>
      <x:c r="H541" s="14" t="str"/>
      <x:c r="I541" s="58" t="str"/>
      <x:c r="J541" s="58" t="str"/>
      <x:c r="K541" s="14" t="str"/>
      <x:c r="L541" s="14" t="str">
        <x:v>Chưa có</x:v>
      </x:c>
      <x:c r="M541" s="14" t="str">
        <x:v>Theo dõi và cập nhật link/chỉ dẫn hồ sơ sau khi có bằng chứng.</x:v>
      </x:c>
    </x:row>
    <x:row r="542">
      <x:c r="A542" s="14" t="str">
        <x:v>EVID-0541</x:v>
      </x:c>
      <x:c r="B542" s="14" t="str">
        <x:v>VATM-0541</x:v>
      </x:c>
      <x:c r="C542" s="14" t="str">
        <x:v>Huấn luyện đào tạo &amp; nhân viên HK</x:v>
      </x:c>
      <x:c r="D542" s="14" t="str">
        <x:v>Chương trình/cơ sở huấn luyện</x:v>
      </x:c>
      <x:c r="E542" s="14" t="str">
        <x:v>SOP thu hồi/hạn chế; kế hoạch xử lý học viên; Không tuyển sinh/đào tạo ngoài phạm vi; thông báo học viên đúng hạn</x:v>
      </x:c>
      <x:c r="F542" s="14" t="str">
        <x:v>Quyết định/Kế hoạch</x:v>
      </x:c>
      <x:c r="G542" s="14" t="str">
        <x:v>Trung tâm Huấn luyện đào tạo; Ban Tổ chức cán bộ</x:v>
      </x:c>
      <x:c r="H542" s="14" t="str"/>
      <x:c r="I542" s="58" t="str"/>
      <x:c r="J542" s="58" t="str"/>
      <x:c r="K542" s="14" t="str"/>
      <x:c r="L542" s="14" t="str">
        <x:v>Chưa có</x:v>
      </x:c>
      <x:c r="M542" s="14" t="str">
        <x:v>Theo dõi và cập nhật link/chỉ dẫn hồ sơ sau khi có bằng chứng.</x:v>
      </x:c>
    </x:row>
    <x:row r="543">
      <x:c r="A543" s="14" t="str">
        <x:v>EVID-0542</x:v>
      </x:c>
      <x:c r="B543" s="14" t="str">
        <x:v>VATM-0542</x:v>
      </x:c>
      <x:c r="C543" s="14" t="str">
        <x:v>Huấn luyện đào tạo &amp; nhân viên HK</x:v>
      </x:c>
      <x:c r="D543" s="14" t="str">
        <x:v>Chương trình/cơ sở huấn luyện</x:v>
      </x:c>
      <x:c r="E543" s="14" t="str">
        <x:v>LMS compliant; quy chế e-learning; log học tập/kiểm tra; 100% học viên định danh; log đầy đủ; an ninh mạng và dữ liệu cá nhân được kiểm soát</x:v>
      </x:c>
      <x:c r="F543" s="14" t="str">
        <x:v>Quy trình/SOP</x:v>
      </x:c>
      <x:c r="G543" s="14" t="str">
        <x:v>Trung tâm Huấn luyện đào tạo; Ban Tổ chức cán bộ; Ban Kế hoạch doanh nghiệp - Chuyển đổi số; Ban Kỹ thuật - CNS/IT/Môi trường</x:v>
      </x:c>
      <x:c r="H543" s="14" t="str"/>
      <x:c r="I543" s="58" t="str"/>
      <x:c r="J543" s="58" t="str"/>
      <x:c r="K543" s="14" t="str"/>
      <x:c r="L543" s="14" t="str">
        <x:v>Chưa có</x:v>
      </x:c>
      <x:c r="M543" s="14" t="str">
        <x:v>Theo dõi và cập nhật link/chỉ dẫn hồ sơ sau khi có bằng chứng.</x:v>
      </x:c>
    </x:row>
    <x:row r="544">
      <x:c r="A544" s="14" t="str">
        <x:v>EVID-0543</x:v>
      </x:c>
      <x:c r="B544" s="14" t="str">
        <x:v>VATM-0543</x:v>
      </x:c>
      <x:c r="C544" s="14" t="str">
        <x:v>Tuân thủ, pháp chế &amp; quản trị</x:v>
      </x:c>
      <x:c r="D544" s="14" t="str">
        <x:v>Thanh tra, kiểm tra, audit tuân thủ</x:v>
      </x:c>
      <x:c r="E544" s="14" t="str">
        <x:v>SOP tiếp đoàn; danh mục hồ sơ sẵn sàng; phân quyền cung cấp dữ liệu; 100% đơn vị trực tiếp có đầu mối; phản hồi yêu cầu giám sát đúng hạn</x:v>
      </x:c>
      <x:c r="F544" s="14" t="str">
        <x:v>Quy trình/SOP</x:v>
      </x:c>
      <x:c r="G544" s="14" t="str">
        <x:v>Văn phòng - Pháp chế</x:v>
      </x:c>
      <x:c r="H544" s="14" t="str"/>
      <x:c r="I544" s="58" t="str"/>
      <x:c r="J544" s="58" t="str"/>
      <x:c r="K544" s="14" t="str"/>
      <x:c r="L544" s="14" t="str">
        <x:v>Chưa có</x:v>
      </x:c>
      <x:c r="M544" s="14" t="str">
        <x:v>Theo dõi và cập nhật link/chỉ dẫn hồ sơ sau khi có bằng chứng.</x:v>
      </x:c>
    </x:row>
    <x:row r="545">
      <x:c r="A545" s="14" t="str">
        <x:v>EVID-0544</x:v>
      </x:c>
      <x:c r="B545" s="14" t="str">
        <x:v>VATM-0544</x:v>
      </x:c>
      <x:c r="C545" s="14" t="str">
        <x:v>Tuân thủ, pháp chế &amp; quản trị</x:v>
      </x:c>
      <x:c r="D545" s="14" t="str">
        <x:v>Thanh tra, kiểm tra, audit tuân thủ</x:v>
      </x:c>
      <x:c r="E545" s="14" t="str">
        <x:v>Risk profile từng đơn vị; hồ sơ hazard/risk control; Rà soát hằng quý; có bằng chứng hiệu lực kiểm soát rủi ro</x:v>
      </x:c>
      <x:c r="F545" s="14" t="str">
        <x:v>Khác</x:v>
      </x:c>
      <x:c r="G545" s="14" t="str">
        <x:v>Văn phòng - Pháp chế; Ban An toàn - Chất lượng</x:v>
      </x:c>
      <x:c r="H545" s="14" t="str"/>
      <x:c r="I545" s="58" t="str"/>
      <x:c r="J545" s="58" t="str"/>
      <x:c r="K545" s="14" t="str"/>
      <x:c r="L545" s="14" t="str">
        <x:v>Chưa có</x:v>
      </x:c>
      <x:c r="M545" s="14" t="str">
        <x:v>Theo dõi và cập nhật link/chỉ dẫn hồ sơ sau khi có bằng chứng.</x:v>
      </x:c>
    </x:row>
    <x:row r="546">
      <x:c r="A546" s="14" t="str">
        <x:v>EVID-0545</x:v>
      </x:c>
      <x:c r="B546" s="14" t="str">
        <x:v>VATM-0545</x:v>
      </x:c>
      <x:c r="C546" s="14" t="str">
        <x:v>Tuân thủ, pháp chế &amp; quản trị</x:v>
      </x:c>
      <x:c r="D546" s="14" t="str">
        <x:v>Thanh tra, kiểm tra, audit tuân thủ</x:v>
      </x:c>
      <x:c r="E546" s="14" t="str">
        <x:v>Compliance evidence repository; Truy xuất trong ≤02 giờ đối với hồ sơ trọng yếu; version control đầy đủ</x:v>
      </x:c>
      <x:c r="F546" s="14" t="str">
        <x:v>Khác</x:v>
      </x:c>
      <x:c r="G546" s="14" t="str">
        <x:v>Văn phòng - Pháp chế; Ban An toàn - Chất lượng</x:v>
      </x:c>
      <x:c r="H546" s="14" t="str"/>
      <x:c r="I546" s="58" t="str"/>
      <x:c r="J546" s="58" t="str"/>
      <x:c r="K546" s="14" t="str"/>
      <x:c r="L546" s="14" t="str">
        <x:v>Chưa có</x:v>
      </x:c>
      <x:c r="M546" s="14" t="str">
        <x:v>Theo dõi và cập nhật link/chỉ dẫn hồ sơ sau khi có bằng chứng.</x:v>
      </x:c>
    </x:row>
    <x:row r="547">
      <x:c r="A547" s="14" t="str">
        <x:v>EVID-0546</x:v>
      </x:c>
      <x:c r="B547" s="14" t="str">
        <x:v>VATM-0546</x:v>
      </x:c>
      <x:c r="C547" s="14" t="str">
        <x:v>ANS - Tìm kiếm cứu nạn &amp; khẩn nguy</x:v>
      </x:c>
      <x:c r="D547" s="14" t="str">
        <x:v>SAR, khẩn nguy và hiệp đồng</x:v>
      </x:c>
      <x:c r="E547" s="14" t="str">
        <x:v>SOP SAR/khẩn nguy; danh bạ 24/7; kịch bản diễn tập; Diễn tập tối thiểu 01 lần/năm; kiểm tra hotline định kỳ</x:v>
      </x:c>
      <x:c r="F547" s="14" t="str">
        <x:v>Quy trình/SOP</x:v>
      </x:c>
      <x:c r="G547" s="14" t="str">
        <x:v>Trung tâm Tìm kiếm cứu nạn hàng không; Ban Không lưu</x:v>
      </x:c>
      <x:c r="H547" s="14" t="str"/>
      <x:c r="I547" s="58" t="str"/>
      <x:c r="J547" s="58" t="str"/>
      <x:c r="K547" s="14" t="str"/>
      <x:c r="L547" s="14" t="str">
        <x:v>Chưa có</x:v>
      </x:c>
      <x:c r="M547" s="14" t="str">
        <x:v>Theo dõi và cập nhật link/chỉ dẫn hồ sơ sau khi có bằng chứng.</x:v>
      </x:c>
    </x:row>
    <x:row r="548">
      <x:c r="A548" s="14" t="str">
        <x:v>EVID-0547</x:v>
      </x:c>
      <x:c r="B548" s="14" t="str">
        <x:v>VATM-0547</x:v>
      </x:c>
      <x:c r="C548" s="14" t="str">
        <x:v>ANS - Tìm kiếm cứu nạn &amp; khẩn nguy</x:v>
      </x:c>
      <x:c r="D548" s="14" t="str">
        <x:v>SAR, khẩn nguy và hiệp đồng</x:v>
      </x:c>
      <x:c r="E548" s="14" t="str">
        <x:v>Chương trình huấn luyện; hồ sơ chứng nhận; ≥95% nhân viên liên quan hoàn thành huấn luyện mỗi năm</x:v>
      </x:c>
      <x:c r="F548" s="14" t="str">
        <x:v>Hồ sơ phê duyệt</x:v>
      </x:c>
      <x:c r="G548" s="14" t="str">
        <x:v>Trung tâm Tìm kiếm cứu nạn hàng không; Ban Không lưu</x:v>
      </x:c>
      <x:c r="H548" s="14" t="str"/>
      <x:c r="I548" s="58" t="str"/>
      <x:c r="J548" s="58" t="str"/>
      <x:c r="K548" s="14" t="str"/>
      <x:c r="L548" s="14" t="str">
        <x:v>Chưa có</x:v>
      </x:c>
      <x:c r="M548" s="14" t="str">
        <x:v>Theo dõi và cập nhật link/chỉ dẫn hồ sơ sau khi có bằng chứng.</x:v>
      </x:c>
    </x:row>
    <x:row r="549">
      <x:c r="A549" s="14" t="str">
        <x:v>EVID-0548</x:v>
      </x:c>
      <x:c r="B549" s="14" t="str">
        <x:v>VATM-0548</x:v>
      </x:c>
      <x:c r="C549" s="14" t="str">
        <x:v>Tuân thủ, pháp chế &amp; quản trị</x:v>
      </x:c>
      <x:c r="D549" s="14" t="str">
        <x:v>Quản trị triển khai, RACI và báo cáo</x:v>
      </x:c>
      <x:c r="E549" s="14" t="str">
        <x:v>SOP phối hợp điều tra; danh sách đầu mối 24/7; Kích hoạt trong ≤30 phút từ thông tin ban đầu; log đầy đủ</x:v>
      </x:c>
      <x:c r="F549" s="14" t="str">
        <x:v>Quy trình/SOP</x:v>
      </x:c>
      <x:c r="G549" s="14" t="str">
        <x:v>Văn phòng - Pháp chế; Ban An toàn - Chất lượng</x:v>
      </x:c>
      <x:c r="H549" s="14" t="str"/>
      <x:c r="I549" s="58" t="str"/>
      <x:c r="J549" s="58" t="str"/>
      <x:c r="K549" s="14" t="str"/>
      <x:c r="L549" s="14" t="str">
        <x:v>Chưa có</x:v>
      </x:c>
      <x:c r="M549" s="14" t="str">
        <x:v>Theo dõi và cập nhật link/chỉ dẫn hồ sơ sau khi có bằng chứng.</x:v>
      </x:c>
    </x:row>
    <x:row r="550">
      <x:c r="A550" s="14" t="str">
        <x:v>EVID-0549</x:v>
      </x:c>
      <x:c r="B550" s="14" t="str">
        <x:v>VATM-0549</x:v>
      </x:c>
      <x:c r="C550" s="14" t="str">
        <x:v>Tuân thủ, pháp chế &amp; quản trị</x:v>
      </x:c>
      <x:c r="D550" s="14" t="str">
        <x:v>Quản trị triển khai, RACI và báo cáo</x:v>
      </x:c>
      <x:c r="E550" s="14" t="str">
        <x:v>Expert roster; CV/năng lực; kế hoạch đào tạo điều tra; Mỗi lĩnh vực ANS có ≥02 chuyên gia dự phòng; rà soát 6 tháng/lần</x:v>
      </x:c>
      <x:c r="F550" s="14" t="str">
        <x:v>Quyết định/Kế hoạch</x:v>
      </x:c>
      <x:c r="G550" s="14" t="str">
        <x:v>Văn phòng - Pháp chế; Ban An toàn - Chất lượng</x:v>
      </x:c>
      <x:c r="H550" s="14" t="str"/>
      <x:c r="I550" s="58" t="str"/>
      <x:c r="J550" s="58" t="str"/>
      <x:c r="K550" s="14" t="str"/>
      <x:c r="L550" s="14" t="str">
        <x:v>Chưa có</x:v>
      </x:c>
      <x:c r="M550" s="14" t="str">
        <x:v>Theo dõi và cập nhật link/chỉ dẫn hồ sơ sau khi có bằng chứng.</x:v>
      </x:c>
    </x:row>
    <x:row r="551">
      <x:c r="A551" s="14" t="str">
        <x:v>EVID-0550</x:v>
      </x:c>
      <x:c r="B551" s="14" t="str">
        <x:v>VATM-0550</x:v>
      </x:c>
      <x:c r="C551" s="14" t="str">
        <x:v>Tuân thủ, pháp chế &amp; quản trị</x:v>
      </x:c>
      <x:c r="D551" s="14" t="str">
        <x:v>Quản trị triển khai, RACI và báo cáo</x:v>
      </x:c>
      <x:c r="E551" s="14" t="str">
        <x:v>Kế hoạch đào tạo điều tra; chứng chỉ khóa học; Đội chuyên gia nòng cốt hoàn thành trước 30/06/2027</x:v>
      </x:c>
      <x:c r="F551" s="14" t="str">
        <x:v>Quyết định/Kế hoạch</x:v>
      </x:c>
      <x:c r="G551" s="14" t="str">
        <x:v>Văn phòng - Pháp chế; Ban An toàn - Chất lượng</x:v>
      </x:c>
      <x:c r="H551" s="14" t="str"/>
      <x:c r="I551" s="58" t="str"/>
      <x:c r="J551" s="58" t="str"/>
      <x:c r="K551" s="14" t="str"/>
      <x:c r="L551" s="14" t="str">
        <x:v>Chưa có</x:v>
      </x:c>
      <x:c r="M551" s="14" t="str">
        <x:v>Theo dõi và cập nhật link/chỉ dẫn hồ sơ sau khi có bằng chứng.</x:v>
      </x:c>
    </x:row>
    <x:row r="552">
      <x:c r="A552" s="14" t="str">
        <x:v>EVID-0551</x:v>
      </x:c>
      <x:c r="B552" s="14" t="str">
        <x:v>VATM-0551</x:v>
      </x:c>
      <x:c r="C552" s="14" t="str">
        <x:v>Tuân thủ, pháp chế &amp; quản trị</x:v>
      </x:c>
      <x:c r="D552" s="14" t="str">
        <x:v>Quản trị triển khai, RACI và báo cáo</x:v>
      </x:c>
      <x:c r="E552" s="14" t="str">
        <x:v>Mẫu báo cáo 24h; hướng dẫn điền; kiểm tra định kỳ; Thông tin đầy đủ theo Điều 68; dữ liệu nguồn được dẫn chiếu rõ</x:v>
      </x:c>
      <x:c r="F552" s="14" t="str">
        <x:v>Quy trình/SOP</x:v>
      </x:c>
      <x:c r="G552" s="14" t="str">
        <x:v>Văn phòng - Pháp chế; Ban An toàn - Chất lượng</x:v>
      </x:c>
      <x:c r="H552" s="14" t="str"/>
      <x:c r="I552" s="58" t="str"/>
      <x:c r="J552" s="58" t="str"/>
      <x:c r="K552" s="14" t="str"/>
      <x:c r="L552" s="14" t="str">
        <x:v>Chưa có</x:v>
      </x:c>
      <x:c r="M552" s="14" t="str">
        <x:v>Theo dõi và cập nhật link/chỉ dẫn hồ sơ sau khi có bằng chứng.</x:v>
      </x:c>
    </x:row>
    <x:row r="553">
      <x:c r="A553" s="14" t="str">
        <x:v>EVID-0552</x:v>
      </x:c>
      <x:c r="B553" s="14" t="str">
        <x:v>VATM-0552</x:v>
      </x:c>
      <x:c r="C553" s="14" t="str">
        <x:v>Tuân thủ, pháp chế &amp; quản trị</x:v>
      </x:c>
      <x:c r="D553" s="14" t="str">
        <x:v>Quản trị triển khai, RACI và báo cáo</x:v>
      </x:c>
      <x:c r="E553" s="14" t="str">
        <x:v>Data preservation SOP; checklist niêm phong/sao lưu; chain-of-custody; Không ghi đè/mất dữ liệu; có hash/lưu vết; quyền truy cập hạn chế</x:v>
      </x:c>
      <x:c r="F553" s="14" t="str">
        <x:v>Quy trình/SOP</x:v>
      </x:c>
      <x:c r="G553" s="14" t="str">
        <x:v>Văn phòng - Pháp chế; Ban Kế hoạch doanh nghiệp - Chuyển đổi số; Ban Kỹ thuật - CNS/IT/Môi trường; Ban An toàn - Chất lượng</x:v>
      </x:c>
      <x:c r="H553" s="14" t="str"/>
      <x:c r="I553" s="58" t="str"/>
      <x:c r="J553" s="58" t="str"/>
      <x:c r="K553" s="14" t="str"/>
      <x:c r="L553" s="14" t="str">
        <x:v>Chưa có</x:v>
      </x:c>
      <x:c r="M553" s="14" t="str">
        <x:v>Theo dõi và cập nhật link/chỉ dẫn hồ sơ sau khi có bằng chứng.</x:v>
      </x:c>
    </x:row>
    <x:row r="554">
      <x:c r="A554" s="14" t="str">
        <x:v>EVID-0553</x:v>
      </x:c>
      <x:c r="B554" s="14" t="str">
        <x:v>VATM-0553</x:v>
      </x:c>
      <x:c r="C554" s="14" t="str">
        <x:v>Tuân thủ, pháp chế &amp; quản trị</x:v>
      </x:c>
      <x:c r="D554" s="14" t="str">
        <x:v>Quản trị triển khai, RACI và báo cáo</x:v>
      </x:c>
      <x:c r="E554" s="14" t="str">
        <x:v>Báo cáo storage capacity; DR test; kế hoạch nâng cấp; Dữ liệu điều tra trọng yếu có bản sao bảo toàn; phục hồi thử nghiệm định kỳ</x:v>
      </x:c>
      <x:c r="F554" s="14" t="str">
        <x:v>Quyết định/Kế hoạch</x:v>
      </x:c>
      <x:c r="G554" s="14" t="str">
        <x:v>Văn phòng - Pháp chế; Ban Kế hoạch doanh nghiệp - Chuyển đổi số; Ban Kỹ thuật - CNS/IT/Môi trường</x:v>
      </x:c>
      <x:c r="H554" s="14" t="str"/>
      <x:c r="I554" s="58" t="str"/>
      <x:c r="J554" s="58" t="str"/>
      <x:c r="K554" s="14" t="str"/>
      <x:c r="L554" s="14" t="str">
        <x:v>Chưa có</x:v>
      </x:c>
      <x:c r="M554" s="14" t="str">
        <x:v>Theo dõi và cập nhật link/chỉ dẫn hồ sơ sau khi có bằng chứng.</x:v>
      </x:c>
    </x:row>
    <x:row r="555">
      <x:c r="A555" s="14" t="str">
        <x:v>EVID-0554</x:v>
      </x:c>
      <x:c r="B555" s="14" t="str">
        <x:v>VATM-0554</x:v>
      </x:c>
      <x:c r="C555" s="14" t="str">
        <x:v>Tuân thủ, pháp chế &amp; quản trị</x:v>
      </x:c>
      <x:c r="D555" s="14" t="str">
        <x:v>Quản trị triển khai, RACI và báo cáo</x:v>
      </x:c>
      <x:c r="E555" s="14" t="str">
        <x:v>SOP trưng dụng/hỗ trợ; mẫu quyết định cử người; Đúng phạm vi yêu cầu; bảo đảm an toàn lao động và bảo mật thông tin</x:v>
      </x:c>
      <x:c r="F555" s="14" t="str">
        <x:v>Quy trình/SOP</x:v>
      </x:c>
      <x:c r="G555" s="14" t="str">
        <x:v>Văn phòng - Pháp chế; Ban An toàn - Chất lượng</x:v>
      </x:c>
      <x:c r="H555" s="14" t="str"/>
      <x:c r="I555" s="58" t="str"/>
      <x:c r="J555" s="58" t="str"/>
      <x:c r="K555" s="14" t="str"/>
      <x:c r="L555" s="14" t="str">
        <x:v>Chưa có</x:v>
      </x:c>
      <x:c r="M555" s="14" t="str">
        <x:v>Theo dõi và cập nhật link/chỉ dẫn hồ sơ sau khi có bằng chứng.</x:v>
      </x:c>
    </x:row>
    <x:row r="556">
      <x:c r="A556" s="14" t="str">
        <x:v>EVID-0555</x:v>
      </x:c>
      <x:c r="B556" s="14" t="str">
        <x:v>VATM-0555</x:v>
      </x:c>
      <x:c r="C556" s="14" t="str">
        <x:v>Tuân thủ, pháp chế &amp; quản trị</x:v>
      </x:c>
      <x:c r="D556" s="14" t="str">
        <x:v>Quản trị triển khai, RACI và báo cáo</x:v>
      </x:c>
      <x:c r="E556" s="14" t="str">
        <x:v>Quy trình disclosure; ma trận thẩm quyền phê duyệt; Không cung cấp trái thẩm quyền; mọi yêu cầu có văn bản/log</x:v>
      </x:c>
      <x:c r="F556" s="14" t="str">
        <x:v>Quy trình/SOP</x:v>
      </x:c>
      <x:c r="G556" s="14" t="str">
        <x:v>Văn phòng - Pháp chế</x:v>
      </x:c>
      <x:c r="H556" s="14" t="str"/>
      <x:c r="I556" s="58" t="str"/>
      <x:c r="J556" s="58" t="str"/>
      <x:c r="K556" s="14" t="str"/>
      <x:c r="L556" s="14" t="str">
        <x:v>Chưa có</x:v>
      </x:c>
      <x:c r="M556" s="14" t="str">
        <x:v>Theo dõi và cập nhật link/chỉ dẫn hồ sơ sau khi có bằng chứng.</x:v>
      </x:c>
    </x:row>
    <x:row r="557">
      <x:c r="A557" s="14" t="str">
        <x:v>EVID-0556</x:v>
      </x:c>
      <x:c r="B557" s="14" t="str">
        <x:v>VATM-0556</x:v>
      </x:c>
      <x:c r="C557" s="14" t="str">
        <x:v>Tuân thủ, pháp chế &amp; quản trị</x:v>
      </x:c>
      <x:c r="D557" s="14" t="str">
        <x:v>Quản trị triển khai, RACI và báo cáo</x:v>
      </x:c>
      <x:c r="E557" s="14" t="str">
        <x:v>Data package template; checklist báo cáo; Dữ liệu giao trước deadline của Hội đồng; định dạng chuẩn hóa</x:v>
      </x:c>
      <x:c r="F557" s="14" t="str">
        <x:v>Biểu mẫu/Checklist</x:v>
      </x:c>
      <x:c r="G557" s="14" t="str">
        <x:v>Văn phòng - Pháp chế; Ban An toàn - Chất lượng</x:v>
      </x:c>
      <x:c r="H557" s="14" t="str"/>
      <x:c r="I557" s="58" t="str"/>
      <x:c r="J557" s="58" t="str"/>
      <x:c r="K557" s="14" t="str"/>
      <x:c r="L557" s="14" t="str">
        <x:v>Chưa có</x:v>
      </x:c>
      <x:c r="M557" s="14" t="str">
        <x:v>Theo dõi và cập nhật link/chỉ dẫn hồ sơ sau khi có bằng chứng.</x:v>
      </x:c>
    </x:row>
    <x:row r="558">
      <x:c r="A558" s="14" t="str">
        <x:v>EVID-0557</x:v>
      </x:c>
      <x:c r="B558" s="14" t="str">
        <x:v>VATM-0557</x:v>
      </x:c>
      <x:c r="C558" s="14" t="str">
        <x:v>An toàn hàng không / SMS</x:v>
      </x:c>
      <x:c r="D558" s="14" t="str">
        <x:v>Báo cáo MOR, sự cố và điều tra</x:v>
      </x:c>
      <x:c r="E558" s="14" t="str">
        <x:v>Safety recommendation tracker; báo cáo lãnh đạo; 100% khuyến cáo được phản hồi/triển khai ≤90 ngày; đánh giá hiệu lực sau CAP</x:v>
      </x:c>
      <x:c r="F558" s="14" t="str">
        <x:v>Báo cáo</x:v>
      </x:c>
      <x:c r="G558" s="14" t="str">
        <x:v>Ban An toàn - Chất lượng</x:v>
      </x:c>
      <x:c r="H558" s="14" t="str"/>
      <x:c r="I558" s="58" t="str"/>
      <x:c r="J558" s="58" t="str"/>
      <x:c r="K558" s="14" t="str"/>
      <x:c r="L558" s="14" t="str">
        <x:v>Chưa có</x:v>
      </x:c>
      <x:c r="M558" s="14" t="str">
        <x:v>Theo dõi và cập nhật link/chỉ dẫn hồ sơ sau khi có bằng chứng.</x:v>
      </x:c>
    </x:row>
    <x:row r="559">
      <x:c r="A559" s="14" t="str">
        <x:v>EVID-0558</x:v>
      </x:c>
      <x:c r="B559" s="14" t="str">
        <x:v>VATM-0558</x:v>
      </x:c>
      <x:c r="C559" s="14" t="str">
        <x:v>An toàn hàng không / SMS</x:v>
      </x:c>
      <x:c r="D559" s="14" t="str">
        <x:v>Báo cáo MOR, sự cố và điều tra</x:v>
      </x:c>
      <x:c r="E559" s="14" t="str">
        <x:v>Safety bulletin; lesson learned library; Phát hành trong ≤10 ngày làm việc sau khi nhận khuyến cáo cấp khẩn; lưu trữ truy xuất</x:v>
      </x:c>
      <x:c r="F559" s="14" t="str">
        <x:v>Khác</x:v>
      </x:c>
      <x:c r="G559" s="14" t="str">
        <x:v>Ban An toàn - Chất lượng</x:v>
      </x:c>
      <x:c r="H559" s="14" t="str"/>
      <x:c r="I559" s="58" t="str"/>
      <x:c r="J559" s="58" t="str"/>
      <x:c r="K559" s="14" t="str"/>
      <x:c r="L559" s="14" t="str">
        <x:v>Chưa có</x:v>
      </x:c>
      <x:c r="M559" s="14" t="str">
        <x:v>Theo dõi và cập nhật link/chỉ dẫn hồ sơ sau khi có bằng chứng.</x:v>
      </x:c>
    </x:row>
    <x:row r="560">
      <x:c r="A560" s="14" t="str">
        <x:v>EVID-0559</x:v>
      </x:c>
      <x:c r="B560" s="14" t="str">
        <x:v>VATM-0559</x:v>
      </x:c>
      <x:c r="C560" s="14" t="str">
        <x:v>Tuân thủ, dữ liệu &amp; chuyển đổi số</x:v>
      </x:c>
      <x:c r="D560" s="14" t="str">
        <x:v>Hồ sơ điện tử, CSDL và ký số</x:v>
      </x:c>
      <x:c r="E560" s="14" t="str">
        <x:v>Data protection impact assessment; phân loại dữ liệu; 100% dữ liệu nhạy cảm có phân loại, phân quyền, mã hóa/lưu vết phù hợp</x:v>
      </x:c>
      <x:c r="F560" s="14" t="str">
        <x:v>Dữ liệu hệ thống</x:v>
      </x:c>
      <x:c r="G560" s="14" t="str">
        <x:v>Ban Kế hoạch doanh nghiệp - Chuyển đổi số; Ban Kỹ thuật - CNS/IT/Môi trường; Ban An toàn - Chất lượng</x:v>
      </x:c>
      <x:c r="H560" s="14" t="str"/>
      <x:c r="I560" s="58" t="str"/>
      <x:c r="J560" s="58" t="str"/>
      <x:c r="K560" s="14" t="str"/>
      <x:c r="L560" s="14" t="str">
        <x:v>Chưa có</x:v>
      </x:c>
      <x:c r="M560" s="14" t="str">
        <x:v>Theo dõi và cập nhật link/chỉ dẫn hồ sơ sau khi có bằng chứng.</x:v>
      </x:c>
    </x:row>
    <x:row r="561">
      <x:c r="A561" s="14" t="str">
        <x:v>EVID-0560</x:v>
      </x:c>
      <x:c r="B561" s="14" t="str">
        <x:v>VATM-0560</x:v>
      </x:c>
      <x:c r="C561" s="14" t="str">
        <x:v>Tuân thủ, dữ liệu &amp; chuyển đổi số</x:v>
      </x:c>
      <x:c r="D561" s="14" t="str">
        <x:v>Hồ sơ điện tử, CSDL và ký số</x:v>
      </x:c>
      <x:c r="E561" s="14" t="str">
        <x:v>BCP/DRP; kết quả diễn tập khôi phục; Diễn tập DR tối thiểu 01 lần/năm; RTO/RPO xác định cho hệ thống trọng yếu</x:v>
      </x:c>
      <x:c r="F561" s="14" t="str">
        <x:v>Dữ liệu hệ thống</x:v>
      </x:c>
      <x:c r="G561" s="14" t="str">
        <x:v>Ban Kế hoạch doanh nghiệp - Chuyển đổi số; Ban Kỹ thuật - CNS/IT/Môi trường</x:v>
      </x:c>
      <x:c r="H561" s="14" t="str"/>
      <x:c r="I561" s="58" t="str"/>
      <x:c r="J561" s="58" t="str"/>
      <x:c r="K561" s="14" t="str"/>
      <x:c r="L561" s="14" t="str">
        <x:v>Chưa có</x:v>
      </x:c>
      <x:c r="M561" s="14" t="str">
        <x:v>Theo dõi và cập nhật link/chỉ dẫn hồ sơ sau khi có bằng chứng.</x:v>
      </x:c>
    </x:row>
    <x:row r="562">
      <x:c r="A562" s="14" t="str">
        <x:v>EVID-0561</x:v>
      </x:c>
      <x:c r="B562" s="14" t="str">
        <x:v>VATM-0561</x:v>
      </x:c>
      <x:c r="C562" s="14" t="str">
        <x:v>Tài chính - Kế hoạch đầu tư</x:v>
      </x:c>
      <x:c r="D562" s="14" t="str">
        <x:v>Phí, thanh toán, hợp đồng và billing</x:v>
      </x:c>
      <x:c r="E562" s="14" t="str">
        <x:v>Ý kiến pháp lý/tài chính; dự báo chi phí; Kết luận rõ phạm vi áp dụng, căn cứ tài sản/hạ tầng; nếu có, dự toán theo sản lượng</x:v>
      </x:c>
      <x:c r="F562" s="14" t="str">
        <x:v>Hợp đồng/Tài chính</x:v>
      </x:c>
      <x:c r="G562" s="14" t="str">
        <x:v>Ban Tài chính</x:v>
      </x:c>
      <x:c r="H562" s="14" t="str"/>
      <x:c r="I562" s="58" t="str"/>
      <x:c r="J562" s="58" t="str"/>
      <x:c r="K562" s="14" t="str"/>
      <x:c r="L562" s="14" t="str">
        <x:v>Chưa có</x:v>
      </x:c>
      <x:c r="M562" s="14" t="str">
        <x:v>Theo dõi và cập nhật link/chỉ dẫn hồ sơ sau khi có bằng chứng.</x:v>
      </x:c>
    </x:row>
    <x:row r="563">
      <x:c r="A563" s="14" t="str">
        <x:v>EVID-0562</x:v>
      </x:c>
      <x:c r="B563" s="14" t="str">
        <x:v>VATM-0562</x:v>
      </x:c>
      <x:c r="C563" s="14" t="str">
        <x:v>Tài chính - Kế hoạch đầu tư</x:v>
      </x:c>
      <x:c r="D563" s="14" t="str">
        <x:v>Phí, thanh toán, hợp đồng và billing</x:v>
      </x:c>
      <x:c r="E563" s="14" t="str">
        <x:v>Báo cáo tác động ngân sách tuân thủ; Có dự toán nguồn lực triển khai 2026-2028</x:v>
      </x:c>
      <x:c r="F563" s="14" t="str">
        <x:v>Báo cáo</x:v>
      </x:c>
      <x:c r="G563" s="14" t="str">
        <x:v>Ban Tài chính; Ban Kế hoạch - Đầu tư</x:v>
      </x:c>
      <x:c r="H563" s="14" t="str"/>
      <x:c r="I563" s="58" t="str"/>
      <x:c r="J563" s="58" t="str"/>
      <x:c r="K563" s="14" t="str"/>
      <x:c r="L563" s="14" t="str">
        <x:v>Chưa có</x:v>
      </x:c>
      <x:c r="M563" s="14" t="str">
        <x:v>Theo dõi và cập nhật link/chỉ dẫn hồ sơ sau khi có bằng chứng.</x:v>
      </x:c>
    </x:row>
    <x:row r="564">
      <x:c r="A564" s="14" t="str">
        <x:v>EVID-0563</x:v>
      </x:c>
      <x:c r="B564" s="14" t="str">
        <x:v>VATM-0563</x:v>
      </x:c>
      <x:c r="C564" s="14" t="str">
        <x:v>Tuân thủ, pháp chế &amp; quản trị</x:v>
      </x:c>
      <x:c r="D564" s="14" t="str">
        <x:v>Quản trị triển khai, RACI và báo cáo</x:v>
      </x:c>
      <x:c r="E564" s="14" t="str">
        <x:v>Matrix liên thông hai NĐ; danh mục nghĩa vụ VATM hợp nhất; Bao phủ 100% dịch vụ ANS VATM cung cấp; tránh trùng/chồng chéo quy trình</x:v>
      </x:c>
      <x:c r="F564" s="14" t="str">
        <x:v>Quy trình/SOP</x:v>
      </x:c>
      <x:c r="G564" s="14" t="str">
        <x:v>Văn phòng - Pháp chế</x:v>
      </x:c>
      <x:c r="H564" s="14" t="str"/>
      <x:c r="I564" s="58" t="str"/>
      <x:c r="J564" s="58" t="str"/>
      <x:c r="K564" s="14" t="str"/>
      <x:c r="L564" s="14" t="str">
        <x:v>Chưa có</x:v>
      </x:c>
      <x:c r="M564" s="14" t="str">
        <x:v>Theo dõi và cập nhật link/chỉ dẫn hồ sơ sau khi có bằng chứng.</x:v>
      </x:c>
    </x:row>
    <x:row r="565">
      <x:c r="A565" s="14" t="str">
        <x:v>EVID-0564</x:v>
      </x:c>
      <x:c r="B565" s="14" t="str">
        <x:v>VATM-0564</x:v>
      </x:c>
      <x:c r="C565" s="14" t="str">
        <x:v>Tuân thủ, pháp chế &amp; quản trị</x:v>
      </x:c>
      <x:c r="D565" s="14" t="str">
        <x:v>Quản trị triển khai, RACI và báo cáo</x:v>
      </x:c>
      <x:c r="E565" s="14" t="str">
        <x:v>LOA/SOP phối hợp; interface dữ liệu; Dữ liệu real-time/near-real-time theo thỏa thuận; test định kỳ</x:v>
      </x:c>
      <x:c r="F565" s="14" t="str">
        <x:v>Quy trình/SOP</x:v>
      </x:c>
      <x:c r="G565" s="14" t="str">
        <x:v>Văn phòng - Pháp chế; Ban Không lưu; Trung tâm Quản lý luồng không lưu</x:v>
      </x:c>
      <x:c r="H565" s="14" t="str"/>
      <x:c r="I565" s="58" t="str"/>
      <x:c r="J565" s="58" t="str"/>
      <x:c r="K565" s="14" t="str"/>
      <x:c r="L565" s="14" t="str">
        <x:v>Chưa có</x:v>
      </x:c>
      <x:c r="M565" s="14" t="str">
        <x:v>Theo dõi và cập nhật link/chỉ dẫn hồ sơ sau khi có bằng chứng.</x:v>
      </x:c>
    </x:row>
    <x:row r="566">
      <x:c r="A566" s="14" t="str">
        <x:v>EVID-0565</x:v>
      </x:c>
      <x:c r="B566" s="14" t="str">
        <x:v>VATM-0565</x:v>
      </x:c>
      <x:c r="C566" s="14" t="str">
        <x:v>Tuân thủ, pháp chế &amp; quản trị</x:v>
      </x:c>
      <x:c r="D566" s="14" t="str">
        <x:v>Quản trị triển khai, RACI và báo cáo</x:v>
      </x:c>
      <x:c r="E566" s="14" t="str">
        <x:v>Data origination agreements; AIS QMS update; AIRAC đúng mốc; dữ liệu chính xác/đầy đủ/kịp thời/truy xuất</x:v>
      </x:c>
      <x:c r="F566" s="14" t="str">
        <x:v>Dữ liệu hệ thống</x:v>
      </x:c>
      <x:c r="G566" s="14" t="str">
        <x:v>Văn phòng - Pháp chế; Trung tâm Thông báo tin tức hàng không</x:v>
      </x:c>
      <x:c r="H566" s="14" t="str"/>
      <x:c r="I566" s="58" t="str"/>
      <x:c r="J566" s="58" t="str"/>
      <x:c r="K566" s="14" t="str"/>
      <x:c r="L566" s="14" t="str">
        <x:v>Chưa có</x:v>
      </x:c>
      <x:c r="M566" s="14" t="str">
        <x:v>Theo dõi và cập nhật link/chỉ dẫn hồ sơ sau khi có bằng chứng.</x:v>
      </x:c>
    </x:row>
    <x:row r="567">
      <x:c r="A567" s="14" t="str">
        <x:v>EVID-0566</x:v>
      </x:c>
      <x:c r="B567" s="14" t="str">
        <x:v>VATM-0566</x:v>
      </x:c>
      <x:c r="C567" s="14" t="str">
        <x:v>Tuân thủ, pháp chế &amp; quản trị</x:v>
      </x:c>
      <x:c r="D567" s="14" t="str">
        <x:v>Quản trị triển khai, RACI và báo cáo</x:v>
      </x:c>
      <x:c r="E567" s="14" t="str">
        <x:v>MET data preservation and reporting SOP; Dữ liệu MET phục vụ chuyến bay/sự cố có nguồn gốc và timestamp rõ</x:v>
      </x:c>
      <x:c r="F567" s="14" t="str">
        <x:v>Quy trình/SOP</x:v>
      </x:c>
      <x:c r="G567" s="14" t="str">
        <x:v>Văn phòng - Pháp chế; Trung tâm Khí tượng hàng không</x:v>
      </x:c>
      <x:c r="H567" s="14" t="str"/>
      <x:c r="I567" s="58" t="str"/>
      <x:c r="J567" s="58" t="str"/>
      <x:c r="K567" s="14" t="str"/>
      <x:c r="L567" s="14" t="str">
        <x:v>Chưa có</x:v>
      </x:c>
      <x:c r="M567" s="14" t="str">
        <x:v>Theo dõi và cập nhật link/chỉ dẫn hồ sơ sau khi có bằng chứng.</x:v>
      </x:c>
    </x:row>
    <x:row r="568">
      <x:c r="A568" s="14" t="str">
        <x:v>EVID-0567</x:v>
      </x:c>
      <x:c r="B568" s="14" t="str">
        <x:v>VATM-0567</x:v>
      </x:c>
      <x:c r="C568" s="14" t="str">
        <x:v>Tuân thủ, pháp chế &amp; quản trị</x:v>
      </x:c>
      <x:c r="D568" s="14" t="str">
        <x:v>Quản trị triển khai, RACI và báo cáo</x:v>
      </x:c>
      <x:c r="E568" s="14" t="str">
        <x:v>Register hệ thống CNS; dữ liệu downtime/event log; 100% hệ thống trọng yếu có giấy phép/phê chuẩn và log khai thác</x:v>
      </x:c>
      <x:c r="F568" s="14" t="str">
        <x:v>Biên bản/nhật ký/log</x:v>
      </x:c>
      <x:c r="G568" s="14" t="str">
        <x:v>Văn phòng - Pháp chế; Ban Kỹ thuật - CNS/IT/Môi trường</x:v>
      </x:c>
      <x:c r="H568" s="14" t="str"/>
      <x:c r="I568" s="58" t="str"/>
      <x:c r="J568" s="58" t="str"/>
      <x:c r="K568" s="14" t="str"/>
      <x:c r="L568" s="14" t="str">
        <x:v>Chưa có</x:v>
      </x:c>
      <x:c r="M568" s="14" t="str">
        <x:v>Theo dõi và cập nhật link/chỉ dẫn hồ sơ sau khi có bằng chứng.</x:v>
      </x:c>
    </x:row>
    <x:row r="569">
      <x:c r="A569" s="14" t="str">
        <x:v>EVID-0568</x:v>
      </x:c>
      <x:c r="B569" s="14" t="str">
        <x:v>VATM-0568</x:v>
      </x:c>
      <x:c r="C569" s="14" t="str">
        <x:v>Tuân thủ, pháp chế &amp; quản trị</x:v>
      </x:c>
      <x:c r="D569" s="14" t="str">
        <x:v>Quản trị triển khai, RACI và báo cáo</x:v>
      </x:c>
      <x:c r="E569" s="14" t="str">
        <x:v>SAR SOP update; diễn tập; dữ liệu SAR preserved; Tối thiểu 01 diễn tập/năm; báo cáo sau diễn tập có CAP</x:v>
      </x:c>
      <x:c r="F569" s="14" t="str">
        <x:v>Quy trình/SOP</x:v>
      </x:c>
      <x:c r="G569" s="14" t="str">
        <x:v>Văn phòng - Pháp chế; Ban Không lưu; Trung tâm Tìm kiếm cứu nạn hàng không</x:v>
      </x:c>
      <x:c r="H569" s="14" t="str"/>
      <x:c r="I569" s="58" t="str"/>
      <x:c r="J569" s="58" t="str"/>
      <x:c r="K569" s="14" t="str"/>
      <x:c r="L569" s="14" t="str">
        <x:v>Chưa có</x:v>
      </x:c>
      <x:c r="M569" s="14" t="str">
        <x:v>Theo dõi và cập nhật link/chỉ dẫn hồ sơ sau khi có bằng chứng.</x:v>
      </x:c>
    </x:row>
    <x:row r="570">
      <x:c r="A570" s="14" t="str">
        <x:v>EVID-0569</x:v>
      </x:c>
      <x:c r="B570" s="14" t="str">
        <x:v>VATM-0569</x:v>
      </x:c>
      <x:c r="C570" s="14" t="str">
        <x:v>Tuân thủ, pháp chế &amp; quản trị</x:v>
      </x:c>
      <x:c r="D570" s="14" t="str">
        <x:v>Quản trị triển khai, RACI và báo cáo</x:v>
      </x:c>
      <x:c r="E570" s="14" t="str">
        <x:v>Transition dashboard; báo cáo quý; Không trễ mốc 12 tháng/24 tháng; cảnh báo sớm ≥90 ngày</x:v>
      </x:c>
      <x:c r="F570" s="14" t="str">
        <x:v>Báo cáo</x:v>
      </x:c>
      <x:c r="G570" s="14" t="str">
        <x:v>Văn phòng - Pháp chế</x:v>
      </x:c>
      <x:c r="H570" s="14" t="str"/>
      <x:c r="I570" s="58" t="str"/>
      <x:c r="J570" s="58" t="str"/>
      <x:c r="K570" s="14" t="str"/>
      <x:c r="L570" s="14" t="str">
        <x:v>Chưa có</x:v>
      </x:c>
      <x:c r="M570" s="14" t="str">
        <x:v>Theo dõi và cập nhật link/chỉ dẫn hồ sơ sau khi có bằng chứng.</x:v>
      </x:c>
    </x:row>
    <x:row r="571">
      <x:c r="A571" s="14" t="str">
        <x:v>EVID-0570</x:v>
      </x:c>
      <x:c r="B571" s="14" t="str">
        <x:v>VATM-0570</x:v>
      </x:c>
      <x:c r="C571" s="14" t="str">
        <x:v>Tuân thủ, pháp chế &amp; quản trị</x:v>
      </x:c>
      <x:c r="D571" s="14" t="str">
        <x:v>Quản trị triển khai, RACI và báo cáo</x:v>
      </x:c>
      <x:c r="E571" s="14" t="str">
        <x:v>Kế hoạch cập nhật SMS; đối chiếu nội dung cũ/mới; Vừa duy trì hiệu lực hiện hành vừa không chậm hồ sơ chấp thuận mới</x:v>
      </x:c>
      <x:c r="F571" s="14" t="str">
        <x:v>Quyết định/Kế hoạch</x:v>
      </x:c>
      <x:c r="G571" s="14" t="str">
        <x:v>Văn phòng - Pháp chế; Ban An toàn - Chất lượng</x:v>
      </x:c>
      <x:c r="H571" s="14" t="str"/>
      <x:c r="I571" s="58" t="str"/>
      <x:c r="J571" s="58" t="str"/>
      <x:c r="K571" s="14" t="str"/>
      <x:c r="L571" s="14" t="str">
        <x:v>Chưa có</x:v>
      </x:c>
      <x:c r="M571" s="14" t="str">
        <x:v>Theo dõi và cập nhật link/chỉ dẫn hồ sơ sau khi có bằng chứng.</x:v>
      </x:c>
    </x:row>
    <x:row r="572">
      <x:c r="A572" s="14" t="str">
        <x:v>EVID-0571</x:v>
      </x:c>
      <x:c r="B572" s="14" t="str">
        <x:v>VATM-0571</x:v>
      </x:c>
      <x:c r="C572" s="14" t="str">
        <x:v>Tuân thủ, pháp chế &amp; quản trị</x:v>
      </x:c>
      <x:c r="D572" s="14" t="str">
        <x:v>Quản trị triển khai, RACI và báo cáo</x:v>
      </x:c>
      <x:c r="E572" s="14" t="str">
        <x:v>Register GCN; kế hoạch gia hạn/cấp mới; Không đào tạo sau 30/06/2027 nếu chưa có GCN phù hợp</x:v>
      </x:c>
      <x:c r="F572" s="14" t="str">
        <x:v>Quyết định/Kế hoạch</x:v>
      </x:c>
      <x:c r="G572" s="14" t="str">
        <x:v>Văn phòng - Pháp chế</x:v>
      </x:c>
      <x:c r="H572" s="14" t="str"/>
      <x:c r="I572" s="58" t="str"/>
      <x:c r="J572" s="58" t="str"/>
      <x:c r="K572" s="14" t="str"/>
      <x:c r="L572" s="14" t="str">
        <x:v>Chưa có</x:v>
      </x:c>
      <x:c r="M572" s="14" t="str">
        <x:v>Theo dõi và cập nhật link/chỉ dẫn hồ sơ sau khi có bằng chứng.</x:v>
      </x:c>
    </x:row>
    <x:row r="573">
      <x:c r="A573" s="14" t="str">
        <x:v>EVID-0572</x:v>
      </x:c>
      <x:c r="B573" s="14" t="str">
        <x:v>VATM-0572</x:v>
      </x:c>
      <x:c r="C573" s="14" t="str">
        <x:v>Tuân thủ, pháp chế &amp; quản trị</x:v>
      </x:c>
      <x:c r="D573" s="14" t="str">
        <x:v>Quản trị triển khai, RACI và báo cáo</x:v>
      </x:c>
      <x:c r="E573" s="14" t="str">
        <x:v>Bản tin; webinar; Q&amp;A; ≥90% nhóm liên quan tham dự/được gửi tài liệu; lưu bằng chứng</x:v>
      </x:c>
      <x:c r="F573" s="14" t="str">
        <x:v>Khác</x:v>
      </x:c>
      <x:c r="G573" s="14" t="str">
        <x:v>Văn phòng - Pháp chế; Ban An toàn - Chất lượng</x:v>
      </x:c>
      <x:c r="H573" s="14" t="str"/>
      <x:c r="I573" s="58" t="str"/>
      <x:c r="J573" s="58" t="str"/>
      <x:c r="K573" s="14" t="str"/>
      <x:c r="L573" s="14" t="str">
        <x:v>Chưa có</x:v>
      </x:c>
      <x:c r="M573" s="14" t="str">
        <x:v>Theo dõi và cập nhật link/chỉ dẫn hồ sơ sau khi có bằng chứng.</x:v>
      </x:c>
    </x:row>
    <x:row r="574">
      <x:c r="A574" s="14" t="str">
        <x:v>EVID-0573</x:v>
      </x:c>
      <x:c r="B574" s="14" t="str">
        <x:v>VATM-0573</x:v>
      </x:c>
      <x:c r="C574" s="14" t="str">
        <x:v>Tuân thủ, pháp chế &amp; quản trị</x:v>
      </x:c>
      <x:c r="D574" s="14" t="str">
        <x:v>Thanh tra, kiểm tra, audit tuân thủ</x:v>
      </x:c>
      <x:c r="E574" s="14" t="str">
        <x:v>Kế hoạch audit 2027; checklist theo điều khoản; Audit 100% lĩnh vực ATS/CNS/MET/AIS/SAR tối thiểu 1 lần/năm hoặc theo rủi ro</x:v>
      </x:c>
      <x:c r="F574" s="14" t="str">
        <x:v>Quyết định/Kế hoạch</x:v>
      </x:c>
      <x:c r="G574" s="14" t="str">
        <x:v>Văn phòng - Pháp chế; Ban An toàn - Chất lượng</x:v>
      </x:c>
      <x:c r="H574" s="14" t="str"/>
      <x:c r="I574" s="58" t="str"/>
      <x:c r="J574" s="58" t="str"/>
      <x:c r="K574" s="14" t="str"/>
      <x:c r="L574" s="14" t="str">
        <x:v>Chưa có</x:v>
      </x:c>
      <x:c r="M574" s="14" t="str">
        <x:v>Theo dõi và cập nhật link/chỉ dẫn hồ sơ sau khi có bằng chứng.</x:v>
      </x:c>
    </x:row>
    <x:row r="575">
      <x:c r="A575" s="14" t="str">
        <x:v>EVID-0574</x:v>
      </x:c>
      <x:c r="B575" s="14" t="str">
        <x:v>VATM-0574</x:v>
      </x:c>
      <x:c r="C575" s="14" t="str">
        <x:v>Tuân thủ, pháp chế &amp; quản trị</x:v>
      </x:c>
      <x:c r="D575" s="14" t="str">
        <x:v>Thanh tra, kiểm tra, audit tuân thủ</x:v>
      </x:c>
      <x:c r="E575" s="14" t="str">
        <x:v>Kịch bản tabletop; biên bản diễn tập; CAP; Tối thiểu 01 lần trước 30/06/2027; CAP đóng ≥95% đúng hạn</x:v>
      </x:c>
      <x:c r="F575" s="14" t="str">
        <x:v>Biên bản/nhật ký/log</x:v>
      </x:c>
      <x:c r="G575" s="14" t="str">
        <x:v>Văn phòng - Pháp chế; Ban An toàn - Chất lượng</x:v>
      </x:c>
      <x:c r="H575" s="14" t="str"/>
      <x:c r="I575" s="58" t="str"/>
      <x:c r="J575" s="58" t="str"/>
      <x:c r="K575" s="14" t="str"/>
      <x:c r="L575" s="14" t="str">
        <x:v>Chưa có</x:v>
      </x:c>
      <x:c r="M575" s="14" t="str">
        <x:v>Theo dõi và cập nhật link/chỉ dẫn hồ sơ sau khi có bằng chứng.</x:v>
      </x:c>
    </x:row>
    <x:row r="576">
      <x:c r="A576" s="14" t="str">
        <x:v>EVID-0575</x:v>
      </x:c>
      <x:c r="B576" s="14" t="str">
        <x:v>VATM-0575</x:v>
      </x:c>
      <x:c r="C576" s="14" t="str">
        <x:v>Tuân thủ, pháp chế &amp; quản trị</x:v>
      </x:c>
      <x:c r="D576" s="14" t="str">
        <x:v>Quản trị triển khai, RACI và báo cáo</x:v>
      </x:c>
      <x:c r="E576" s="14" t="str">
        <x:v>Master document change plan; 100% tài liệu có owner, deadline, status; bản mới phê duyệt đúng quy trình</x:v>
      </x:c>
      <x:c r="F576" s="14" t="str">
        <x:v>Quy trình/SOP</x:v>
      </x:c>
      <x:c r="G576" s="14" t="str">
        <x:v>Văn phòng - Pháp chế; Ban An toàn - Chất lượng</x:v>
      </x:c>
      <x:c r="H576" s="14" t="str"/>
      <x:c r="I576" s="58" t="str"/>
      <x:c r="J576" s="58" t="str"/>
      <x:c r="K576" s="14" t="str"/>
      <x:c r="L576" s="14" t="str">
        <x:v>Chưa có</x:v>
      </x:c>
      <x:c r="M576" s="14" t="str">
        <x:v>Theo dõi và cập nhật link/chỉ dẫn hồ sơ sau khi có bằng chứng.</x:v>
      </x:c>
    </x:row>
    <x:row r="577">
      <x:c r="A577" s="14" t="str">
        <x:v>EVID-0576</x:v>
      </x:c>
      <x:c r="B577" s="14" t="str">
        <x:v>VATM-0576</x:v>
      </x:c>
      <x:c r="C577" s="14" t="str">
        <x:v>Tuân thủ, pháp chế &amp; quản trị</x:v>
      </x:c>
      <x:c r="D577" s="14" t="str">
        <x:v>Quản trị triển khai, RACI và báo cáo</x:v>
      </x:c>
      <x:c r="E577" s="14" t="str">
        <x:v>Exemption governance note; Mọi miễn trừ có risk owner và CAP khắc phục gốc nếu cần</x:v>
      </x:c>
      <x:c r="F577" s="14" t="str">
        <x:v>Khác</x:v>
      </x:c>
      <x:c r="G577" s="14" t="str">
        <x:v>Văn phòng - Pháp chế; Ban An toàn - Chất lượng</x:v>
      </x:c>
      <x:c r="H577" s="14" t="str"/>
      <x:c r="I577" s="58" t="str"/>
      <x:c r="J577" s="58" t="str"/>
      <x:c r="K577" s="14" t="str"/>
      <x:c r="L577" s="14" t="str">
        <x:v>Chưa có</x:v>
      </x:c>
      <x:c r="M577" s="14" t="str">
        <x:v>Theo dõi và cập nhật link/chỉ dẫn hồ sơ sau khi có bằng chứng.</x:v>
      </x:c>
    </x:row>
    <x:row r="578">
      <x:c r="A578" s="14" t="str">
        <x:v>EVID-0577</x:v>
      </x:c>
      <x:c r="B578" s="14" t="str">
        <x:v>VATM-0577</x:v>
      </x:c>
      <x:c r="C578" s="14" t="str">
        <x:v>Tuân thủ, pháp chế &amp; quản trị</x:v>
      </x:c>
      <x:c r="D578" s="14" t="str">
        <x:v>Quản trị triển khai, RACI và báo cáo</x:v>
      </x:c>
      <x:c r="E578" s="14" t="str">
        <x:v>Monthly executive report; Báo cáo trước ngày 05 hằng tháng; P1 quá hạn có biện pháp xử lý</x:v>
      </x:c>
      <x:c r="F578" s="14" t="str">
        <x:v>Báo cáo</x:v>
      </x:c>
      <x:c r="G578" s="14" t="str">
        <x:v>Văn phòng - Pháp chế</x:v>
      </x:c>
      <x:c r="H578" s="14" t="str"/>
      <x:c r="I578" s="58" t="str"/>
      <x:c r="J578" s="58" t="str"/>
      <x:c r="K578" s="14" t="str"/>
      <x:c r="L578" s="14" t="str">
        <x:v>Chưa có</x:v>
      </x:c>
      <x:c r="M578" s="14" t="str">
        <x:v>Theo dõi và cập nhật link/chỉ dẫn hồ sơ sau khi có bằng chứng.</x:v>
      </x:c>
    </x:row>
    <x:row r="579">
      <x:c r="A579" s="14" t="str">
        <x:v>EVID-0578</x:v>
      </x:c>
      <x:c r="B579" s="14" t="str">
        <x:v>VATM-0578</x:v>
      </x:c>
      <x:c r="C579" s="14" t="str">
        <x:v>An toàn hàng không / SMS</x:v>
      </x:c>
      <x:c r="D579" s="14" t="str">
        <x:v>Quản lý rủi ro và thay đổi</x:v>
      </x:c>
      <x:c r="E579" s="14" t="str">
        <x:v>Ý kiến góp ý pháp lý; Nêu rõ NĐ 89/2025 và các văn bản sau 15/2024 nếu còn hiệu lực liên quan</x:v>
      </x:c>
      <x:c r="F579" s="14" t="str">
        <x:v>Khác</x:v>
      </x:c>
      <x:c r="G579" s="14" t="str">
        <x:v>Ban An toàn - Chất lượng; Văn phòng - Pháp chế</x:v>
      </x:c>
      <x:c r="H579" s="14" t="str"/>
      <x:c r="I579" s="58" t="str"/>
      <x:c r="J579" s="58" t="str"/>
      <x:c r="K579" s="14" t="str"/>
      <x:c r="L579" s="14" t="str">
        <x:v>Chưa có</x:v>
      </x:c>
      <x:c r="M579" s="14" t="str">
        <x:v>Theo dõi và cập nhật link/chỉ dẫn hồ sơ sau khi có bằng chứng.</x:v>
      </x:c>
    </x:row>
    <x:row r="580">
      <x:c r="A580" s="14" t="str">
        <x:v>EVID-0579</x:v>
      </x:c>
      <x:c r="B580" s="14" t="str">
        <x:v>VATM-0579</x:v>
      </x:c>
      <x:c r="C580" s="14" t="str">
        <x:v>An toàn hàng không / SMS</x:v>
      </x:c>
      <x:c r="D580" s="14" t="str">
        <x:v>Quản lý rủi ro và thay đổi</x:v>
      </x:c>
      <x:c r="E580" s="14" t="str">
        <x:v>Văn bản xin hướng dẫn/biên bản làm việc nếu cần; Có kết luận bằng văn bản trước kỳ kê khai đầu tiên nếu áp dụng</x:v>
      </x:c>
      <x:c r="F580" s="14" t="str">
        <x:v>Quy trình/SOP</x:v>
      </x:c>
      <x:c r="G580" s="14" t="str">
        <x:v>Ban An toàn - Chất lượng; Văn phòng - Pháp chế; Ban Tài chính</x:v>
      </x:c>
      <x:c r="H580" s="14" t="str"/>
      <x:c r="I580" s="58" t="str"/>
      <x:c r="J580" s="58" t="str"/>
      <x:c r="K580" s="14" t="str"/>
      <x:c r="L580" s="14" t="str">
        <x:v>Chưa có</x:v>
      </x:c>
      <x:c r="M580" s="14" t="str">
        <x:v>Theo dõi và cập nhật link/chỉ dẫn hồ sơ sau khi có bằng chứng.</x:v>
      </x:c>
    </x:row>
    <x:row r="581">
      <x:c r="A581" s="14" t="str">
        <x:v>EVID-0580</x:v>
      </x:c>
      <x:c r="B581" s="14" t="str">
        <x:v>VATM-0580</x:v>
      </x:c>
      <x:c r="C581" s="14" t="str">
        <x:v>An toàn hàng không / SMS</x:v>
      </x:c>
      <x:c r="D581" s="14" t="str">
        <x:v>Quản lý rủi ro và thay đổi</x:v>
      </x:c>
      <x:c r="E581" s="14" t="str">
        <x:v>Phụ lục nội quy lao động; mẫu biên bản/ quyết định; Không xung đột quy trình kỷ luật lao động; bảo đảm an toàn là ưu tiên</x:v>
      </x:c>
      <x:c r="F581" s="14" t="str">
        <x:v>Quy trình/SOP</x:v>
      </x:c>
      <x:c r="G581" s="14" t="str">
        <x:v>Ban An toàn - Chất lượng; Văn phòng - Pháp chế</x:v>
      </x:c>
      <x:c r="H581" s="14" t="str"/>
      <x:c r="I581" s="58" t="str"/>
      <x:c r="J581" s="58" t="str"/>
      <x:c r="K581" s="14" t="str"/>
      <x:c r="L581" s="14" t="str">
        <x:v>Chưa có</x:v>
      </x:c>
      <x:c r="M581" s="14" t="str">
        <x:v>Theo dõi và cập nhật link/chỉ dẫn hồ sơ sau khi có bằng chứng.</x:v>
      </x:c>
    </x:row>
    <x:row r="582">
      <x:c r="A582" s="14" t="str">
        <x:v>EVID-0581</x:v>
      </x:c>
      <x:c r="B582" s="14" t="str">
        <x:v>VATM-0581</x:v>
      </x:c>
      <x:c r="C582" s="14" t="str">
        <x:v>An toàn hàng không / SMS</x:v>
      </x:c>
      <x:c r="D582" s="14" t="str">
        <x:v>Quản lý rủi ro và thay đổi</x:v>
      </x:c>
      <x:c r="E582" s="14" t="str">
        <x:v>Chính sách sử dụng dữ liệu an toàn; Không dùng dữ liệu ngoài mục đích nếu chưa có căn cứ pháp lý/thẩm quyền</x:v>
      </x:c>
      <x:c r="F582" s="14" t="str">
        <x:v>Dữ liệu hệ thống</x:v>
      </x:c>
      <x:c r="G582" s="14" t="str">
        <x:v>Ban An toàn - Chất lượng; Văn phòng - Pháp chế</x:v>
      </x:c>
      <x:c r="H582" s="14" t="str"/>
      <x:c r="I582" s="58" t="str"/>
      <x:c r="J582" s="58" t="str"/>
      <x:c r="K582" s="14" t="str"/>
      <x:c r="L582" s="14" t="str">
        <x:v>Chưa có</x:v>
      </x:c>
      <x:c r="M582" s="14" t="str">
        <x:v>Theo dõi và cập nhật link/chỉ dẫn hồ sơ sau khi có bằng chứng.</x:v>
      </x:c>
    </x:row>
    <x:row r="583">
      <x:c r="A583" s="14" t="str">
        <x:v>EVID-0582</x:v>
      </x:c>
      <x:c r="B583" s="14" t="str">
        <x:v>VATM-0582</x:v>
      </x:c>
      <x:c r="C583" s="14" t="str">
        <x:v>An toàn hàng không / SMS</x:v>
      </x:c>
      <x:c r="D583" s="14" t="str">
        <x:v>Quản lý rủi ro và thay đổi</x:v>
      </x:c>
      <x:c r="E583" s="14" t="str">
        <x:v>Retention policy update; Thời hạn lưu trữ đủ hỗ trợ điều tra/điều tra lại; không vi phạm bảo mật</x:v>
      </x:c>
      <x:c r="F583" s="14" t="str">
        <x:v>Khác</x:v>
      </x:c>
      <x:c r="G583" s="14" t="str">
        <x:v>Ban An toàn - Chất lượng; Văn phòng - Pháp chế; Ban Kế hoạch doanh nghiệp - Chuyển đổi số; Ban Kỹ thuật - CNS/IT/Môi trường</x:v>
      </x:c>
      <x:c r="H583" s="14" t="str"/>
      <x:c r="I583" s="58" t="str"/>
      <x:c r="J583" s="58" t="str"/>
      <x:c r="K583" s="14" t="str"/>
      <x:c r="L583" s="14" t="str">
        <x:v>Chưa có</x:v>
      </x:c>
      <x:c r="M583" s="14" t="str">
        <x:v>Theo dõi và cập nhật link/chỉ dẫn hồ sơ sau khi có bằng chứng.</x:v>
      </x:c>
    </x:row>
    <x:row r="584">
      <x:c r="A584" s="14" t="str">
        <x:v>EVID-0583</x:v>
      </x:c>
      <x:c r="B584" s="14" t="str">
        <x:v>VATM-0583</x:v>
      </x:c>
      <x:c r="C584" s="14" t="str">
        <x:v>Tuân thủ, pháp chế &amp; quản trị</x:v>
      </x:c>
      <x:c r="D584" s="14" t="str">
        <x:v>Quản trị triển khai, RACI và báo cáo</x:v>
      </x:c>
      <x:c r="E584" s="14" t="str">
        <x:v>Quyết định/tờ trình thành lập tổ công tác; ma trận nghĩa vụ; kế hoạch hành động.; 100% nghĩa vụ trọng yếu có owner, thời hạn, bằng chứng tuân thủ.; Bảo đảm không trùng lặp/không bỏ sót; cập nhật khi NĐ/TT ban hành.; 01 tổ công tác cấp Tổng công ty; 01 ma trận nghĩa vụ; báo cáo tuần trong giai đoạn cutover.</x:v>
      </x:c>
      <x:c r="F584" s="14" t="str">
        <x:v>Quyết định/Kế hoạch</x:v>
      </x:c>
      <x:c r="G584" s="14" t="str">
        <x:v>Văn phòng - Pháp chế</x:v>
      </x:c>
      <x:c r="H584" s="14" t="str"/>
      <x:c r="I584" s="58" t="str"/>
      <x:c r="J584" s="58" t="str"/>
      <x:c r="K584" s="14" t="str"/>
      <x:c r="L584" s="14" t="str">
        <x:v>Chưa có</x:v>
      </x:c>
      <x:c r="M584" s="14" t="str">
        <x:v>Theo dõi và cập nhật link/chỉ dẫn hồ sơ sau khi có bằng chứng.</x:v>
      </x:c>
    </x:row>
    <x:row r="585">
      <x:c r="A585" s="14" t="str">
        <x:v>EVID-0584</x:v>
      </x:c>
      <x:c r="B585" s="14" t="str">
        <x:v>VATM-0584</x:v>
      </x:c>
      <x:c r="C585" s="14" t="str">
        <x:v>Tuân thủ, pháp chế &amp; quản trị</x:v>
      </x:c>
      <x:c r="D585" s="14" t="str">
        <x:v>Quản trị triển khai, RACI và báo cáo</x:v>
      </x:c>
      <x:c r="E585" s="14" t="str">
        <x:v>Danh mục văn bản nội bộ cần sửa; kế hoạch sửa đổi; bản đối chiếu với Luật.; 100% văn bản trọng yếu được phân loại: giữ nguyên/sửa/ban hành mới/bãi bỏ.; Có căn cứ điều luật và đơn vị chịu trách nhiệm từng văn bản.; Tối thiểu 01 danh mục toàn VATM và danh mục riêng từng lĩnh vực ATM/CNS/MET/AIS/SAR/SMS/SEC.</x:v>
      </x:c>
      <x:c r="F585" s="14" t="str">
        <x:v>Quyết định/Kế hoạch</x:v>
      </x:c>
      <x:c r="G585" s="14" t="str">
        <x:v>Văn phòng - Pháp chế</x:v>
      </x:c>
      <x:c r="H585" s="14" t="str"/>
      <x:c r="I585" s="58" t="str"/>
      <x:c r="J585" s="58" t="str"/>
      <x:c r="K585" s="14" t="str"/>
      <x:c r="L585" s="14" t="str">
        <x:v>Chưa có</x:v>
      </x:c>
      <x:c r="M585" s="14" t="str">
        <x:v>Theo dõi và cập nhật link/chỉ dẫn hồ sơ sau khi có bằng chứng.</x:v>
      </x:c>
    </x:row>
    <x:row r="586">
      <x:c r="A586" s="14" t="str">
        <x:v>EVID-0585</x:v>
      </x:c>
      <x:c r="B586" s="14" t="str">
        <x:v>VATM-0585</x:v>
      </x:c>
      <x:c r="C586" s="14" t="str">
        <x:v>Tuân thủ, pháp chế &amp; quản trị</x:v>
      </x:c>
      <x:c r="D586" s="14" t="str">
        <x:v>Quản trị triển khai, RACI và báo cáo</x:v>
      </x:c>
      <x:c r="E586" s="14" t="str">
        <x:v>Tracker văn bản dưới luật; bộ góp ý chính thức; hồ sơ giải trình nội bộ.; Ý kiến góp ý đúng hạn; bám sát lợi ích an toàn, năng lực, nguồn lực VATM.; Góp ý dựa trên dữ liệu khai thác, ICAO, tác động chi phí-năng lực.; 01 tracker, tối thiểu 01 báo cáo tình trạng/tháng cho đến khi văn bản có hiệu lực.</x:v>
      </x:c>
      <x:c r="F586" s="14" t="str">
        <x:v>Báo cáo</x:v>
      </x:c>
      <x:c r="G586" s="14" t="str">
        <x:v>Văn phòng - Pháp chế</x:v>
      </x:c>
      <x:c r="H586" s="14" t="str"/>
      <x:c r="I586" s="58" t="str"/>
      <x:c r="J586" s="58" t="str"/>
      <x:c r="K586" s="14" t="str"/>
      <x:c r="L586" s="14" t="str">
        <x:v>Chưa có</x:v>
      </x:c>
      <x:c r="M586" s="14" t="str">
        <x:v>Theo dõi và cập nhật link/chỉ dẫn hồ sơ sau khi có bằng chứng.</x:v>
      </x:c>
    </x:row>
    <x:row r="587">
      <x:c r="A587" s="14" t="str">
        <x:v>EVID-0586</x:v>
      </x:c>
      <x:c r="B587" s="14" t="str">
        <x:v>VATM-0586</x:v>
      </x:c>
      <x:c r="C587" s="14" t="str">
        <x:v>Tuân thủ, pháp chế &amp; quản trị</x:v>
      </x:c>
      <x:c r="D587" s="14" t="str">
        <x:v>Quản trị triển khai, RACI và báo cáo</x:v>
      </x:c>
      <x:c r="E587" s="14" t="str">
        <x:v>Service catalogue ANS; sơ đồ tổ chức cung cấp dịch vụ; danh mục cơ sở/trang thiết bị/tài liệu phê chuẩn.; Dịch vụ được mô tả rõ, đúng thẩm quyền, đúng giấy phép/phê chuẩn.; Thống nhất thuật ngữ, địa bàn, vùng trách nhiệm, tiêu chuẩn dịch vụ.; 01 service catalogue; 01 register giấy phép/phê chuẩn; cập nhật tối thiểu 02 lần/năm.</x:v>
      </x:c>
      <x:c r="F587" s="14" t="str">
        <x:v>Biên bản/nhật ký/log</x:v>
      </x:c>
      <x:c r="G587" s="14" t="str">
        <x:v>Văn phòng - Pháp chế; Ban An toàn - Chất lượng</x:v>
      </x:c>
      <x:c r="H587" s="14" t="str"/>
      <x:c r="I587" s="58" t="str"/>
      <x:c r="J587" s="58" t="str"/>
      <x:c r="K587" s="14" t="str"/>
      <x:c r="L587" s="14" t="str">
        <x:v>Chưa có</x:v>
      </x:c>
      <x:c r="M587" s="14" t="str">
        <x:v>Theo dõi và cập nhật link/chỉ dẫn hồ sơ sau khi có bằng chứng.</x:v>
      </x:c>
    </x:row>
    <x:row r="588">
      <x:c r="A588" s="14" t="str">
        <x:v>EVID-0587</x:v>
      </x:c>
      <x:c r="B588" s="14" t="str">
        <x:v>VATM-0587</x:v>
      </x:c>
      <x:c r="C588" s="14" t="str">
        <x:v>ANS - ATM/ATS/ATFM</x:v>
      </x:c>
      <x:c r="D588" s="14" t="str">
        <x:v>Cung cấp ATS/điều hành bay</x:v>
      </x:c>
      <x:c r="E588" s="14" t="str">
        <x:v>Bản đồ/ma trận vùng trách nhiệm ATS; LOA/MoU cập nhật.; Không có chồng lấn hoặc khoảng trống trách nhiệm ATS; chuyển giao rõ.; Phù hợp AIP, phương thức, năng lực cơ sở ATS và phối hợp quân sự.; 01 bộ ma trận toàn quốc; LOA cho toàn bộ điểm chuyển giao trọng yếu.</x:v>
      </x:c>
      <x:c r="F588" s="14" t="str">
        <x:v>Khác</x:v>
      </x:c>
      <x:c r="G588" s="14" t="str">
        <x:v>Ban Không lưu</x:v>
      </x:c>
      <x:c r="H588" s="14" t="str"/>
      <x:c r="I588" s="58" t="str"/>
      <x:c r="J588" s="58" t="str"/>
      <x:c r="K588" s="14" t="str"/>
      <x:c r="L588" s="14" t="str">
        <x:v>Chưa có</x:v>
      </x:c>
      <x:c r="M588" s="14" t="str">
        <x:v>Theo dõi và cập nhật link/chỉ dẫn hồ sơ sau khi có bằng chứng.</x:v>
      </x:c>
    </x:row>
    <x:row r="589">
      <x:c r="A589" s="14" t="str">
        <x:v>EVID-0588</x:v>
      </x:c>
      <x:c r="B589" s="14" t="str">
        <x:v>VATM-0588</x:v>
      </x:c>
      <x:c r="C589" s="14" t="str">
        <x:v>ANS - ATM/ATS/ATFM</x:v>
      </x:c>
      <x:c r="D589" s="14" t="str">
        <x:v>Cung cấp ATS/điều hành bay</x:v>
      </x:c>
      <x:c r="E589" s="14" t="str">
        <x:v>Quy chế/LOA phối hợp; đầu mối 24/7; checklist tình huống.; Dữ liệu, thông tin chuyến bay và giám sát được chia sẻ đúng phạm vi, đúng thời hạn.; Bảo đảm an toàn, bảo mật, phân quyền, dự phòng đường truyền.; Tối thiểu 01 quy chế cấp quốc gia/đơn vị; diễn tập định kỳ hằng năm.</x:v>
      </x:c>
      <x:c r="F589" s="14" t="str">
        <x:v>Quy trình/SOP</x:v>
      </x:c>
      <x:c r="G589" s="14" t="str">
        <x:v>Ban Không lưu; Trung tâm Quản lý luồng không lưu</x:v>
      </x:c>
      <x:c r="H589" s="14" t="str"/>
      <x:c r="I589" s="58" t="str"/>
      <x:c r="J589" s="58" t="str"/>
      <x:c r="K589" s="14" t="str"/>
      <x:c r="L589" s="14" t="str">
        <x:v>Chưa có</x:v>
      </x:c>
      <x:c r="M589" s="14" t="str">
        <x:v>Theo dõi và cập nhật link/chỉ dẫn hồ sơ sau khi có bằng chứng.</x:v>
      </x:c>
    </x:row>
    <x:row r="590">
      <x:c r="A590" s="14" t="str">
        <x:v>EVID-0589</x:v>
      </x:c>
      <x:c r="B590" s="14" t="str">
        <x:v>VATM-0589</x:v>
      </x:c>
      <x:c r="C590" s="14" t="str">
        <x:v>ANS - ATM/ATS/ATFM</x:v>
      </x:c>
      <x:c r="D590" s="14" t="str">
        <x:v>Cung cấp ATS/điều hành bay</x:v>
      </x:c>
      <x:c r="E590" s="14" t="str">
        <x:v>SOP ASM/FUA; mẫu AUP/UUP; giao diện dữ liệu; quy trình NOTAM/AIRAC.; Giảm hạn chế vùng trời không cần thiết; thông tin vùng trời được cập nhật đúng thời hạn.; Tính chính xác, kịp thời, đồng bộ với AIM và ATFM.; 01 bộ SOP; báo cáo hiệu quả FUA hằng quý.</x:v>
      </x:c>
      <x:c r="F590" s="14" t="str">
        <x:v>Quy trình/SOP</x:v>
      </x:c>
      <x:c r="G590" s="14" t="str">
        <x:v>Ban Không lưu; Trung tâm Quản lý luồng không lưu</x:v>
      </x:c>
      <x:c r="H590" s="14" t="str"/>
      <x:c r="I590" s="58" t="str"/>
      <x:c r="J590" s="58" t="str"/>
      <x:c r="K590" s="14" t="str"/>
      <x:c r="L590" s="14" t="str">
        <x:v>Chưa có</x:v>
      </x:c>
      <x:c r="M590" s="14" t="str">
        <x:v>Theo dõi và cập nhật link/chỉ dẫn hồ sơ sau khi có bằng chứng.</x:v>
      </x:c>
    </x:row>
    <x:row r="591">
      <x:c r="A591" s="14" t="str">
        <x:v>EVID-0590</x:v>
      </x:c>
      <x:c r="B591" s="14" t="str">
        <x:v>VATM-0590</x:v>
      </x:c>
      <x:c r="C591" s="14" t="str">
        <x:v>ANS - ATM/ATS/ATFM</x:v>
      </x:c>
      <x:c r="D591" s="14" t="str">
        <x:v>Cung cấp ATS/điều hành bay</x:v>
      </x:c>
      <x:c r="E591" s="14" t="str">
        <x:v>Bản công bố năng lực ATC/ATFM theo mùa; dữ liệu capacity constraint.; Cấp phép/slot phù hợp năng lực cảng và năng lực ANS.; Năng lực được đo bằng phương pháp thống nhất, có cập nhật khi thay đổi.; Báo cáo theo mùa lịch bay và cập nhật khi capacity constraint phát sinh.</x:v>
      </x:c>
      <x:c r="F591" s="14" t="str">
        <x:v>Báo cáo</x:v>
      </x:c>
      <x:c r="G591" s="14" t="str">
        <x:v>Ban Không lưu; Trung tâm Quản lý luồng không lưu</x:v>
      </x:c>
      <x:c r="H591" s="14" t="str"/>
      <x:c r="I591" s="58" t="str"/>
      <x:c r="J591" s="58" t="str"/>
      <x:c r="K591" s="14" t="str"/>
      <x:c r="L591" s="14" t="str">
        <x:v>Chưa có</x:v>
      </x:c>
      <x:c r="M591" s="14" t="str">
        <x:v>Theo dõi và cập nhật link/chỉ dẫn hồ sơ sau khi có bằng chứng.</x:v>
      </x:c>
    </x:row>
    <x:row r="592">
      <x:c r="A592" s="14" t="str">
        <x:v>EVID-0591</x:v>
      </x:c>
      <x:c r="B592" s="14" t="str">
        <x:v>VATM-0591</x:v>
      </x:c>
      <x:c r="C592" s="14" t="str">
        <x:v>ANS - ATM/ATS/ATFM</x:v>
      </x:c>
      <x:c r="D592" s="14" t="str">
        <x:v>Cung cấp ATS/điều hành bay</x:v>
      </x:c>
      <x:c r="E592" s="14" t="str">
        <x:v>SOP FPL/permit; mẫu phản hồi; dashboard SLA; nhật ký thẩm quyền.; Không để FPL/permit sai lệch gây rủi ro; phản hồi đúng thời hạn.; Phân biệt rõ phản hồi thay phép bay, cấp/sửa/hủy phép bay và thông báo kế hoạch.; 01 SOP trung tâm; 100% nhân viên liên quan được huấn luyện.</x:v>
      </x:c>
      <x:c r="F592" s="14" t="str">
        <x:v>Quyết định/Kế hoạch</x:v>
      </x:c>
      <x:c r="G592" s="14" t="str">
        <x:v>Ban Không lưu; Trung tâm Quản lý luồng không lưu</x:v>
      </x:c>
      <x:c r="H592" s="14" t="str"/>
      <x:c r="I592" s="58" t="str"/>
      <x:c r="J592" s="58" t="str"/>
      <x:c r="K592" s="14" t="str"/>
      <x:c r="L592" s="14" t="str">
        <x:v>Chưa có</x:v>
      </x:c>
      <x:c r="M592" s="14" t="str">
        <x:v>Theo dõi và cập nhật link/chỉ dẫn hồ sơ sau khi có bằng chứng.</x:v>
      </x:c>
    </x:row>
    <x:row r="593">
      <x:c r="A593" s="14" t="str">
        <x:v>EVID-0592</x:v>
      </x:c>
      <x:c r="B593" s="14" t="str">
        <x:v>VATM-0592</x:v>
      </x:c>
      <x:c r="C593" s="14" t="str">
        <x:v>ANS - ATM/ATS/ATFM</x:v>
      </x:c>
      <x:c r="D593" s="14" t="str">
        <x:v>Cung cấp ATS/điều hành bay</x:v>
      </x:c>
      <x:c r="E593" s="14" t="str">
        <x:v>Kịch bản huấn luyện; biên bản diễn tập; checklist ATC.; KSVKL nắm đúng vai trò, liên lạc, phân cách, ưu tiên và báo cáo.; Không cung cấp chi tiết nhạy cảm vượt phạm vi an toàn/phối hợp; bảo mật hồ sơ.; Tối thiểu 01 diễn tập liên ngành/năm và 01 refresh training/năm.</x:v>
      </x:c>
      <x:c r="F593" s="14" t="str">
        <x:v>Biểu mẫu/Checklist</x:v>
      </x:c>
      <x:c r="G593" s="14" t="str">
        <x:v>Ban Không lưu; Ban An ninh hàng không</x:v>
      </x:c>
      <x:c r="H593" s="14" t="str"/>
      <x:c r="I593" s="58" t="str"/>
      <x:c r="J593" s="58" t="str"/>
      <x:c r="K593" s="14" t="str"/>
      <x:c r="L593" s="14" t="str">
        <x:v>Chưa có</x:v>
      </x:c>
      <x:c r="M593" s="14" t="str">
        <x:v>Theo dõi và cập nhật link/chỉ dẫn hồ sơ sau khi có bằng chứng.</x:v>
      </x:c>
    </x:row>
    <x:row r="594">
      <x:c r="A594" s="14" t="str">
        <x:v>EVID-0593</x:v>
      </x:c>
      <x:c r="B594" s="14" t="str">
        <x:v>VATM-0593</x:v>
      </x:c>
      <x:c r="C594" s="14" t="str">
        <x:v>ANS - ATM/ATS/ATFM</x:v>
      </x:c>
      <x:c r="D594" s="14" t="str">
        <x:v>Cung cấp ATS/điều hành bay</x:v>
      </x:c>
      <x:c r="E594" s="14" t="str">
        <x:v>Danh mục khu vực; SOP; nội dung AIP/NOTAM; quy trình báo cáo hậu kiểm.; An toàn phân cách, giảm rủi ro cho mặt đất/mặt nước/môi trường.; Có đánh giá an toàn và phối hợp địa phương/cơ quan môi trường khi cần.; Mỗi FIR/khu vực sân bay trọng yếu có phương án hoặc căn cứ xử lý.</x:v>
      </x:c>
      <x:c r="F594" s="14" t="str">
        <x:v>Quy trình/SOP</x:v>
      </x:c>
      <x:c r="G594" s="14" t="str">
        <x:v>Ban Không lưu; Trung tâm Thông báo tin tức hàng không</x:v>
      </x:c>
      <x:c r="H594" s="14" t="str"/>
      <x:c r="I594" s="58" t="str"/>
      <x:c r="J594" s="58" t="str"/>
      <x:c r="K594" s="14" t="str"/>
      <x:c r="L594" s="14" t="str">
        <x:v>Chưa có</x:v>
      </x:c>
      <x:c r="M594" s="14" t="str">
        <x:v>Theo dõi và cập nhật link/chỉ dẫn hồ sơ sau khi có bằng chứng.</x:v>
      </x:c>
    </x:row>
    <x:row r="595">
      <x:c r="A595" s="14" t="str">
        <x:v>EVID-0594</x:v>
      </x:c>
      <x:c r="B595" s="14" t="str">
        <x:v>VATM-0594</x:v>
      </x:c>
      <x:c r="C595" s="14" t="str">
        <x:v>ANS - ATM/ATS/ATFM</x:v>
      </x:c>
      <x:c r="D595" s="14" t="str">
        <x:v>ATFM, năng lực và điều phối luồng</x:v>
      </x:c>
      <x:c r="E595" s="14" t="str">
        <x:v>Manual ATFM/CDM; lịch họp CDM; báo cáo delay/capacity.; Điều tiết luồng thông suốt, giảm tắc nghẽn vùng trời/sân bay.; Dữ liệu minh bạch, lý do ATFM thống nhất, có hậu kiểm.; 01 mô hình toàn quốc; họp CDM định kỳ mùa/tuần/ngày theo nhu cầu.</x:v>
      </x:c>
      <x:c r="F595" s="14" t="str">
        <x:v>Báo cáo</x:v>
      </x:c>
      <x:c r="G595" s="14" t="str">
        <x:v>Trung tâm Quản lý luồng không lưu; Ban Không lưu</x:v>
      </x:c>
      <x:c r="H595" s="14" t="str"/>
      <x:c r="I595" s="58" t="str"/>
      <x:c r="J595" s="58" t="str"/>
      <x:c r="K595" s="14" t="str"/>
      <x:c r="L595" s="14" t="str">
        <x:v>Chưa có</x:v>
      </x:c>
      <x:c r="M595" s="14" t="str">
        <x:v>Theo dõi và cập nhật link/chỉ dẫn hồ sơ sau khi có bằng chứng.</x:v>
      </x:c>
    </x:row>
    <x:row r="596">
      <x:c r="A596" s="14" t="str">
        <x:v>EVID-0595</x:v>
      </x:c>
      <x:c r="B596" s="14" t="str">
        <x:v>VATM-0595</x:v>
      </x:c>
      <x:c r="C596" s="14" t="str">
        <x:v>ANS - ATM/ATS/ATFM</x:v>
      </x:c>
      <x:c r="D596" s="14" t="str">
        <x:v>ATFM, năng lực và điều phối luồng</x:v>
      </x:c>
      <x:c r="E596" s="14" t="str">
        <x:v>Dashboard môi trường ANS; báo cáo hiệu quả giảm chậm trễ/nhiên liệu ước tính.; Có dữ liệu hỗ trợ chính sách môi trường và hiện đại hóa ATM.; Phương pháp tính nhất quán, nêu rõ giả định, không thổi phồng lợi ích.; Báo cáo 6 tháng/lần sau khi có dữ liệu.</x:v>
      </x:c>
      <x:c r="F596" s="14" t="str">
        <x:v>Báo cáo</x:v>
      </x:c>
      <x:c r="G596" s="14" t="str">
        <x:v>Trung tâm Quản lý luồng không lưu; Ban Không lưu</x:v>
      </x:c>
      <x:c r="H596" s="14" t="str"/>
      <x:c r="I596" s="58" t="str"/>
      <x:c r="J596" s="58" t="str"/>
      <x:c r="K596" s="14" t="str"/>
      <x:c r="L596" s="14" t="str">
        <x:v>Chưa có</x:v>
      </x:c>
      <x:c r="M596" s="14" t="str">
        <x:v>Theo dõi và cập nhật link/chỉ dẫn hồ sơ sau khi có bằng chứng.</x:v>
      </x:c>
    </x:row>
    <x:row r="597">
      <x:c r="A597" s="14" t="str">
        <x:v>EVID-0596</x:v>
      </x:c>
      <x:c r="B597" s="14" t="str">
        <x:v>VATM-0596</x:v>
      </x:c>
      <x:c r="C597" s="14" t="str">
        <x:v>ANS - CNS/IT/Kỹ thuật</x:v>
      </x:c>
      <x:c r="D597" s="14" t="str">
        <x:v>CNS, trang thiết bị và bảo trì kỹ thuật</x:v>
      </x:c>
      <x:c r="E597" s="14" t="str">
        <x:v>CNS asset &amp; licence register; bản đồ tần số; cảnh báo hết hạn giấy phép.; 100% hệ thống CNS khai thác có hồ sơ hợp lệ, không quá hạn.; Hồ sơ khớp hiện trạng kỹ thuật, có owner và lịch bảo trì.; 01 register toàn quốc; cập nhật tối thiểu hằng quý.</x:v>
      </x:c>
      <x:c r="F597" s="14" t="str">
        <x:v>Hồ sơ phê duyệt</x:v>
      </x:c>
      <x:c r="G597" s="14" t="str">
        <x:v>Ban Kỹ thuật - CNS/IT/Môi trường</x:v>
      </x:c>
      <x:c r="H597" s="14" t="str"/>
      <x:c r="I597" s="58" t="str"/>
      <x:c r="J597" s="58" t="str"/>
      <x:c r="K597" s="14" t="str"/>
      <x:c r="L597" s="14" t="str">
        <x:v>Chưa có</x:v>
      </x:c>
      <x:c r="M597" s="14" t="str">
        <x:v>Theo dõi và cập nhật link/chỉ dẫn hồ sơ sau khi có bằng chứng.</x:v>
      </x:c>
    </x:row>
    <x:row r="598">
      <x:c r="A598" s="14" t="str">
        <x:v>EVID-0597</x:v>
      </x:c>
      <x:c r="B598" s="14" t="str">
        <x:v>VATM-0597</x:v>
      </x:c>
      <x:c r="C598" s="14" t="str">
        <x:v>ANS - CNS/IT/Kỹ thuật</x:v>
      </x:c>
      <x:c r="D598" s="14" t="str">
        <x:v>CNS, trang thiết bị và bảo trì kỹ thuật</x:v>
      </x:c>
      <x:c r="E598" s="14" t="str">
        <x:v>SOP xử lý can nhiễu; nhật ký sự cố; đường dây phối hợp cơ quan tần số.; Thời gian phát hiện, báo cáo, khoanh vùng, khắc phục đạt SLA.; Bảo đảm an toàn, liên tục dịch vụ, có phương án dự phòng.; Diễn tập can nhiễu/mất dịch vụ tối thiểu 01 lần/năm tại cơ sở trọng yếu.</x:v>
      </x:c>
      <x:c r="F598" s="14" t="str">
        <x:v>Quy trình/SOP</x:v>
      </x:c>
      <x:c r="G598" s="14" t="str">
        <x:v>Ban Kỹ thuật - CNS/IT/Môi trường</x:v>
      </x:c>
      <x:c r="H598" s="14" t="str"/>
      <x:c r="I598" s="58" t="str"/>
      <x:c r="J598" s="58" t="str"/>
      <x:c r="K598" s="14" t="str"/>
      <x:c r="L598" s="14" t="str">
        <x:v>Chưa có</x:v>
      </x:c>
      <x:c r="M598" s="14" t="str">
        <x:v>Theo dõi và cập nhật link/chỉ dẫn hồ sơ sau khi có bằng chứng.</x:v>
      </x:c>
    </x:row>
    <x:row r="599">
      <x:c r="A599" s="14" t="str">
        <x:v>EVID-0598</x:v>
      </x:c>
      <x:c r="B599" s="14" t="str">
        <x:v>VATM-0598</x:v>
      </x:c>
      <x:c r="C599" s="14" t="str">
        <x:v>ANS - CNS/IT/Kỹ thuật</x:v>
      </x:c>
      <x:c r="D599" s="14" t="str">
        <x:v>CNS, trang thiết bị và bảo trì kỹ thuật</x:v>
      </x:c>
      <x:c r="E599" s="14" t="str">
        <x:v>Quy trình đánh giá kỹ thuật; biểu mẫu ý kiến; cơ sở dữ liệu BRA/OLS liên quan CNS.; 100% hồ sơ công trình ảnh hưởng CNS được đánh giá đúng hạn và có kết luận rõ.; Dựa trên số liệu đo đạc, mô hình kỹ thuật, tiêu chuẩn ICAO/được phê duyệt.; Báo cáo đánh giá theo từng hồ sơ; danh mục cơ sở CNS cần bảo vệ.</x:v>
      </x:c>
      <x:c r="F599" s="14" t="str">
        <x:v>Quy trình/SOP</x:v>
      </x:c>
      <x:c r="G599" s="14" t="str">
        <x:v>Ban Kỹ thuật - CNS/IT/Môi trường</x:v>
      </x:c>
      <x:c r="H599" s="14" t="str"/>
      <x:c r="I599" s="58" t="str"/>
      <x:c r="J599" s="58" t="str"/>
      <x:c r="K599" s="14" t="str"/>
      <x:c r="L599" s="14" t="str">
        <x:v>Chưa có</x:v>
      </x:c>
      <x:c r="M599" s="14" t="str">
        <x:v>Theo dõi và cập nhật link/chỉ dẫn hồ sơ sau khi có bằng chứng.</x:v>
      </x:c>
    </x:row>
    <x:row r="600">
      <x:c r="A600" s="14" t="str">
        <x:v>EVID-0599</x:v>
      </x:c>
      <x:c r="B600" s="14" t="str">
        <x:v>VATM-0599</x:v>
      </x:c>
      <x:c r="C600" s="14" t="str">
        <x:v>ANS - CNS/IT/Kỹ thuật</x:v>
      </x:c>
      <x:c r="D600" s="14" t="str">
        <x:v>CNS, trang thiết bị và bảo trì kỹ thuật</x:v>
      </x:c>
      <x:c r="E600" s="14" t="str">
        <x:v>Báo cáo resilience CNS/ATM; kế hoạch nâng cấp dự phòng.; Đạt mục tiêu availability/continuity được phê chuẩn; giảm rủi ro single point of failure.; Ưu tiên hệ thống critical; có BCP/DRP được diễn tập.; 01 báo cáo toàn quốc; 01 kế hoạch đầu tư dự phòng giai đoạn 2026-2030.</x:v>
      </x:c>
      <x:c r="F600" s="14" t="str">
        <x:v>Quyết định/Kế hoạch</x:v>
      </x:c>
      <x:c r="G600" s="14" t="str">
        <x:v>Ban Kỹ thuật - CNS/IT/Môi trường; Ban Kế hoạch doanh nghiệp - Chuyển đổi số</x:v>
      </x:c>
      <x:c r="H600" s="14" t="str"/>
      <x:c r="I600" s="58" t="str"/>
      <x:c r="J600" s="58" t="str"/>
      <x:c r="K600" s="14" t="str"/>
      <x:c r="L600" s="14" t="str">
        <x:v>Chưa có</x:v>
      </x:c>
      <x:c r="M600" s="14" t="str">
        <x:v>Theo dõi và cập nhật link/chỉ dẫn hồ sơ sau khi có bằng chứng.</x:v>
      </x:c>
    </x:row>
    <x:row r="601">
      <x:c r="A601" s="14" t="str">
        <x:v>EVID-0600</x:v>
      </x:c>
      <x:c r="B601" s="14" t="str">
        <x:v>VATM-0600</x:v>
      </x:c>
      <x:c r="C601" s="14" t="str">
        <x:v>ANS - AIS/AIM/Tin tức HK</x:v>
      </x:c>
      <x:c r="D601" s="14" t="str">
        <x:v>AIP/NOTAM/dữ liệu hàng không</x:v>
      </x:c>
      <x:c r="E601" s="14" t="str">
        <x:v>Data chain procedure; danh mục người khởi tạo dữ liệu; SLA dữ liệu.; Dữ liệu chính xác, đầy đủ, kịp thời, truy xuất nguồn gốc.; Chuẩn hóa định dạng, WGS-84, toàn vẹn, bảo mật, kiểm soát phiên bản.; 01 quy trình toàn VATM; 100% data originators liên quan có thỏa thuận chính thức.</x:v>
      </x:c>
      <x:c r="F601" s="14" t="str">
        <x:v>Quy trình/SOP</x:v>
      </x:c>
      <x:c r="G601" s="14" t="str">
        <x:v>Trung tâm Thông báo tin tức hàng không</x:v>
      </x:c>
      <x:c r="H601" s="14" t="str"/>
      <x:c r="I601" s="58" t="str"/>
      <x:c r="J601" s="58" t="str"/>
      <x:c r="K601" s="14" t="str"/>
      <x:c r="L601" s="14" t="str">
        <x:v>Chưa có</x:v>
      </x:c>
      <x:c r="M601" s="14" t="str">
        <x:v>Theo dõi và cập nhật link/chỉ dẫn hồ sơ sau khi có bằng chứng.</x:v>
      </x:c>
    </x:row>
    <x:row r="602">
      <x:c r="A602" s="14" t="str">
        <x:v>EVID-0601</x:v>
      </x:c>
      <x:c r="B602" s="14" t="str">
        <x:v>VATM-0601</x:v>
      </x:c>
      <x:c r="C602" s="14" t="str">
        <x:v>ANS - AIS/AIM/Tin tức HK</x:v>
      </x:c>
      <x:c r="D602" s="14" t="str">
        <x:v>AIP/NOTAM/dữ liệu hàng không</x:v>
      </x:c>
      <x:c r="E602" s="14" t="str">
        <x:v>AIM publication calendar; checklist AIRAC; dashboard lỗi dữ liệu.; AIRAC đúng hạn ≥98%; lỗi dữ liệu nghiêm trọng bằng 0.; Có kiểm tra 2 cấp, phân quyền phê chuẩn, lưu vết thay đổi.; Lịch AIRAC cả năm; báo cáo chất lượng dữ liệu hằng quý.</x:v>
      </x:c>
      <x:c r="F602" s="14" t="str">
        <x:v>Biểu mẫu/Checklist</x:v>
      </x:c>
      <x:c r="G602" s="14" t="str">
        <x:v>Trung tâm Thông báo tin tức hàng không</x:v>
      </x:c>
      <x:c r="H602" s="14" t="str"/>
      <x:c r="I602" s="58" t="str"/>
      <x:c r="J602" s="58" t="str"/>
      <x:c r="K602" s="14" t="str"/>
      <x:c r="L602" s="14" t="str">
        <x:v>Chưa có</x:v>
      </x:c>
      <x:c r="M602" s="14" t="str">
        <x:v>Theo dõi và cập nhật link/chỉ dẫn hồ sơ sau khi có bằng chứng.</x:v>
      </x:c>
    </x:row>
    <x:row r="603">
      <x:c r="A603" s="14" t="str">
        <x:v>EVID-0602</x:v>
      </x:c>
      <x:c r="B603" s="14" t="str">
        <x:v>VATM-0602</x:v>
      </x:c>
      <x:c r="C603" s="14" t="str">
        <x:v>ANS - AIS/AIM/Tin tức HK</x:v>
      </x:c>
      <x:c r="D603" s="14" t="str">
        <x:v>AIP/NOTAM/dữ liệu hàng không</x:v>
      </x:c>
      <x:c r="E603" s="14" t="str">
        <x:v>CSDL eTOD/obstacles; biểu mẫu cập nhật; quy trình kiểm tra chất lượng.; Dữ liệu chướng ngại vật có độ chính xác và toàn vẹn phù hợp quy định.; Có nguồn gốc rõ, cập nhật khi công trình hoàn thành/thay đổi/dỡ bỏ.; CSDL cho các cảng hàng không/sân bay có hoạt động dân dụng; ưu tiên sân bay trọng điểm trước.</x:v>
      </x:c>
      <x:c r="F603" s="14" t="str">
        <x:v>Quy trình/SOP</x:v>
      </x:c>
      <x:c r="G603" s="14" t="str">
        <x:v>Trung tâm Thông báo tin tức hàng không</x:v>
      </x:c>
      <x:c r="H603" s="14" t="str"/>
      <x:c r="I603" s="58" t="str"/>
      <x:c r="J603" s="58" t="str"/>
      <x:c r="K603" s="14" t="str"/>
      <x:c r="L603" s="14" t="str">
        <x:v>Chưa có</x:v>
      </x:c>
      <x:c r="M603" s="14" t="str">
        <x:v>Theo dõi và cập nhật link/chỉ dẫn hồ sơ sau khi có bằng chứng.</x:v>
      </x:c>
    </x:row>
    <x:row r="604">
      <x:c r="A604" s="14" t="str">
        <x:v>EVID-0603</x:v>
      </x:c>
      <x:c r="B604" s="14" t="str">
        <x:v>VATM-0603</x:v>
      </x:c>
      <x:c r="C604" s="14" t="str">
        <x:v>ANS - AIS/AIM/Tin tức HK</x:v>
      </x:c>
      <x:c r="D604" s="14" t="str">
        <x:v>AIP/NOTAM/dữ liệu hàng không</x:v>
      </x:c>
      <x:c r="E604" s="14" t="str">
        <x:v>Giao diện kết nối/API hoặc quy trình trao đổi; data mapping; quy chế bảo mật.; Dữ liệu được chia sẻ đúng quyền, đúng mục đích, đúng tần suất.; Bảo vệ dữ liệu cá nhân/an toàn; không chia sẻ vượt thẩm quyền.; 01 kế hoạch kết nối; thử nghiệm kỹ thuật theo giai đoạn.</x:v>
      </x:c>
      <x:c r="F604" s="14" t="str">
        <x:v>Quyết định/Kế hoạch</x:v>
      </x:c>
      <x:c r="G604" s="14" t="str">
        <x:v>Trung tâm Thông báo tin tức hàng không; Ban Kế hoạch doanh nghiệp - Chuyển đổi số; Ban Kỹ thuật - CNS/IT/Môi trường</x:v>
      </x:c>
      <x:c r="H604" s="14" t="str"/>
      <x:c r="I604" s="58" t="str"/>
      <x:c r="J604" s="58" t="str"/>
      <x:c r="K604" s="14" t="str"/>
      <x:c r="L604" s="14" t="str">
        <x:v>Chưa có</x:v>
      </x:c>
      <x:c r="M604" s="14" t="str">
        <x:v>Theo dõi và cập nhật link/chỉ dẫn hồ sơ sau khi có bằng chứng.</x:v>
      </x:c>
    </x:row>
    <x:row r="605">
      <x:c r="A605" s="14" t="str">
        <x:v>EVID-0604</x:v>
      </x:c>
      <x:c r="B605" s="14" t="str">
        <x:v>VATM-0604</x:v>
      </x:c>
      <x:c r="C605" s="14" t="str">
        <x:v>ANS - ATM/ATS/ATFM</x:v>
      </x:c>
      <x:c r="D605" s="14" t="str">
        <x:v>Vùng trời, phương thức bay và ASM</x:v>
      </x:c>
      <x:c r="E605" s="14" t="str">
        <x:v>Danh mục phương thức/sơ đồ cần cập nhật; hồ sơ thiết kế/kiểm tra/phê chuẩn.; Không công bố phương thức/sơ đồ thiếu dữ liệu hoặc chưa phê chuẩn.; Tuân thủ ICAO PANS-OPS/Annex 4 và quy định Bộ Xây dựng.; Rà soát toàn bộ sân bay trọng điểm trước các thay đổi lớn; cập nhật AIRAC đúng hạn.</x:v>
      </x:c>
      <x:c r="F605" s="14" t="str">
        <x:v>Dữ liệu hệ thống</x:v>
      </x:c>
      <x:c r="G605" s="14" t="str">
        <x:v>Ban Không lưu</x:v>
      </x:c>
      <x:c r="H605" s="14" t="str"/>
      <x:c r="I605" s="58" t="str"/>
      <x:c r="J605" s="58" t="str"/>
      <x:c r="K605" s="14" t="str"/>
      <x:c r="L605" s="14" t="str">
        <x:v>Chưa có</x:v>
      </x:c>
      <x:c r="M605" s="14" t="str">
        <x:v>Theo dõi và cập nhật link/chỉ dẫn hồ sơ sau khi có bằng chứng.</x:v>
      </x:c>
    </x:row>
    <x:row r="606">
      <x:c r="A606" s="14" t="str">
        <x:v>EVID-0605</x:v>
      </x:c>
      <x:c r="B606" s="14" t="str">
        <x:v>VATM-0605</x:v>
      </x:c>
      <x:c r="C606" s="14" t="str">
        <x:v>ANS - MET/Khí tượng hàng không</x:v>
      </x:c>
      <x:c r="D606" s="14" t="str">
        <x:v>Quan trắc, dự báo và cảnh báo MET</x:v>
      </x:c>
      <x:c r="E606" s="14" t="str">
        <x:v>MET service catalogue; register hệ thống MET; quy trình phối hợp dữ liệu khí tượng.; Sản phẩm MET đáp ứng nhu cầu ATS, người khai thác và tiêu chuẩn ICAO.; Chính xác, kịp thời, có kiểm soát chất lượng và dự phòng.; 01 danh mục sản phẩm MET; báo cáo chất lượng MET hằng quý.</x:v>
      </x:c>
      <x:c r="F606" s="14" t="str">
        <x:v>Quy trình/SOP</x:v>
      </x:c>
      <x:c r="G606" s="14" t="str">
        <x:v>Trung tâm Khí tượng hàng không; Ban Kỹ thuật - CNS/IT/Môi trường</x:v>
      </x:c>
      <x:c r="H606" s="14" t="str"/>
      <x:c r="I606" s="58" t="str"/>
      <x:c r="J606" s="58" t="str"/>
      <x:c r="K606" s="14" t="str"/>
      <x:c r="L606" s="14" t="str">
        <x:v>Chưa có</x:v>
      </x:c>
      <x:c r="M606" s="14" t="str">
        <x:v>Theo dõi và cập nhật link/chỉ dẫn hồ sơ sau khi có bằng chứng.</x:v>
      </x:c>
    </x:row>
    <x:row r="607">
      <x:c r="A607" s="14" t="str">
        <x:v>EVID-0606</x:v>
      </x:c>
      <x:c r="B607" s="14" t="str">
        <x:v>VATM-0606</x:v>
      </x:c>
      <x:c r="C607" s="14" t="str">
        <x:v>ANS - MET/Khí tượng hàng không</x:v>
      </x:c>
      <x:c r="D607" s="14" t="str">
        <x:v>Quan trắc, dự báo và cảnh báo MET</x:v>
      </x:c>
      <x:c r="E607" s="14" t="str">
        <x:v>Quy trình MET-ATFM; dashboard thời tiết-năng lực; bản tin phối hợp.; Quyết định ATFM có căn cứ thời tiết; giảm đột biến chậm trễ do thiếu thông tin.; Dữ liệu thống nhất, cập nhật kịp thời, truy xuất được nguồn.; Bản tin theo ngày/giờ trong giai đoạn thời tiết phức tạp.</x:v>
      </x:c>
      <x:c r="F607" s="14" t="str">
        <x:v>Quy trình/SOP</x:v>
      </x:c>
      <x:c r="G607" s="14" t="str">
        <x:v>Trung tâm Khí tượng hàng không; Trung tâm Quản lý luồng không lưu</x:v>
      </x:c>
      <x:c r="H607" s="14" t="str"/>
      <x:c r="I607" s="58" t="str"/>
      <x:c r="J607" s="58" t="str"/>
      <x:c r="K607" s="14" t="str"/>
      <x:c r="L607" s="14" t="str">
        <x:v>Chưa có</x:v>
      </x:c>
      <x:c r="M607" s="14" t="str">
        <x:v>Theo dõi và cập nhật link/chỉ dẫn hồ sơ sau khi có bằng chứng.</x:v>
      </x:c>
    </x:row>
    <x:row r="608">
      <x:c r="A608" s="14" t="str">
        <x:v>EVID-0607</x:v>
      </x:c>
      <x:c r="B608" s="14" t="str">
        <x:v>VATM-0607</x:v>
      </x:c>
      <x:c r="C608" s="14" t="str">
        <x:v>ANS - Tìm kiếm cứu nạn &amp; khẩn nguy</x:v>
      </x:c>
      <x:c r="D608" s="14" t="str">
        <x:v>SAR, khẩn nguy và hiệp đồng</x:v>
      </x:c>
      <x:c r="E608" s="14" t="str">
        <x:v>Kế hoạch SAR; danh bạ phối hợp; SOP RCC/alerting.; Kích hoạt và phối hợp SAR kịp thời, đúng thẩm quyền, đúng vùng trách nhiệm.; Thông tin liên lạc và dữ liệu chuyến bay sẵn sàng 24/7.; 01 kế hoạch toàn quốc và kế hoạch khu vực; kiểm tra liên lạc định kỳ.</x:v>
      </x:c>
      <x:c r="F608" s="14" t="str">
        <x:v>Quyết định/Kế hoạch</x:v>
      </x:c>
      <x:c r="G608" s="14" t="str">
        <x:v>Trung tâm Tìm kiếm cứu nạn hàng không</x:v>
      </x:c>
      <x:c r="H608" s="14" t="str"/>
      <x:c r="I608" s="58" t="str"/>
      <x:c r="J608" s="58" t="str"/>
      <x:c r="K608" s="14" t="str"/>
      <x:c r="L608" s="14" t="str">
        <x:v>Chưa có</x:v>
      </x:c>
      <x:c r="M608" s="14" t="str">
        <x:v>Theo dõi và cập nhật link/chỉ dẫn hồ sơ sau khi có bằng chứng.</x:v>
      </x:c>
    </x:row>
    <x:row r="609">
      <x:c r="A609" s="14" t="str">
        <x:v>EVID-0608</x:v>
      </x:c>
      <x:c r="B609" s="14" t="str">
        <x:v>VATM-0608</x:v>
      </x:c>
      <x:c r="C609" s="14" t="str">
        <x:v>ANS - Tìm kiếm cứu nạn &amp; khẩn nguy</x:v>
      </x:c>
      <x:c r="D609" s="14" t="str">
        <x:v>SAR, khẩn nguy và hiệp đồng</x:v>
      </x:c>
      <x:c r="E609" s="14" t="str">
        <x:v>Kịch bản diễn tập; biên bản đánh giá; danh mục lesson learned.; Nâng cao năng lực phối hợp, thông báo, xác định khu vực tìm kiếm ưu tiên.; An toàn cho lực lượng tham gia; bảo mật thông tin; đánh giá độc lập sau diễn tập.; Tối thiểu theo kế hoạch quốc gia/khu vực; bài học được đóng khắc phục.</x:v>
      </x:c>
      <x:c r="F609" s="14" t="str">
        <x:v>Quyết định/Kế hoạch</x:v>
      </x:c>
      <x:c r="G609" s="14" t="str">
        <x:v>Trung tâm Tìm kiếm cứu nạn hàng không; Ban An toàn - Chất lượng</x:v>
      </x:c>
      <x:c r="H609" s="14" t="str"/>
      <x:c r="I609" s="58" t="str"/>
      <x:c r="J609" s="58" t="str"/>
      <x:c r="K609" s="14" t="str"/>
      <x:c r="L609" s="14" t="str">
        <x:v>Chưa có</x:v>
      </x:c>
      <x:c r="M609" s="14" t="str">
        <x:v>Theo dõi và cập nhật link/chỉ dẫn hồ sơ sau khi có bằng chứng.</x:v>
      </x:c>
    </x:row>
    <x:row r="610">
      <x:c r="A610" s="14" t="str">
        <x:v>EVID-0609</x:v>
      </x:c>
      <x:c r="B610" s="14" t="str">
        <x:v>VATM-0609</x:v>
      </x:c>
      <x:c r="C610" s="14" t="str">
        <x:v>An toàn hàng không / SMS</x:v>
      </x:c>
      <x:c r="D610" s="14" t="str">
        <x:v>Khung SMS và quản trị an toàn</x:v>
      </x:c>
      <x:c r="E610" s="14" t="str">
        <x:v>SMS Manual mới; quy trình SRM/SA/Promotion; danh mục SPI/SPT.; SMS phù hợp SSP, được CAAV giám sát và chứng minh hiệu lực.; Tài liệu có owner, kiểm soát phiên bản, đào tạo triển khai.; 01 SMS Manual toàn VATM và phụ lục đơn vị.</x:v>
      </x:c>
      <x:c r="F610" s="14" t="str">
        <x:v>Quy trình/SOP</x:v>
      </x:c>
      <x:c r="G610" s="14" t="str">
        <x:v>Ban An toàn - Chất lượng</x:v>
      </x:c>
      <x:c r="H610" s="14" t="str"/>
      <x:c r="I610" s="58" t="str"/>
      <x:c r="J610" s="58" t="str"/>
      <x:c r="K610" s="14" t="str"/>
      <x:c r="L610" s="14" t="str">
        <x:v>Chưa có</x:v>
      </x:c>
      <x:c r="M610" s="14" t="str">
        <x:v>Theo dõi và cập nhật link/chỉ dẫn hồ sơ sau khi có bằng chứng.</x:v>
      </x:c>
    </x:row>
    <x:row r="611">
      <x:c r="A611" s="14" t="str">
        <x:v>EVID-0610</x:v>
      </x:c>
      <x:c r="B611" s="14" t="str">
        <x:v>VATM-0610</x:v>
      </x:c>
      <x:c r="C611" s="14" t="str">
        <x:v>An toàn hàng không / SMS</x:v>
      </x:c>
      <x:c r="D611" s="14" t="str">
        <x:v>Khung SMS và quản trị an toàn</x:v>
      </x:c>
      <x:c r="E611" s="14" t="str">
        <x:v>Safety reporting system; taxonomy; dashboard an toàn; quy chế bảo vệ dữ liệu.; Báo cáo đúng hạn, phân tích xu hướng, cảnh báo rủi ro sớm.; Bảo mật, bảo vệ dữ liệu cá nhân, khuyến khích báo cáo tự nguyện.; Báo cáo tháng/quý; dữ liệu theo nhóm ATM/CNS/MET/AIS/SAR.</x:v>
      </x:c>
      <x:c r="F611" s="14" t="str">
        <x:v>Quy trình/SOP</x:v>
      </x:c>
      <x:c r="G611" s="14" t="str">
        <x:v>Ban An toàn - Chất lượng; Ban Kế hoạch doanh nghiệp - Chuyển đổi số; Ban Kỹ thuật - CNS/IT/Môi trường</x:v>
      </x:c>
      <x:c r="H611" s="14" t="str"/>
      <x:c r="I611" s="58" t="str"/>
      <x:c r="J611" s="58" t="str"/>
      <x:c r="K611" s="14" t="str"/>
      <x:c r="L611" s="14" t="str">
        <x:v>Chưa có</x:v>
      </x:c>
      <x:c r="M611" s="14" t="str">
        <x:v>Theo dõi và cập nhật link/chỉ dẫn hồ sơ sau khi có bằng chứng.</x:v>
      </x:c>
    </x:row>
    <x:row r="612">
      <x:c r="A612" s="14" t="str">
        <x:v>EVID-0611</x:v>
      </x:c>
      <x:c r="B612" s="14" t="str">
        <x:v>VATM-0611</x:v>
      </x:c>
      <x:c r="C612" s="14" t="str">
        <x:v>An toàn hàng không / SMS</x:v>
      </x:c>
      <x:c r="D612" s="14" t="str">
        <x:v>Khung SMS và quản trị an toàn</x:v>
      </x:c>
      <x:c r="E612" s="14" t="str">
        <x:v>Bản tin an toàn; chuẩn mực văn hóa an toàn; chương trình truyền thông.; Nhân sự hiểu và thực hành báo cáo, học hỏi, cải tiến an toàn.; Không quy chụp lỗi khi báo cáo thiện chí; tập trung phòng ngừa.; Tối thiểu 04 bản tin/năm; 01 khảo sát văn hóa an toàn/năm.</x:v>
      </x:c>
      <x:c r="F612" s="14" t="str">
        <x:v>Báo cáo</x:v>
      </x:c>
      <x:c r="G612" s="14" t="str">
        <x:v>Ban An toàn - Chất lượng</x:v>
      </x:c>
      <x:c r="H612" s="14" t="str"/>
      <x:c r="I612" s="58" t="str"/>
      <x:c r="J612" s="58" t="str"/>
      <x:c r="K612" s="14" t="str"/>
      <x:c r="L612" s="14" t="str">
        <x:v>Chưa có</x:v>
      </x:c>
      <x:c r="M612" s="14" t="str">
        <x:v>Theo dõi và cập nhật link/chỉ dẫn hồ sơ sau khi có bằng chứng.</x:v>
      </x:c>
    </x:row>
    <x:row r="613">
      <x:c r="A613" s="14" t="str">
        <x:v>EVID-0612</x:v>
      </x:c>
      <x:c r="B613" s="14" t="str">
        <x:v>VATM-0612</x:v>
      </x:c>
      <x:c r="C613" s="14" t="str">
        <x:v>An toàn hàng không / SMS</x:v>
      </x:c>
      <x:c r="D613" s="14" t="str">
        <x:v>Khung SMS và quản trị an toàn</x:v>
      </x:c>
      <x:c r="E613" s="14" t="str">
        <x:v>Audit support kit; register phát hiện/khắc phục.; Cuộc giám sát diễn ra đúng kế hoạch, hồ sơ đầy đủ, khắc phục hiệu quả.; Cung cấp tài liệu đúng thẩm quyền, bảo mật dữ liệu nhạy cảm.; 01 bộ audit readiness checklist cho từng đơn vị.</x:v>
      </x:c>
      <x:c r="F613" s="14" t="str">
        <x:v>Quyết định/Kế hoạch</x:v>
      </x:c>
      <x:c r="G613" s="14" t="str">
        <x:v>Ban An toàn - Chất lượng</x:v>
      </x:c>
      <x:c r="H613" s="14" t="str"/>
      <x:c r="I613" s="58" t="str"/>
      <x:c r="J613" s="58" t="str"/>
      <x:c r="K613" s="14" t="str"/>
      <x:c r="L613" s="14" t="str">
        <x:v>Chưa có</x:v>
      </x:c>
      <x:c r="M613" s="14" t="str">
        <x:v>Theo dõi và cập nhật link/chỉ dẫn hồ sơ sau khi có bằng chứng.</x:v>
      </x:c>
    </x:row>
    <x:row r="614">
      <x:c r="A614" s="14" t="str">
        <x:v>EVID-0613</x:v>
      </x:c>
      <x:c r="B614" s="14" t="str">
        <x:v>VATM-0613</x:v>
      </x:c>
      <x:c r="C614" s="14" t="str">
        <x:v>An toàn hàng không / SMS</x:v>
      </x:c>
      <x:c r="D614" s="14" t="str">
        <x:v>Khung SMS và quản trị an toàn</x:v>
      </x:c>
      <x:c r="E614" s="14" t="str">
        <x:v>SOP bảo toàn chứng cứ; danh mục log/audio/radar/data; form bàn giao.; Dữ liệu được niêm phong/lưu vết, cung cấp đúng thẩm quyền và thời hạn.; Chain-of-custody rõ ràng, không sửa đổi dữ liệu gốc.; 01 SOP toàn VATM; huấn luyện cho 100% đơn vị có dữ liệu trọng yếu.</x:v>
      </x:c>
      <x:c r="F614" s="14" t="str">
        <x:v>Quy trình/SOP</x:v>
      </x:c>
      <x:c r="G614" s="14" t="str">
        <x:v>Ban An toàn - Chất lượng; Văn phòng - Pháp chế; Ban Kế hoạch doanh nghiệp - Chuyển đổi số; Ban Kỹ thuật - CNS/IT/Môi trường</x:v>
      </x:c>
      <x:c r="H614" s="14" t="str"/>
      <x:c r="I614" s="58" t="str"/>
      <x:c r="J614" s="58" t="str"/>
      <x:c r="K614" s="14" t="str"/>
      <x:c r="L614" s="14" t="str">
        <x:v>Chưa có</x:v>
      </x:c>
      <x:c r="M614" s="14" t="str">
        <x:v>Theo dõi và cập nhật link/chỉ dẫn hồ sơ sau khi có bằng chứng.</x:v>
      </x:c>
    </x:row>
    <x:row r="615">
      <x:c r="A615" s="14" t="str">
        <x:v>EVID-0614</x:v>
      </x:c>
      <x:c r="B615" s="14" t="str">
        <x:v>VATM-0614</x:v>
      </x:c>
      <x:c r="C615" s="14" t="str">
        <x:v>An ninh hàng không</x:v>
      </x:c>
      <x:c r="D615" s="14" t="str">
        <x:v>Quản trị, phối hợp và giám sát ANHK</x:v>
      </x:c>
      <x:c r="E615" s="14" t="str">
        <x:v>Chương trình an ninh VATM; phụ lục cơ sở; hồ sơ trình phê duyệt.; Chương trình được phê duyệt và triển khai đầy đủ tại cơ sở ATS/CNS trọng yếu.; Phù hợp chương trình an ninh quốc gia, kiểm soát chất lượng và huấn luyện.; 01 chương trình cấp VATM; phụ lục cho cơ sở trọng yếu.</x:v>
      </x:c>
      <x:c r="F615" s="14" t="str">
        <x:v>Hồ sơ phê duyệt</x:v>
      </x:c>
      <x:c r="G615" s="14" t="str">
        <x:v>Ban An ninh hàng không</x:v>
      </x:c>
      <x:c r="H615" s="14" t="str"/>
      <x:c r="I615" s="58" t="str"/>
      <x:c r="J615" s="58" t="str"/>
      <x:c r="K615" s="14" t="str"/>
      <x:c r="L615" s="14" t="str">
        <x:v>Chưa có</x:v>
      </x:c>
      <x:c r="M615" s="14" t="str">
        <x:v>Theo dõi và cập nhật link/chỉ dẫn hồ sơ sau khi có bằng chứng.</x:v>
      </x:c>
    </x:row>
    <x:row r="616">
      <x:c r="A616" s="14" t="str">
        <x:v>EVID-0615</x:v>
      </x:c>
      <x:c r="B616" s="14" t="str">
        <x:v>VATM-0615</x:v>
      </x:c>
      <x:c r="C616" s="14" t="str">
        <x:v>An ninh hàng không</x:v>
      </x:c>
      <x:c r="D616" s="14" t="str">
        <x:v>Quản trị, phối hợp và giám sát ANHK</x:v>
      </x:c>
      <x:c r="E616" s="14" t="str">
        <x:v>Danh mục khu vực hạn chế; quy trình access control; nhật ký kiểm tra.; Không có truy cập trái phép; hồ sơ ra/vào và nhà thầu rõ ràng.; Kết hợp bảo vệ vật lý và an ninh mạng; phân quyền theo nhiệm vụ.; 100% cơ sở trọng yếu có sơ đồ khu vực hạn chế và quy trình kiểm soát.</x:v>
      </x:c>
      <x:c r="F616" s="14" t="str">
        <x:v>Quy trình/SOP</x:v>
      </x:c>
      <x:c r="G616" s="14" t="str">
        <x:v>Ban An ninh hàng không</x:v>
      </x:c>
      <x:c r="H616" s="14" t="str"/>
      <x:c r="I616" s="58" t="str"/>
      <x:c r="J616" s="58" t="str"/>
      <x:c r="K616" s="14" t="str"/>
      <x:c r="L616" s="14" t="str">
        <x:v>Chưa có</x:v>
      </x:c>
      <x:c r="M616" s="14" t="str">
        <x:v>Theo dõi và cập nhật link/chỉ dẫn hồ sơ sau khi có bằng chứng.</x:v>
      </x:c>
    </x:row>
    <x:row r="617">
      <x:c r="A617" s="14" t="str">
        <x:v>EVID-0616</x:v>
      </x:c>
      <x:c r="B617" s="14" t="str">
        <x:v>VATM-0616</x:v>
      </x:c>
      <x:c r="C617" s="14" t="str">
        <x:v>An ninh hàng không</x:v>
      </x:c>
      <x:c r="D617" s="14" t="str">
        <x:v>Quản trị, phối hợp và giám sát ANHK</x:v>
      </x:c>
      <x:c r="E617" s="14" t="str">
        <x:v>SOP can thiệp bất hợp pháp; kịch bản diễn tập; danh bạ bảo mật.; Tàu bay bị can thiệp bất hợp pháp được ưu tiên điều hành và trợ giúp.; Bảo mật, không làm lộ thông tin nhạy cảm, phối hợp đúng thẩm quyền.; 01 SOP; 01 diễn tập/tabletop/năm.</x:v>
      </x:c>
      <x:c r="F617" s="14" t="str">
        <x:v>Quy trình/SOP</x:v>
      </x:c>
      <x:c r="G617" s="14" t="str">
        <x:v>Ban An ninh hàng không; Ban Không lưu</x:v>
      </x:c>
      <x:c r="H617" s="14" t="str"/>
      <x:c r="I617" s="58" t="str"/>
      <x:c r="J617" s="58" t="str"/>
      <x:c r="K617" s="14" t="str"/>
      <x:c r="L617" s="14" t="str">
        <x:v>Chưa có</x:v>
      </x:c>
      <x:c r="M617" s="14" t="str">
        <x:v>Theo dõi và cập nhật link/chỉ dẫn hồ sơ sau khi có bằng chứng.</x:v>
      </x:c>
    </x:row>
    <x:row r="618">
      <x:c r="A618" s="14" t="str">
        <x:v>EVID-0617</x:v>
      </x:c>
      <x:c r="B618" s="14" t="str">
        <x:v>VATM-0617</x:v>
      </x:c>
      <x:c r="C618" s="14" t="str">
        <x:v>An ninh hàng không</x:v>
      </x:c>
      <x:c r="D618" s="14" t="str">
        <x:v>Quản trị, phối hợp và giám sát ANHK</x:v>
      </x:c>
      <x:c r="E618" s="14" t="str">
        <x:v>Quy trình audit support; danh mục tài liệu cung cấp; biên bản làm việc.; Phối hợp đúng thẩm quyền, đầy đủ, không lộ dữ liệu vượt phạm vi.; Có đầu mối tiếp nhận, kiểm soát tài liệu, xử lý phát hiện.; 01 quy trình toàn VATM; hồ sơ kiểm tra theo từng vụ việc.</x:v>
      </x:c>
      <x:c r="F618" s="14" t="str">
        <x:v>Quy trình/SOP</x:v>
      </x:c>
      <x:c r="G618" s="14" t="str">
        <x:v>Ban An ninh hàng không</x:v>
      </x:c>
      <x:c r="H618" s="14" t="str"/>
      <x:c r="I618" s="58" t="str"/>
      <x:c r="J618" s="58" t="str"/>
      <x:c r="K618" s="14" t="str"/>
      <x:c r="L618" s="14" t="str">
        <x:v>Chưa có</x:v>
      </x:c>
      <x:c r="M618" s="14" t="str">
        <x:v>Theo dõi và cập nhật link/chỉ dẫn hồ sơ sau khi có bằng chứng.</x:v>
      </x:c>
    </x:row>
    <x:row r="619">
      <x:c r="A619" s="14" t="str">
        <x:v>EVID-0618</x:v>
      </x:c>
      <x:c r="B619" s="14" t="str">
        <x:v>VATM-0618</x:v>
      </x:c>
      <x:c r="C619" s="14" t="str">
        <x:v>Huấn luyện đào tạo &amp; nhân viên HK</x:v>
      </x:c>
      <x:c r="D619" s="14" t="str">
        <x:v>Quản lý năng lực và hồ sơ đào tạo</x:v>
      </x:c>
      <x:c r="E619" s="14" t="str">
        <x:v>Competency/license dashboard; cảnh báo hết hạn; kế hoạch bù đắp nhân lực.; Không bố trí nhân viên thiếu điều kiện vào vị trí trực tiếp bảo đảm an toàn.; Dữ liệu cập nhật, có xác nhận đơn vị, tích hợp phân công ca trực.; 100% nhân viên hàng không vị trí trọng yếu được nhập hệ thống theo dõi.</x:v>
      </x:c>
      <x:c r="F619" s="14" t="str">
        <x:v>Quyết định/Kế hoạch</x:v>
      </x:c>
      <x:c r="G619" s="14" t="str">
        <x:v>Trung tâm Huấn luyện đào tạo; Ban Tổ chức cán bộ</x:v>
      </x:c>
      <x:c r="H619" s="14" t="str"/>
      <x:c r="I619" s="58" t="str"/>
      <x:c r="J619" s="58" t="str"/>
      <x:c r="K619" s="14" t="str"/>
      <x:c r="L619" s="14" t="str">
        <x:v>Chưa có</x:v>
      </x:c>
      <x:c r="M619" s="14" t="str">
        <x:v>Theo dõi và cập nhật link/chỉ dẫn hồ sơ sau khi có bằng chứng.</x:v>
      </x:c>
    </x:row>
    <x:row r="620">
      <x:c r="A620" s="14" t="str">
        <x:v>EVID-0619</x:v>
      </x:c>
      <x:c r="B620" s="14" t="str">
        <x:v>VATM-0619</x:v>
      </x:c>
      <x:c r="C620" s="14" t="str">
        <x:v>Huấn luyện đào tạo &amp; nhân viên HK</x:v>
      </x:c>
      <x:c r="D620" s="14" t="str">
        <x:v>Quản lý năng lực và hồ sơ đào tạo</x:v>
      </x:c>
      <x:c r="E620" s="14" t="str">
        <x:v>Chương trình đào tạo; tài liệu e-learning; danh sách hoàn thành.; Nhân sự hiểu thay đổi pháp lý ảnh hưởng vị trí công tác.; Nội dung theo chức danh, có kiểm tra cuối khóa và lưu chứng cứ.; Đào tạo 100% nhân sự quản lý và vị trí tác nghiệp trọng yếu trong 2026-2027.</x:v>
      </x:c>
      <x:c r="F620" s="14" t="str">
        <x:v>Khác</x:v>
      </x:c>
      <x:c r="G620" s="14" t="str">
        <x:v>Trung tâm Huấn luyện đào tạo; Ban Tổ chức cán bộ</x:v>
      </x:c>
      <x:c r="H620" s="14" t="str"/>
      <x:c r="I620" s="58" t="str"/>
      <x:c r="J620" s="58" t="str"/>
      <x:c r="K620" s="14" t="str"/>
      <x:c r="L620" s="14" t="str">
        <x:v>Chưa có</x:v>
      </x:c>
      <x:c r="M620" s="14" t="str">
        <x:v>Theo dõi và cập nhật link/chỉ dẫn hồ sơ sau khi có bằng chứng.</x:v>
      </x:c>
    </x:row>
    <x:row r="621">
      <x:c r="A621" s="14" t="str">
        <x:v>EVID-0620</x:v>
      </x:c>
      <x:c r="B621" s="14" t="str">
        <x:v>VATM-0620</x:v>
      </x:c>
      <x:c r="C621" s="14" t="str">
        <x:v>Huấn luyện đào tạo &amp; nhân viên HK</x:v>
      </x:c>
      <x:c r="D621" s="14" t="str">
        <x:v>Quản lý năng lực và hồ sơ đào tạo</x:v>
      </x:c>
      <x:c r="E621" s="14" t="str">
        <x:v>FRMS/fatigue management procedure; dashboard overtime/rest compliance.; Giảm rủi ro mệt mỏi; tuân thủ thời giờ làm việc/nghỉ ngơi.; Có phân tích dữ liệu ca trực, sự kiện an toàn liên quan mệt mỏi.; Báo cáo hằng quý; kiểm tra định kỳ từng cơ sở ATS.</x:v>
      </x:c>
      <x:c r="F621" s="14" t="str">
        <x:v>Báo cáo</x:v>
      </x:c>
      <x:c r="G621" s="14" t="str">
        <x:v>Trung tâm Huấn luyện đào tạo; Ban Tổ chức cán bộ; Ban Không lưu; Ban An toàn - Chất lượng</x:v>
      </x:c>
      <x:c r="H621" s="14" t="str"/>
      <x:c r="I621" s="58" t="str"/>
      <x:c r="J621" s="58" t="str"/>
      <x:c r="K621" s="14" t="str"/>
      <x:c r="L621" s="14" t="str">
        <x:v>Chưa có</x:v>
      </x:c>
      <x:c r="M621" s="14" t="str">
        <x:v>Theo dõi và cập nhật link/chỉ dẫn hồ sơ sau khi có bằng chứng.</x:v>
      </x:c>
    </x:row>
    <x:row r="622">
      <x:c r="A622" s="14" t="str">
        <x:v>EVID-0621</x:v>
      </x:c>
      <x:c r="B622" s="14" t="str">
        <x:v>VATM-0621</x:v>
      </x:c>
      <x:c r="C622" s="14" t="str">
        <x:v>Tài chính - Kế hoạch đầu tư</x:v>
      </x:c>
      <x:c r="D622" s="14" t="str">
        <x:v>Kế hoạch vốn, đầu tư và mua sắm</x:v>
      </x:c>
      <x:c r="E622" s="14" t="str">
        <x:v>Đề án tài chính; danh mục chi; quy trình hạch toán và báo cáo.; Nguồn phí sử dụng đúng mục đích, minh bạch, có kiểm soát nội bộ.; Tách rõ căn cứ Luật và căn cứ NĐ/TT về tỷ lệ, quy trình.; 01 đề án cấp Tổng công ty; báo cáo định kỳ theo quy định.</x:v>
      </x:c>
      <x:c r="F622" s="14" t="str">
        <x:v>Quy trình/SOP</x:v>
      </x:c>
      <x:c r="G622" s="14" t="str">
        <x:v>Ban Kế hoạch - Đầu tư; Ban Tài chính</x:v>
      </x:c>
      <x:c r="H622" s="14" t="str"/>
      <x:c r="I622" s="58" t="str"/>
      <x:c r="J622" s="58" t="str"/>
      <x:c r="K622" s="14" t="str"/>
      <x:c r="L622" s="14" t="str">
        <x:v>Chưa có</x:v>
      </x:c>
      <x:c r="M622" s="14" t="str">
        <x:v>Theo dõi và cập nhật link/chỉ dẫn hồ sơ sau khi có bằng chứng.</x:v>
      </x:c>
    </x:row>
    <x:row r="623">
      <x:c r="A623" s="14" t="str">
        <x:v>EVID-0622</x:v>
      </x:c>
      <x:c r="B623" s="14" t="str">
        <x:v>VATM-0622</x:v>
      </x:c>
      <x:c r="C623" s="14" t="str">
        <x:v>Tài chính - Kế hoạch đầu tư</x:v>
      </x:c>
      <x:c r="D623" s="14" t="str">
        <x:v>Kế hoạch vốn, đầu tư và mua sắm</x:v>
      </x:c>
      <x:c r="E623" s="14" t="str">
        <x:v>Portfolio dự án 2026-2030; business case; KPI sau đầu tư.; Đầu tư gắn với an toàn, năng lực, liên tục dịch vụ và tiêu chuẩn ICAO.; Có phân tích rủi ro, chi phí-vòng đời, interop và cybersecurity.; Danh mục dự án trung hạn; cập nhật hằng năm.</x:v>
      </x:c>
      <x:c r="F623" s="14" t="str">
        <x:v>Khác</x:v>
      </x:c>
      <x:c r="G623" s="14" t="str">
        <x:v>Ban Kế hoạch - Đầu tư; Ban Tài chính</x:v>
      </x:c>
      <x:c r="H623" s="14" t="str"/>
      <x:c r="I623" s="58" t="str"/>
      <x:c r="J623" s="58" t="str"/>
      <x:c r="K623" s="14" t="str"/>
      <x:c r="L623" s="14" t="str">
        <x:v>Chưa có</x:v>
      </x:c>
      <x:c r="M623" s="14" t="str">
        <x:v>Theo dõi và cập nhật link/chỉ dẫn hồ sơ sau khi có bằng chứng.</x:v>
      </x:c>
    </x:row>
    <x:row r="624">
      <x:c r="A624" s="14" t="str">
        <x:v>EVID-0623</x:v>
      </x:c>
      <x:c r="B624" s="14" t="str">
        <x:v>VATM-0623</x:v>
      </x:c>
      <x:c r="C624" s="14" t="str">
        <x:v>Tài chính - Kế hoạch đầu tư</x:v>
      </x:c>
      <x:c r="D624" s="14" t="str">
        <x:v>Kế hoạch vốn, đầu tư và mua sắm</x:v>
      </x:c>
      <x:c r="E624" s="14" t="str">
        <x:v>Register công trình/đất/thuê đất; kế hoạch xử lý hồ sơ chuyển tiếp.; Tài sản/công trình ANS không rơi vào khoảng trống pháp lý sau 01/07/2026.; Khớp hồ sơ pháp lý, hiện trạng tài sản, giấy phép/phê chuẩn khai thác.; 100% công trình trọng yếu có hồ sơ trạng thái pháp lý.</x:v>
      </x:c>
      <x:c r="F624" s="14" t="str">
        <x:v>Quyết định/Kế hoạch</x:v>
      </x:c>
      <x:c r="G624" s="14" t="str">
        <x:v>Ban Kế hoạch - Đầu tư; Ban Tài chính; Văn phòng - Pháp chế</x:v>
      </x:c>
      <x:c r="H624" s="14" t="str"/>
      <x:c r="I624" s="58" t="str"/>
      <x:c r="J624" s="58" t="str"/>
      <x:c r="K624" s="14" t="str"/>
      <x:c r="L624" s="14" t="str">
        <x:v>Chưa có</x:v>
      </x:c>
      <x:c r="M624" s="14" t="str">
        <x:v>Theo dõi và cập nhật link/chỉ dẫn hồ sơ sau khi có bằng chứng.</x:v>
      </x:c>
    </x:row>
    <x:row r="625">
      <x:c r="A625" s="14" t="str">
        <x:v>EVID-0624</x:v>
      </x:c>
      <x:c r="B625" s="14" t="str">
        <x:v>VATM-0624</x:v>
      </x:c>
      <x:c r="C625" s="14" t="str">
        <x:v>Tuân thủ, pháp chế &amp; quản trị</x:v>
      </x:c>
      <x:c r="D625" s="14" t="str">
        <x:v>Quản trị triển khai, RACI và báo cáo</x:v>
      </x:c>
      <x:c r="E625" s="14" t="str">
        <x:v>Báo cáo tác động UTM/ATM; concept of operations sơ bộ.; VATM sẵn sàng về phương án phối hợp nhưng không vượt thẩm quyền khi chưa có quy định.; Safety-first, không triển khai khai thác thử nếu chưa được phê duyệt.; 01 báo cáo concept; cập nhật khi có dự thảo/văn bản mới.</x:v>
      </x:c>
      <x:c r="F625" s="14" t="str">
        <x:v>Báo cáo</x:v>
      </x:c>
      <x:c r="G625" s="14" t="str">
        <x:v>Văn phòng - Pháp chế; Ban Không lưu; Ban Kỹ thuật - CNS/IT/Môi trường; Ban An toàn - Chất lượng</x:v>
      </x:c>
      <x:c r="H625" s="14" t="str"/>
      <x:c r="I625" s="58" t="str"/>
      <x:c r="J625" s="58" t="str"/>
      <x:c r="K625" s="14" t="str"/>
      <x:c r="L625" s="14" t="str">
        <x:v>Chưa có</x:v>
      </x:c>
      <x:c r="M625" s="14" t="str">
        <x:v>Theo dõi và cập nhật link/chỉ dẫn hồ sơ sau khi có bằng chứng.</x:v>
      </x:c>
    </x:row>
    <x:row r="626">
      <x:c r="A626" s="14" t="str">
        <x:v>EVID-0625</x:v>
      </x:c>
      <x:c r="B626" s="14" t="str">
        <x:v>VATM-0625</x:v>
      </x:c>
      <x:c r="C626" s="14" t="str">
        <x:v>Tuân thủ, pháp chế &amp; quản trị</x:v>
      </x:c>
      <x:c r="D626" s="14" t="str">
        <x:v>Quản trị triển khai, RACI và báo cáo</x:v>
      </x:c>
      <x:c r="E626" s="14" t="str">
        <x:v>Bản tin pháp lý; slide đào tạo; Q&amp;A nội bộ; checklist đơn vị.; Nhân sự nắm thay đổi ảnh hưởng công việc, không nhầm luật cũ/luật mới.; Thông điệp ngắn gọn, theo nghiệp vụ, có dẫn nguồn chính thức.; Tối thiểu 05 phiên phổ biến theo nhóm nghiệp vụ; lưu danh sách tham dự.</x:v>
      </x:c>
      <x:c r="F626" s="14" t="str">
        <x:v>Biểu mẫu/Checklist</x:v>
      </x:c>
      <x:c r="G626" s="14" t="str">
        <x:v>Văn phòng - Pháp chế</x:v>
      </x:c>
      <x:c r="H626" s="14" t="str"/>
      <x:c r="I626" s="58" t="str"/>
      <x:c r="J626" s="58" t="str"/>
      <x:c r="K626" s="14" t="str"/>
      <x:c r="L626" s="14" t="str">
        <x:v>Chưa có</x:v>
      </x:c>
      <x:c r="M626" s="14" t="str">
        <x:v>Theo dõi và cập nhật link/chỉ dẫn hồ sơ sau khi có bằng chứng.</x:v>
      </x:c>
    </x:row>
    <x:row r="627">
      <x:c r="A627" s="14" t="str">
        <x:v>EVID-0626</x:v>
      </x:c>
      <x:c r="B627" s="14" t="str">
        <x:v>VATM-0626</x:v>
      </x:c>
      <x:c r="C627" s="14" t="str">
        <x:v>Tuân thủ, pháp chế &amp; quản trị</x:v>
      </x:c>
      <x:c r="D627" s="14" t="str">
        <x:v>Quản trị triển khai, RACI và báo cáo</x:v>
      </x:c>
      <x:c r="E627" s="14" t="str">
        <x:v>QMS manual/quality procedures; audit plan; nonconformity register.; Quy trình quan trọng có tiêu chí chất lượng và bằng chứng kiểm soát.; Audit dựa trên rủi ro, có đóng khắc phục và kiểm tra hiệu lực.; Ít nhất 01 audit nội bộ/năm cho mỗi lĩnh vực ANS trọng yếu.</x:v>
      </x:c>
      <x:c r="F627" s="14" t="str">
        <x:v>Quy trình/SOP</x:v>
      </x:c>
      <x:c r="G627" s="14" t="str">
        <x:v>Văn phòng - Pháp chế; Ban An toàn - Chất lượng</x:v>
      </x:c>
      <x:c r="H627" s="14" t="str"/>
      <x:c r="I627" s="58" t="str"/>
      <x:c r="J627" s="58" t="str"/>
      <x:c r="K627" s="14" t="str"/>
      <x:c r="L627" s="14" t="str">
        <x:v>Chưa có</x:v>
      </x:c>
      <x:c r="M627" s="14" t="str">
        <x:v>Theo dõi và cập nhật link/chỉ dẫn hồ sơ sau khi có bằng chứng.</x:v>
      </x:c>
    </x:row>
    <x:row r="628">
      <x:c r="A628" s="14" t="str">
        <x:v>EVID-0627</x:v>
      </x:c>
      <x:c r="B628" s="14" t="str">
        <x:v>VATM-0627</x:v>
      </x:c>
      <x:c r="C628" s="14" t="str">
        <x:v>Tuân thủ, pháp chế &amp; quản trị</x:v>
      </x:c>
      <x:c r="D628" s="14" t="str">
        <x:v>Quản trị triển khai, RACI và báo cáo</x:v>
      </x:c>
      <x:c r="E628" s="14" t="str">
        <x:v>Change management procedure; safety assessment template; approval workflow.; Không đưa thay đổi vào khai thác khi chưa đánh giá an toàn/phê chuẩn.; Có tiêu chí phân loại thay đổi lớn/nhỏ, owner, risk acceptance.; 100% thay đổi lớn có hồ sơ safety assessment và quyết định phê duyệt.</x:v>
      </x:c>
      <x:c r="F628" s="14" t="str">
        <x:v>Hồ sơ phê duyệt</x:v>
      </x:c>
      <x:c r="G628" s="14" t="str">
        <x:v>Văn phòng - Pháp chế; Ban An toàn - Chất lượng</x:v>
      </x:c>
      <x:c r="H628" s="14" t="str"/>
      <x:c r="I628" s="58" t="str"/>
      <x:c r="J628" s="58" t="str"/>
      <x:c r="K628" s="14" t="str"/>
      <x:c r="L628" s="14" t="str">
        <x:v>Chưa có</x:v>
      </x:c>
      <x:c r="M628" s="14" t="str">
        <x:v>Theo dõi và cập nhật link/chỉ dẫn hồ sơ sau khi có bằng chứng.</x:v>
      </x:c>
    </x:row>
    <x:row r="629">
      <x:c r="A629" s="14" t="str">
        <x:v>EVID-0628</x:v>
      </x:c>
      <x:c r="B629" s="14" t="str">
        <x:v>VATM-0628</x:v>
      </x:c>
      <x:c r="C629" s="14" t="str">
        <x:v>An ninh hàng không</x:v>
      </x:c>
      <x:c r="D629" s="14" t="str">
        <x:v>An ninh hệ thống CNS/ATM/CNTT</x:v>
      </x:c>
      <x:c r="E629" s="14" t="str">
        <x:v>Cybersecurity risk assessment; phương án bảo vệ; kế hoạch khắc phục.; Dữ liệu, hệ thống vận hành trọng yếu được bảo vệ theo mức độ rủi ro.; Không công khai thông tin nhạy cảm; kiểm soát truy cập và logging.; Rà soát tối thiểu hằng năm và khi có thay đổi hệ thống trọng yếu.</x:v>
      </x:c>
      <x:c r="F629" s="14" t="str">
        <x:v>Quyết định/Kế hoạch</x:v>
      </x:c>
      <x:c r="G629" s="14" t="str">
        <x:v>Ban An ninh hàng không; Ban Kế hoạch doanh nghiệp - Chuyển đổi số; Ban Kỹ thuật - CNS/IT/Môi trường</x:v>
      </x:c>
      <x:c r="H629" s="14" t="str"/>
      <x:c r="I629" s="58" t="str"/>
      <x:c r="J629" s="58" t="str"/>
      <x:c r="K629" s="14" t="str"/>
      <x:c r="L629" s="14" t="str">
        <x:v>Chưa có</x:v>
      </x:c>
      <x:c r="M629" s="14" t="str">
        <x:v>Theo dõi và cập nhật link/chỉ dẫn hồ sơ sau khi có bằng chứng.</x:v>
      </x:c>
    </x:row>
    <x:row r="630">
      <x:c r="A630" s="14" t="str">
        <x:v>EVID-0629</x:v>
      </x:c>
      <x:c r="B630" s="14" t="str">
        <x:v>VATM-0629</x:v>
      </x:c>
      <x:c r="C630" s="14" t="str">
        <x:v>An ninh hàng không</x:v>
      </x:c>
      <x:c r="D630" s="14" t="str">
        <x:v>An ninh hệ thống CNS/ATM/CNTT</x:v>
      </x:c>
      <x:c r="E630" s="14" t="str">
        <x:v>Data access matrix; backup/DRP; kết quả diễn tập khôi phục.; Khôi phục dữ liệu đúng RTO/RPO; truy cập trái phép được phát hiện.; Bảo vệ dữ liệu theo phân loại; kiểm tra restore định kỳ.; Tối thiểu 02 diễn tập DRP/năm cho hệ thống trọng yếu.</x:v>
      </x:c>
      <x:c r="F630" s="14" t="str">
        <x:v>Dữ liệu hệ thống</x:v>
      </x:c>
      <x:c r="G630" s="14" t="str">
        <x:v>Ban An ninh hàng không; Ban Kế hoạch doanh nghiệp - Chuyển đổi số; Ban Kỹ thuật - CNS/IT/Môi trường</x:v>
      </x:c>
      <x:c r="H630" s="14" t="str"/>
      <x:c r="I630" s="58" t="str"/>
      <x:c r="J630" s="58" t="str"/>
      <x:c r="K630" s="14" t="str"/>
      <x:c r="L630" s="14" t="str">
        <x:v>Chưa có</x:v>
      </x:c>
      <x:c r="M630" s="14" t="str">
        <x:v>Theo dõi và cập nhật link/chỉ dẫn hồ sơ sau khi có bằng chứng.</x:v>
      </x:c>
    </x:row>
    <x:row r="631">
      <x:c r="A631" s="14" t="str">
        <x:v>EVID-0630</x:v>
      </x:c>
      <x:c r="B631" s="14" t="str">
        <x:v>VATM-0630</x:v>
      </x:c>
      <x:c r="C631" s="14" t="str">
        <x:v>Tuân thủ, pháp chế &amp; quản trị</x:v>
      </x:c>
      <x:c r="D631" s="14" t="str">
        <x:v>Hợp tác quốc tế/đối ngoại chuyên ngành</x:v>
      </x:c>
      <x:c r="E631" s="14" t="str">
        <x:v>Danh mục LOA quốc tế; kế hoạch cập nhật/đàm phán.; Phối hợp xuyên biên giới an toàn, thông suốt, hài hòa tiêu chuẩn ICAO.; Dùng phiên bản mới, có đầu mối, thông tin liên lạc, thủ tục thử định kỳ.; Rà soát tối thiểu 01 lần/năm toàn bộ LOA quốc tế.</x:v>
      </x:c>
      <x:c r="F631" s="14" t="str">
        <x:v>Quyết định/Kế hoạch</x:v>
      </x:c>
      <x:c r="G631" s="14" t="str">
        <x:v>Văn phòng - Pháp chế; Ban Không lưu; Trung tâm Tìm kiếm cứu nạn hàng không</x:v>
      </x:c>
      <x:c r="H631" s="14" t="str"/>
      <x:c r="I631" s="58" t="str"/>
      <x:c r="J631" s="58" t="str"/>
      <x:c r="K631" s="14" t="str"/>
      <x:c r="L631" s="14" t="str">
        <x:v>Chưa có</x:v>
      </x:c>
      <x:c r="M631" s="14" t="str">
        <x:v>Theo dõi và cập nhật link/chỉ dẫn hồ sơ sau khi có bằng chứng.</x:v>
      </x:c>
    </x:row>
    <x:row r="632">
      <x:c r="A632" s="14" t="str">
        <x:v>EVID-0631</x:v>
      </x:c>
      <x:c r="B632" s="14" t="str">
        <x:v>VATM-0631</x:v>
      </x:c>
      <x:c r="C632" s="14" t="str">
        <x:v>Tuân thủ, pháp chế &amp; quản trị</x:v>
      </x:c>
      <x:c r="D632" s="14" t="str">
        <x:v>Hợp tác quốc tế/đối ngoại chuyên ngành</x:v>
      </x:c>
      <x:c r="E632" s="14" t="str">
        <x:v>Kế hoạch hợp tác quốc tế ANS; danh mục khóa/đề án.; Nâng cao năng lực nhân sự và tương thích hệ thống khu vực.; Có KPI sau đào tạo/chuyển giao công nghệ, tránh hình thức.; Tối thiểu 02 chương trình/năm hoặc theo kế hoạch nguồn lực.</x:v>
      </x:c>
      <x:c r="F632" s="14" t="str">
        <x:v>Quyết định/Kế hoạch</x:v>
      </x:c>
      <x:c r="G632" s="14" t="str">
        <x:v>Văn phòng - Pháp chế</x:v>
      </x:c>
      <x:c r="H632" s="14" t="str"/>
      <x:c r="I632" s="58" t="str"/>
      <x:c r="J632" s="58" t="str"/>
      <x:c r="K632" s="14" t="str"/>
      <x:c r="L632" s="14" t="str">
        <x:v>Chưa có</x:v>
      </x:c>
      <x:c r="M632" s="14" t="str">
        <x:v>Theo dõi và cập nhật link/chỉ dẫn hồ sơ sau khi có bằng chứng.</x:v>
      </x:c>
    </x:row>
    <x:row r="633">
      <x:c r="A633" s="14" t="str">
        <x:v>EVID-0632</x:v>
      </x:c>
      <x:c r="B633" s="14" t="str">
        <x:v>VATM-0632</x:v>
      </x:c>
      <x:c r="C633" s="14" t="str">
        <x:v>Quản lý khai thác cảng/sân bay</x:v>
      </x:c>
      <x:c r="D633" s="14" t="str">
        <x:v>Công trình, chướng ngại và thi công</x:v>
      </x:c>
      <x:c r="E633" s="14" t="str">
        <x:v>Licence &amp; approval register; cảnh báo hết hạn; hồ sơ chứng cứ.; Không cơ sở/hệ thống/tài liệu nào đưa vào khai thác thiếu giấy phép/phê chuẩn bắt buộc.; Dữ liệu register được xác nhận bởi owner và QA.; 100% cơ sở/trang thiết bị trọng yếu trong register; rà soát hằng quý.</x:v>
      </x:c>
      <x:c r="F633" s="14" t="str">
        <x:v>Hồ sơ phê duyệt</x:v>
      </x:c>
      <x:c r="G633" s="14" t="str">
        <x:v>Ban Kế hoạch - Đầu tư; Ban Không lưu; Ban Kỹ thuật - CNS/IT/Môi trường; Văn phòng - Pháp chế; Ban An toàn - Chất lượng</x:v>
      </x:c>
      <x:c r="H633" s="14" t="str"/>
      <x:c r="I633" s="58" t="str"/>
      <x:c r="J633" s="58" t="str"/>
      <x:c r="K633" s="14" t="str"/>
      <x:c r="L633" s="14" t="str">
        <x:v>Chưa có</x:v>
      </x:c>
      <x:c r="M633" s="14" t="str">
        <x:v>Theo dõi và cập nhật link/chỉ dẫn hồ sơ sau khi có bằng chứng.</x:v>
      </x:c>
    </x:row>
    <x:row r="634">
      <x:c r="A634" s="14" t="str">
        <x:v>EVID-0633</x:v>
      </x:c>
      <x:c r="B634" s="14" t="str">
        <x:v>VATM-0633</x:v>
      </x:c>
      <x:c r="C634" s="14" t="str">
        <x:v>Quản lý khai thác cảng/sân bay</x:v>
      </x:c>
      <x:c r="D634" s="14" t="str">
        <x:v>Công trình, chướng ngại và thi công</x:v>
      </x:c>
      <x:c r="E634" s="14" t="str">
        <x:v>Transition dossier; danh sách rủi ro và kế hoạch khắc phục.; Tất cả công trình đang vận hành/đầu tư có căn cứ chuyển tiếp hoặc kế hoạch xin lại/cập nhật.; Ưu tiên công trình tại cảng, trung tâm kiểm soát, CNS trọng yếu.; 01 register công trình chuyển tiếp; báo cáo rủi ro hằng tháng đến khi đóng.</x:v>
      </x:c>
      <x:c r="F634" s="14" t="str">
        <x:v>Quyết định/Kế hoạch</x:v>
      </x:c>
      <x:c r="G634" s="14" t="str">
        <x:v>Ban Kế hoạch - Đầu tư; Ban Không lưu; Ban Kỹ thuật - CNS/IT/Môi trường; Văn phòng - Pháp chế</x:v>
      </x:c>
      <x:c r="H634" s="14" t="str"/>
      <x:c r="I634" s="58" t="str"/>
      <x:c r="J634" s="58" t="str"/>
      <x:c r="K634" s="14" t="str"/>
      <x:c r="L634" s="14" t="str">
        <x:v>Chưa có</x:v>
      </x:c>
      <x:c r="M634" s="14" t="str">
        <x:v>Theo dõi và cập nhật link/chỉ dẫn hồ sơ sau khi có bằng chứng.</x:v>
      </x:c>
    </x:row>
    <x:row r="635">
      <x:c r="A635" s="14" t="str">
        <x:v>EVID-0634</x:v>
      </x:c>
      <x:c r="B635" s="14" t="str">
        <x:v>VATM-0634</x:v>
      </x:c>
      <x:c r="C635" s="14" t="str">
        <x:v>Quản lý khai thác cảng/sân bay</x:v>
      </x:c>
      <x:c r="D635" s="14" t="str">
        <x:v>Công trình, chướng ngại và thi công</x:v>
      </x:c>
      <x:c r="E635" s="14" t="str">
        <x:v>Mẫu phiếu ý kiến chuyên ngành ANS; quy trình SLA phản hồi hồ sơ.; Ý kiến VATM kịp thời, thống nhất, có cơ sở an toàn/kỹ thuật.; Phản hồi theo thẩm quyền, không vượt quá chức năng quản lý nhà nước.; 100% hồ sơ có ảnh hưởng ANS được giao xử lý có phản hồi đúng hạn.</x:v>
      </x:c>
      <x:c r="F635" s="14" t="str">
        <x:v>Quy trình/SOP</x:v>
      </x:c>
      <x:c r="G635" s="14" t="str">
        <x:v>Ban Kế hoạch - Đầu tư; Ban Không lưu; Ban Kỹ thuật - CNS/IT/Môi trường</x:v>
      </x:c>
      <x:c r="H635" s="14" t="str"/>
      <x:c r="I635" s="58" t="str"/>
      <x:c r="J635" s="58" t="str"/>
      <x:c r="K635" s="14" t="str"/>
      <x:c r="L635" s="14" t="str">
        <x:v>Chưa có</x:v>
      </x:c>
      <x:c r="M635" s="14" t="str">
        <x:v>Theo dõi và cập nhật link/chỉ dẫn hồ sơ sau khi có bằng chứng.</x:v>
      </x:c>
    </x:row>
    <x:row r="636">
      <x:c r="A636" s="14" t="str">
        <x:v>EVID-0635</x:v>
      </x:c>
      <x:c r="B636" s="14" t="str">
        <x:v>VATM-0635</x:v>
      </x:c>
      <x:c r="C636" s="14" t="str">
        <x:v>Quản lý khai thác cảng/sân bay</x:v>
      </x:c>
      <x:c r="D636" s="14" t="str">
        <x:v>Công trình, chướng ngại và thi công</x:v>
      </x:c>
      <x:c r="E636" s="14" t="str">
        <x:v>Quy trình tiếp nhận dữ liệu chướng ngại vật; đầu mối địa phương; mẫu dữ liệu.; Dữ liệu chướng ngại vật đến đúng địa chỉ, đúng thuộc tính, kịp thời.; Có xác nhận nguồn và kiểm tra chất lượng trước công bố/sử dụng.; Danh sách đầu mối 63 địa phương hoặc địa phương có sân bay/đài trạm trọng yếu.</x:v>
      </x:c>
      <x:c r="F636" s="14" t="str">
        <x:v>Quy trình/SOP</x:v>
      </x:c>
      <x:c r="G636" s="14" t="str">
        <x:v>Ban Kế hoạch - Đầu tư; Ban Không lưu; Ban Kỹ thuật - CNS/IT/Môi trường; Trung tâm Thông báo tin tức hàng không</x:v>
      </x:c>
      <x:c r="H636" s="14" t="str"/>
      <x:c r="I636" s="58" t="str"/>
      <x:c r="J636" s="58" t="str"/>
      <x:c r="K636" s="14" t="str"/>
      <x:c r="L636" s="14" t="str">
        <x:v>Chưa có</x:v>
      </x:c>
      <x:c r="M636" s="14" t="str">
        <x:v>Theo dõi và cập nhật link/chỉ dẫn hồ sơ sau khi có bằng chứng.</x:v>
      </x:c>
    </x:row>
    <x:row r="637">
      <x:c r="A637" s="14" t="str">
        <x:v>EVID-0636</x:v>
      </x:c>
      <x:c r="B637" s="14" t="str">
        <x:v>VATM-0636</x:v>
      </x:c>
      <x:c r="C637" s="14" t="str">
        <x:v>Tuân thủ, pháp chế &amp; quản trị</x:v>
      </x:c>
      <x:c r="D637" s="14" t="str">
        <x:v>Quản trị triển khai, RACI và báo cáo</x:v>
      </x:c>
      <x:c r="E637" s="14" t="str">
        <x:v>Bộ điều khoản mẫu; danh mục hợp đồng cần sửa.; Hợp đồng phản ánh đúng trách nhiệm dịch vụ công ích, dữ liệu và an ninh an toàn.; Không đưa nghĩa vụ vượt luật/ngoài thẩm quyền; có điều khoản SLA và bảo mật.; Rà soát 100% hợp đồng trọng yếu trong 2026-2027.</x:v>
      </x:c>
      <x:c r="F637" s="14" t="str">
        <x:v>Biểu mẫu/Checklist</x:v>
      </x:c>
      <x:c r="G637" s="14" t="str">
        <x:v>Văn phòng - Pháp chế; Ban Tài chính; Ban Kỹ thuật - CNS/IT/Môi trường</x:v>
      </x:c>
      <x:c r="H637" s="14" t="str"/>
      <x:c r="I637" s="58" t="str"/>
      <x:c r="J637" s="58" t="str"/>
      <x:c r="K637" s="14" t="str"/>
      <x:c r="L637" s="14" t="str">
        <x:v>Chưa có</x:v>
      </x:c>
      <x:c r="M637" s="14" t="str">
        <x:v>Theo dõi và cập nhật link/chỉ dẫn hồ sơ sau khi có bằng chứng.</x:v>
      </x:c>
    </x:row>
    <x:row r="638">
      <x:c r="A638" s="14" t="str">
        <x:v>EVID-0637</x:v>
      </x:c>
      <x:c r="B638" s="14" t="str">
        <x:v>VATM-0637</x:v>
      </x:c>
      <x:c r="C638" s="14" t="str">
        <x:v>Tuân thủ, pháp chế &amp; quản trị</x:v>
      </x:c>
      <x:c r="D638" s="14" t="str">
        <x:v>Quản trị triển khai, RACI và báo cáo</x:v>
      </x:c>
      <x:c r="E638" s="14" t="str">
        <x:v>Phụ lục cam kết an ninh/an toàn; quy trình cấp quyền tạm thời.; Nhà thầu không tạo rủi ro an ninh/an toàn cho công trình/hệ thống ANS.; Có xác thực, giám sát, thu hồi quyền truy cập và báo cáo vi phạm.; Áp dụng cho 100% hợp đồng/nhà thầu tiếp cận khu vực/hệ thống trọng yếu.</x:v>
      </x:c>
      <x:c r="F638" s="14" t="str">
        <x:v>Quy trình/SOP</x:v>
      </x:c>
      <x:c r="G638" s="14" t="str">
        <x:v>Văn phòng - Pháp chế; Ban Kế hoạch doanh nghiệp - Chuyển đổi số; Ban Kỹ thuật - CNS/IT/Môi trường; Ban An ninh hàng không</x:v>
      </x:c>
      <x:c r="H638" s="14" t="str"/>
      <x:c r="I638" s="58" t="str"/>
      <x:c r="J638" s="58" t="str"/>
      <x:c r="K638" s="14" t="str"/>
      <x:c r="L638" s="14" t="str">
        <x:v>Chưa có</x:v>
      </x:c>
      <x:c r="M638" s="14" t="str">
        <x:v>Theo dõi và cập nhật link/chỉ dẫn hồ sơ sau khi có bằng chứng.</x:v>
      </x:c>
    </x:row>
    <x:row r="639">
      <x:c r="A639" s="14" t="str">
        <x:v>EVID-0638</x:v>
      </x:c>
      <x:c r="B639" s="14" t="str">
        <x:v>VATM-0638</x:v>
      </x:c>
      <x:c r="C639" s="14" t="str">
        <x:v>Tuân thủ, pháp chế &amp; quản trị</x:v>
      </x:c>
      <x:c r="D639" s="14" t="str">
        <x:v>Quản trị triển khai, RACI và báo cáo</x:v>
      </x:c>
      <x:c r="E639" s="14" t="str">
        <x:v>Dashboard compliance &amp; safety; báo cáo lãnh đạo định kỳ.; Lãnh đạo VATM thấy rõ trạng thái tuân thủ và rủi ro ưu tiên.; Dữ liệu không thủ công quá mức, có owner, deadline, evidence link.; Báo cáo tháng giai đoạn 2026, quý từ 2027.</x:v>
      </x:c>
      <x:c r="F639" s="14" t="str">
        <x:v>Báo cáo</x:v>
      </x:c>
      <x:c r="G639" s="14" t="str">
        <x:v>Văn phòng - Pháp chế; Ban An toàn - Chất lượng</x:v>
      </x:c>
      <x:c r="H639" s="14" t="str"/>
      <x:c r="I639" s="58" t="str"/>
      <x:c r="J639" s="58" t="str"/>
      <x:c r="K639" s="14" t="str"/>
      <x:c r="L639" s="14" t="str">
        <x:v>Chưa có</x:v>
      </x:c>
      <x:c r="M639" s="14" t="str">
        <x:v>Theo dõi và cập nhật link/chỉ dẫn hồ sơ sau khi có bằng chứng.</x:v>
      </x:c>
    </x:row>
    <x:row r="640">
      <x:c r="A640" s="14" t="str">
        <x:v>EVID-0639</x:v>
      </x:c>
      <x:c r="B640" s="14" t="str">
        <x:v>VATM-0639</x:v>
      </x:c>
      <x:c r="C640" s="14" t="str">
        <x:v>Tuân thủ, pháp chế &amp; quản trị</x:v>
      </x:c>
      <x:c r="D640" s="14" t="str">
        <x:v>Quản trị triển khai, RACI và báo cáo</x:v>
      </x:c>
      <x:c r="E640" s="14" t="str">
        <x:v>KPI dictionary; baseline; phương pháp tính; báo cáo kết quả.; KPI đo được, có nguồn dữ liệu, có mục tiêu cải tiến.; Tránh KPI hình thức; gắn trách nhiệm đơn vị và nguồn dữ liệu.; Tối thiểu 25 KPI cốt lõi, phân nhóm ATM/CNS/MET/AIM/SAR/Safety/Security.</x:v>
      </x:c>
      <x:c r="F640" s="14" t="str">
        <x:v>Báo cáo</x:v>
      </x:c>
      <x:c r="G640" s="14" t="str">
        <x:v>Văn phòng - Pháp chế; Ban Tài chính; Ban An toàn - Chất lượng</x:v>
      </x:c>
      <x:c r="H640" s="14" t="str"/>
      <x:c r="I640" s="58" t="str"/>
      <x:c r="J640" s="58" t="str"/>
      <x:c r="K640" s="14" t="str"/>
      <x:c r="L640" s="14" t="str">
        <x:v>Chưa có</x:v>
      </x:c>
      <x:c r="M640" s="14" t="str">
        <x:v>Theo dõi và cập nhật link/chỉ dẫn hồ sơ sau khi có bằng chứng.</x:v>
      </x:c>
    </x:row>
    <x:row r="641">
      <x:c r="A641" s="14" t="str">
        <x:v>EVID-0640</x:v>
      </x:c>
      <x:c r="B641" s="14" t="str">
        <x:v>VATM-0640</x:v>
      </x:c>
      <x:c r="C641" s="14" t="str">
        <x:v>Tuân thủ, pháp chế &amp; quản trị</x:v>
      </x:c>
      <x:c r="D641" s="14" t="str">
        <x:v>Quản trị triển khai, RACI và báo cáo</x:v>
      </x:c>
      <x:c r="E641" s="14" t="str">
        <x:v>Checklist cutover 01/07/2026; biên bản xác nhận đơn vị.; Không xảy ra khoảng trống áp dụng pháp luật vào ngày hiệu lực.; Ký xác nhận bởi từng đơn vị; issue có owner và deadline.; 01 checklist toàn Tổng công ty; 100% đơn vị trọng yếu phản hồi.</x:v>
      </x:c>
      <x:c r="F641" s="14" t="str">
        <x:v>Biểu mẫu/Checklist</x:v>
      </x:c>
      <x:c r="G641" s="14" t="str">
        <x:v>Văn phòng - Pháp chế; Ban An toàn - Chất lượng</x:v>
      </x:c>
      <x:c r="H641" s="14" t="str"/>
      <x:c r="I641" s="58" t="str"/>
      <x:c r="J641" s="58" t="str"/>
      <x:c r="K641" s="14" t="str"/>
      <x:c r="L641" s="14" t="str">
        <x:v>Chưa có</x:v>
      </x:c>
      <x:c r="M641" s="14" t="str">
        <x:v>Theo dõi và cập nhật link/chỉ dẫn hồ sơ sau khi có bằng chứng.</x:v>
      </x:c>
    </x:row>
    <x:row r="642">
      <x:c r="A642" s="14" t="str">
        <x:v>EVID-0641</x:v>
      </x:c>
      <x:c r="B642" s="14" t="str">
        <x:v>VATM-0641</x:v>
      </x:c>
      <x:c r="C642" s="14" t="str">
        <x:v>Tuân thủ, pháp chế &amp; quản trị</x:v>
      </x:c>
      <x:c r="D642" s="14" t="str">
        <x:v>Quản trị triển khai, RACI và báo cáo</x:v>
      </x:c>
      <x:c r="E642" s="14" t="str">
        <x:v>Nhóm hỗ trợ nhanh; log câu hỏi; FAQ cập nhật.; Vướng mắc được trả lời nhất quán, đúng căn cứ, không làm gián đoạn vận hành.; Có phân cấp câu hỏi pháp lý/khai thác/an ninh/an toàn.; Báo cáo tuần trong tháng đầu hiệu lực.</x:v>
      </x:c>
      <x:c r="F642" s="14" t="str">
        <x:v>Báo cáo</x:v>
      </x:c>
      <x:c r="G642" s="14" t="str">
        <x:v>Văn phòng - Pháp chế</x:v>
      </x:c>
      <x:c r="H642" s="14" t="str"/>
      <x:c r="I642" s="58" t="str"/>
      <x:c r="J642" s="58" t="str"/>
      <x:c r="K642" s="14" t="str"/>
      <x:c r="L642" s="14" t="str">
        <x:v>Chưa có</x:v>
      </x:c>
      <x:c r="M642" s="14" t="str">
        <x:v>Theo dõi và cập nhật link/chỉ dẫn hồ sơ sau khi có bằng chứng.</x:v>
      </x:c>
    </x:row>
  </x:sheetData>
  <x:conditionalFormatting sqref="L2:L642">
    <x:cfRule type="expression" dxfId="3" priority="1">
      <x:formula>L2="Đã có"</x:formula>
    </x:cfRule>
    <x:cfRule type="expression" dxfId="4" priority="2">
      <x:formula>L2="Chưa có"</x:formula>
    </x:cfRule>
    <x:cfRule type="expression" dxfId="5" priority="3">
      <x:formula>L2="Cần bổ sung"</x:formula>
    </x:cfRule>
  </x:conditionalFormatting>
  <x:dataValidations count="2">
    <x:dataValidation type="list" sqref="L2:L642">
      <x:formula1>"Chưa có,Đang thu thập,Đã có,Cần bổ sung,Hết hiệu lực,Không áp dụng"</x:formula1>
    </x:dataValidation>
    <x:dataValidation type="list" sqref="F2:F642">
      <x:formula1>"Quyết định/Kế hoạch,Quy trình/SOP,Biểu mẫu/Checklist,Báo cáo,Biên bản/nhật ký/log,Hồ sơ phê duyệt,Chứng chỉ/Hồ sơ đào tạo,Dữ liệu hệ thống,Hợp đồng/Tài chính,Khác"</x:formula1>
    </x:dataValidation>
  </x:dataValidations>
  <x:pageMargins left="0.7" right="0.7" top="0.75" bottom="0.75" header="0.3" footer="0.3"/>
  <x:tableParts count="1">
    <x:tablePart xmlns:r="http://schemas.openxmlformats.org/officeDocument/2006/relationships" r:id="R599bdf150237473e"/>
  </x:tableParts>
</x:worksheet>
</file>

<file path=xl/worksheets/sheet7.xml><?xml version="1.0" encoding="utf-8"?>
<x:worksheet xmlns:x="http://schemas.openxmlformats.org/spreadsheetml/2006/main">
  <x:sheetFormatPr defaultRowHeight="15"/>
  <x:cols>
    <x:col min="1" max="1" width="18" hidden="0" customWidth="1"/>
    <x:col min="2" max="2" width="34" hidden="0" customWidth="1"/>
    <x:col min="3" max="3" width="28" hidden="0" customWidth="1"/>
    <x:col min="4" max="4" width="30" hidden="0" customWidth="1"/>
    <x:col min="5" max="5" width="52" hidden="0" customWidth="1"/>
    <x:col min="6" max="6" width="22" hidden="0" customWidth="1"/>
    <x:col min="7" max="7" width="38" hidden="0" customWidth="1"/>
    <x:col min="8" max="8" width="36" hidden="0" customWidth="1"/>
    <x:col min="9" max="9" width="34" hidden="0" customWidth="1"/>
    <x:col min="10" max="10" width="12" hidden="0" customWidth="1"/>
    <x:col min="11" max="11" width="18" hidden="0" customWidth="1"/>
    <x:col min="12" max="12" width="18" hidden="0" customWidth="1"/>
    <x:col min="13" max="13" width="42" hidden="0" customWidth="1"/>
    <x:col min="14" max="14" width="28" hidden="0" customWidth="1"/>
  </x:cols>
  <x:sheetData>
    <x:row r="1">
      <x:c r="A1" s="6" t="str">
        <x:v>Mã quy trình/biểu mẫu</x:v>
      </x:c>
      <x:c r="B1" s="6" t="str">
        <x:v>Mã nhiệm vụ liên quan</x:v>
      </x:c>
      <x:c r="C1" s="6" t="str">
        <x:v>Nhóm lĩnh vực</x:v>
      </x:c>
      <x:c r="D1" s="6" t="str">
        <x:v>Tiểu nhóm</x:v>
      </x:c>
      <x:c r="E1" s="6" t="str">
        <x:v>Quy trình/biểu mẫu/hướng dẫn cần sửa/ban hành</x:v>
      </x:c>
      <x:c r="F1" s="6" t="str">
        <x:v>Loại tài liệu</x:v>
      </x:c>
      <x:c r="G1" s="6" t="str">
        <x:v>Đơn vị chủ trì đề xuất</x:v>
      </x:c>
      <x:c r="H1" s="6" t="str">
        <x:v>Đơn vị phối hợp</x:v>
      </x:c>
      <x:c r="I1" s="6" t="str">
        <x:v>Căn cứ pháp lý</x:v>
      </x:c>
      <x:c r="J1" s="6" t="str">
        <x:v>Ưu tiên</x:v>
      </x:c>
      <x:c r="K1" s="6" t="str">
        <x:v>Trạng thái</x:v>
      </x:c>
      <x:c r="L1" s="6" t="str">
        <x:v>Hạn hoàn thành</x:v>
      </x:c>
      <x:c r="M1" s="6" t="str">
        <x:v>Bằng chứng sau cập nhật</x:v>
      </x:c>
      <x:c r="N1" s="6" t="str">
        <x:v>Ghi chú</x:v>
      </x:c>
    </x:row>
    <x:row r="2">
      <x:c r="A2" s="14" t="str">
        <x:v>PROC-0001</x:v>
      </x:c>
      <x:c r="B2" s="14" t="str">
        <x:v>VATM-0001</x:v>
      </x:c>
      <x:c r="C2" s="14" t="str">
        <x:v>Quản lý khai thác cảng/sân bay</x:v>
      </x:c>
      <x:c r="D2" s="14" t="str">
        <x:v>Công trình, chướng ngại và thi công</x:v>
      </x:c>
      <x:c r="E2" s="14" t="str">
        <x:v>Quy trình quản lý tài sản kỹ thuật ANS</x:v>
      </x:c>
      <x:c r="F2" s="14" t="str">
        <x:v>Quy trình/SOP</x:v>
      </x:c>
      <x:c r="G2" s="14" t="str">
        <x:v>Ban Kế hoạch - Đầu tư; Ban Không lưu; Ban Kỹ thuật - CNS/IT/Môi trường; Văn phòng - Pháp chế</x:v>
      </x:c>
      <x:c r="H2" s="14" t="str">
        <x:v>Các Công ty Quản lý bay khu vực Bắc/Trung/Nam; Ban Kế hoạch - Đầu tư; Ban Không lưu; Ban Kỹ thuật - CNS/IT/Môi trường</x:v>
      </x:c>
      <x:c r="I2" s="14" t="str">
        <x:v>Điều 1-3</x:v>
      </x:c>
      <x:c r="J2" s="14" t="str">
        <x:v>P1</x:v>
      </x:c>
      <x:c r="K2" s="14" t="str">
        <x:v>Chưa bắt đầu</x:v>
      </x:c>
      <x:c r="L2" s="14" t="str"/>
      <x:c r="M2" s="14" t="str">
        <x:v>Danh mục tài sản/công trình ANS; sơ đồ vị trí; biên bản đối chiếu với cảng và Cảng vụ</x:v>
      </x:c>
      <x:c r="N2" s="14" t="str">
        <x:v>Tổng 1 nhiệm vụ liên quan.</x:v>
      </x:c>
    </x:row>
    <x:row r="3">
      <x:c r="A3" s="14" t="str">
        <x:v>PROC-0002</x:v>
      </x:c>
      <x:c r="B3" s="14" t="str">
        <x:v>VATM-0001</x:v>
      </x:c>
      <x:c r="C3" s="14" t="str">
        <x:v>Quản lý khai thác cảng/sân bay</x:v>
      </x:c>
      <x:c r="D3" s="14" t="str">
        <x:v>Công trình, chướng ngại và thi công</x:v>
      </x:c>
      <x:c r="E3" s="14" t="str">
        <x:v>quy chế phối hợp cảng</x:v>
      </x:c>
      <x:c r="F3" s="14" t="str">
        <x:v>Quy trình/SOP</x:v>
      </x:c>
      <x:c r="G3" s="14" t="str">
        <x:v>Ban Kế hoạch - Đầu tư; Ban Không lưu; Ban Kỹ thuật - CNS/IT/Môi trường; Văn phòng - Pháp chế</x:v>
      </x:c>
      <x:c r="H3" s="14" t="str">
        <x:v>Các Công ty Quản lý bay khu vực Bắc/Trung/Nam; Ban Kế hoạch - Đầu tư; Ban Không lưu; Ban Kỹ thuật - CNS/IT/Môi trường</x:v>
      </x:c>
      <x:c r="I3" s="14" t="str">
        <x:v>Điều 1-3</x:v>
      </x:c>
      <x:c r="J3" s="14" t="str">
        <x:v>P1</x:v>
      </x:c>
      <x:c r="K3" s="14" t="str">
        <x:v>Chưa bắt đầu</x:v>
      </x:c>
      <x:c r="L3" s="14" t="str"/>
      <x:c r="M3" s="14" t="str">
        <x:v>Danh mục tài sản/công trình ANS; sơ đồ vị trí; biên bản đối chiếu với cảng và Cảng vụ</x:v>
      </x:c>
      <x:c r="N3" s="14" t="str">
        <x:v>Tổng 1 nhiệm vụ liên quan.</x:v>
      </x:c>
    </x:row>
    <x:row r="4">
      <x:c r="A4" s="14" t="str">
        <x:v>PROC-0003</x:v>
      </x:c>
      <x:c r="B4" s="14" t="str">
        <x:v>VATM-0001</x:v>
      </x:c>
      <x:c r="C4" s="14" t="str">
        <x:v>Quản lý khai thác cảng/sân bay</x:v>
      </x:c>
      <x:c r="D4" s="14" t="str">
        <x:v>Công trình, chướng ngại và thi công</x:v>
      </x:c>
      <x:c r="E4" s="14" t="str">
        <x:v>Mẫu danh mục công trình ANS tại cảng</x:v>
      </x:c>
      <x:c r="F4" s="14" t="str">
        <x:v>Biểu mẫu/Checklist</x:v>
      </x:c>
      <x:c r="G4" s="14" t="str">
        <x:v>Ban Kế hoạch - Đầu tư; Ban Không lưu; Ban Kỹ thuật - CNS/IT/Môi trường; Văn phòng - Pháp chế</x:v>
      </x:c>
      <x:c r="H4" s="14" t="str">
        <x:v>Các Công ty Quản lý bay khu vực Bắc/Trung/Nam; Ban Kế hoạch - Đầu tư; Ban Không lưu; Ban Kỹ thuật - CNS/IT/Môi trường</x:v>
      </x:c>
      <x:c r="I4" s="14" t="str">
        <x:v>Điều 1-3</x:v>
      </x:c>
      <x:c r="J4" s="14" t="str">
        <x:v>P1</x:v>
      </x:c>
      <x:c r="K4" s="14" t="str">
        <x:v>Chưa bắt đầu</x:v>
      </x:c>
      <x:c r="L4" s="14" t="str"/>
      <x:c r="M4" s="14" t="str">
        <x:v>Danh mục tài sản/công trình ANS; sơ đồ vị trí; biên bản đối chiếu với cảng và Cảng vụ</x:v>
      </x:c>
      <x:c r="N4" s="14" t="str">
        <x:v>Tổng 1 nhiệm vụ liên quan.</x:v>
      </x:c>
    </x:row>
    <x:row r="5">
      <x:c r="A5" s="14" t="str">
        <x:v>PROC-0004</x:v>
      </x:c>
      <x:c r="B5" s="14" t="str">
        <x:v>VATM-0001</x:v>
      </x:c>
      <x:c r="C5" s="14" t="str">
        <x:v>Quản lý khai thác cảng/sân bay</x:v>
      </x:c>
      <x:c r="D5" s="14" t="str">
        <x:v>Công trình, chướng ngại và thi công</x:v>
      </x:c>
      <x:c r="E5" s="14" t="str">
        <x:v>mẫu phiếu đối chiếu ranh giới</x:v>
      </x:c>
      <x:c r="F5" s="14" t="str">
        <x:v>Biểu mẫu/Checklist</x:v>
      </x:c>
      <x:c r="G5" s="14" t="str">
        <x:v>Ban Kế hoạch - Đầu tư; Ban Không lưu; Ban Kỹ thuật - CNS/IT/Môi trường; Văn phòng - Pháp chế</x:v>
      </x:c>
      <x:c r="H5" s="14" t="str">
        <x:v>Các Công ty Quản lý bay khu vực Bắc/Trung/Nam; Ban Kế hoạch - Đầu tư; Ban Không lưu; Ban Kỹ thuật - CNS/IT/Môi trường</x:v>
      </x:c>
      <x:c r="I5" s="14" t="str">
        <x:v>Điều 1-3</x:v>
      </x:c>
      <x:c r="J5" s="14" t="str">
        <x:v>P1</x:v>
      </x:c>
      <x:c r="K5" s="14" t="str">
        <x:v>Chưa bắt đầu</x:v>
      </x:c>
      <x:c r="L5" s="14" t="str"/>
      <x:c r="M5" s="14" t="str">
        <x:v>Danh mục tài sản/công trình ANS; sơ đồ vị trí; biên bản đối chiếu với cảng và Cảng vụ</x:v>
      </x:c>
      <x:c r="N5" s="14" t="str">
        <x:v>Tổng 1 nhiệm vụ liên quan.</x:v>
      </x:c>
    </x:row>
    <x:row r="6">
      <x:c r="A6" s="14" t="str">
        <x:v>PROC-0005</x:v>
      </x:c>
      <x:c r="B6" s="14" t="str">
        <x:v>VATM-0002</x:v>
      </x:c>
      <x:c r="C6" s="14" t="str">
        <x:v>Tuân thủ, pháp chế &amp; quản trị</x:v>
      </x:c>
      <x:c r="D6" s="14" t="str">
        <x:v>Rà soát văn bản, quy trình và GAP</x:v>
      </x:c>
      <x:c r="E6" s="14" t="str">
        <x:v>Quy trình văn thư điện tử</x:v>
      </x:c>
      <x:c r="F6" s="14" t="str">
        <x:v>Quy trình/SOP</x:v>
      </x:c>
      <x:c r="G6" s="14" t="str">
        <x:v>Văn phòng - Pháp chế</x:v>
      </x:c>
      <x:c r="H6" s="14" t="str">
        <x:v>Văn phòng - Pháp chế</x:v>
      </x:c>
      <x:c r="I6" s="14" t="str">
        <x:v>Điều 4</x:v>
      </x:c>
      <x:c r="J6" s="14" t="str">
        <x:v>P2</x:v>
      </x:c>
      <x:c r="K6" s="14" t="str">
        <x:v>Chưa bắt đầu</x:v>
      </x:c>
      <x:c r="L6" s="14" t="str"/>
      <x:c r="M6" s="14" t="str">
        <x:v>Bản nộp điện tử; văn bản góp ý; nhật ký luân chuyển hồ sơ</x:v>
      </x:c>
      <x:c r="N6" s="14" t="str">
        <x:v>Tổng 1 nhiệm vụ liên quan.</x:v>
      </x:c>
    </x:row>
    <x:row r="7">
      <x:c r="A7" s="14" t="str">
        <x:v>PROC-0006</x:v>
      </x:c>
      <x:c r="B7" s="14" t="str">
        <x:v>VATM-0002</x:v>
      </x:c>
      <x:c r="C7" s="14" t="str">
        <x:v>Tuân thủ, pháp chế &amp; quản trị</x:v>
      </x:c>
      <x:c r="D7" s="14" t="str">
        <x:v>Rà soát văn bản, quy trình và GAP</x:v>
      </x:c>
      <x:c r="E7" s="14" t="str">
        <x:v>quy trình phối hợp hồ sơ pháp lý</x:v>
      </x:c>
      <x:c r="F7" s="14" t="str">
        <x:v>Quy trình/SOP</x:v>
      </x:c>
      <x:c r="G7" s="14" t="str">
        <x:v>Văn phòng - Pháp chế</x:v>
      </x:c>
      <x:c r="H7" s="14" t="str">
        <x:v>Văn phòng - Pháp chế</x:v>
      </x:c>
      <x:c r="I7" s="14" t="str">
        <x:v>Điều 4</x:v>
      </x:c>
      <x:c r="J7" s="14" t="str">
        <x:v>P2</x:v>
      </x:c>
      <x:c r="K7" s="14" t="str">
        <x:v>Chưa bắt đầu</x:v>
      </x:c>
      <x:c r="L7" s="14" t="str"/>
      <x:c r="M7" s="14" t="str">
        <x:v>Bản nộp điện tử; văn bản góp ý; nhật ký luân chuyển hồ sơ</x:v>
      </x:c>
      <x:c r="N7" s="14" t="str">
        <x:v>Tổng 1 nhiệm vụ liên quan.</x:v>
      </x:c>
    </x:row>
    <x:row r="8">
      <x:c r="A8" s="14" t="str">
        <x:v>PROC-0007</x:v>
      </x:c>
      <x:c r="B8" s="14" t="str">
        <x:v>VATM-0002</x:v>
      </x:c>
      <x:c r="C8" s="14" t="str">
        <x:v>Tuân thủ, pháp chế &amp; quản trị</x:v>
      </x:c>
      <x:c r="D8" s="14" t="str">
        <x:v>Rà soát văn bản, quy trình và GAP</x:v>
      </x:c>
      <x:c r="E8" s="14" t="str">
        <x:v>Checklist hồ sơ VATM tham gia TTHC NĐ205</x:v>
      </x:c>
      <x:c r="F8" s="14" t="str">
        <x:v>Biểu mẫu/Checklist</x:v>
      </x:c>
      <x:c r="G8" s="14" t="str">
        <x:v>Văn phòng - Pháp chế</x:v>
      </x:c>
      <x:c r="H8" s="14" t="str">
        <x:v>Văn phòng - Pháp chế</x:v>
      </x:c>
      <x:c r="I8" s="14" t="str">
        <x:v>Điều 4</x:v>
      </x:c>
      <x:c r="J8" s="14" t="str">
        <x:v>P2</x:v>
      </x:c>
      <x:c r="K8" s="14" t="str">
        <x:v>Chưa bắt đầu</x:v>
      </x:c>
      <x:c r="L8" s="14" t="str"/>
      <x:c r="M8" s="14" t="str">
        <x:v>Bản nộp điện tử; văn bản góp ý; nhật ký luân chuyển hồ sơ</x:v>
      </x:c>
      <x:c r="N8" s="14" t="str">
        <x:v>Tổng 1 nhiệm vụ liên quan.</x:v>
      </x:c>
    </x:row>
    <x:row r="9">
      <x:c r="A9" s="14" t="str">
        <x:v>PROC-0008</x:v>
      </x:c>
      <x:c r="B9" s="14" t="str">
        <x:v>VATM-0003</x:v>
      </x:c>
      <x:c r="C9" s="14" t="str">
        <x:v>Tài chính - Kế hoạch đầu tư</x:v>
      </x:c>
      <x:c r="D9" s="14" t="str">
        <x:v>Phí, thanh toán, hợp đồng và billing</x:v>
      </x:c>
      <x:c r="E9" s="14" t="str">
        <x:v>Quy trình rà soát hợp đồng dịch vụ tại cảng</x:v>
      </x:c>
      <x:c r="F9" s="14" t="str">
        <x:v>Quy trình/SOP</x:v>
      </x:c>
      <x:c r="G9" s="14" t="str">
        <x:v>Ban Tài chính; Văn phòng - Pháp chế</x:v>
      </x:c>
      <x:c r="H9" s="14" t="str">
        <x:v>Ban Tài chính; Ban Kế hoạch - Đầu tư</x:v>
      </x:c>
      <x:c r="I9" s="14" t="str">
        <x:v>Điều 5-7</x:v>
      </x:c>
      <x:c r="J9" s="14" t="str">
        <x:v>P2</x:v>
      </x:c>
      <x:c r="K9" s="14" t="str">
        <x:v>Chưa bắt đầu</x:v>
      </x:c>
      <x:c r="L9" s="14" t="str"/>
      <x:c r="M9" s="14" t="str">
        <x:v>Hợp đồng; hồ sơ điều kiện kinh doanh; ý kiến pháp chế</x:v>
      </x:c>
      <x:c r="N9" s="14" t="str">
        <x:v>Tổng 1 nhiệm vụ liên quan.</x:v>
      </x:c>
    </x:row>
    <x:row r="10">
      <x:c r="A10" s="14" t="str">
        <x:v>PROC-0009</x:v>
      </x:c>
      <x:c r="B10" s="14" t="str">
        <x:v>VATM-0003</x:v>
      </x:c>
      <x:c r="C10" s="14" t="str">
        <x:v>Tài chính - Kế hoạch đầu tư</x:v>
      </x:c>
      <x:c r="D10" s="14" t="str">
        <x:v>Phí, thanh toán, hợp đồng và billing</x:v>
      </x:c>
      <x:c r="E10" s="14" t="str">
        <x:v>Mẫu checklist pháp lý hợp đồng tại cảng</x:v>
      </x:c>
      <x:c r="F10" s="14" t="str">
        <x:v>Biểu mẫu/Checklist</x:v>
      </x:c>
      <x:c r="G10" s="14" t="str">
        <x:v>Ban Tài chính; Văn phòng - Pháp chế</x:v>
      </x:c>
      <x:c r="H10" s="14" t="str">
        <x:v>Ban Tài chính; Ban Kế hoạch - Đầu tư</x:v>
      </x:c>
      <x:c r="I10" s="14" t="str">
        <x:v>Điều 5-7</x:v>
      </x:c>
      <x:c r="J10" s="14" t="str">
        <x:v>P2</x:v>
      </x:c>
      <x:c r="K10" s="14" t="str">
        <x:v>Chưa bắt đầu</x:v>
      </x:c>
      <x:c r="L10" s="14" t="str"/>
      <x:c r="M10" s="14" t="str">
        <x:v>Hợp đồng; hồ sơ điều kiện kinh doanh; ý kiến pháp chế</x:v>
      </x:c>
      <x:c r="N10" s="14" t="str">
        <x:v>Tổng 1 nhiệm vụ liên quan.</x:v>
      </x:c>
    </x:row>
    <x:row r="11">
      <x:c r="A11" s="14" t="str">
        <x:v>PROC-0010</x:v>
      </x:c>
      <x:c r="B11" s="14" t="str">
        <x:v>VATM-0004</x:v>
      </x:c>
      <x:c r="C11" s="14" t="str">
        <x:v>Quản lý khai thác cảng/sân bay</x:v>
      </x:c>
      <x:c r="D11" s="14" t="str">
        <x:v>Điều phối năng lực khai thác cảng</x:v>
      </x:c>
      <x:c r="E11" s="14" t="str">
        <x:v>Quy trình phối hợp ATFM-CDM với cảng</x:v>
      </x:c>
      <x:c r="F11" s="14" t="str">
        <x:v>Quy trình/SOP</x:v>
      </x:c>
      <x:c r="G11" s="14" t="str">
        <x:v>Ban Kế hoạch - Đầu tư; Ban Không lưu; Ban Kỹ thuật - CNS/IT/Môi trường; Ban An toàn - Chất lượng</x:v>
      </x:c>
      <x:c r="H11" s="14" t="str">
        <x:v>Các Công ty Quản lý bay khu vực Bắc/Trung/Nam; Ban Kế hoạch - Đầu tư; Ban Không lưu; Ban Kỹ thuật - CNS/IT/Môi trường</x:v>
      </x:c>
      <x:c r="I11" s="14" t="str">
        <x:v>Điều 8</x:v>
      </x:c>
      <x:c r="J11" s="14" t="str">
        <x:v>P1</x:v>
      </x:c>
      <x:c r="K11" s="14" t="str">
        <x:v>Chưa bắt đầu</x:v>
      </x:c>
      <x:c r="L11" s="14" t="str"/>
      <x:c r="M11" s="14" t="str">
        <x:v>Biên bản họp điều phối; dữ liệu năng lực đường bay/sân bay; báo cáo ATFM</x:v>
      </x:c>
      <x:c r="N11" s="14" t="str">
        <x:v>Tổng 1 nhiệm vụ liên quan.</x:v>
      </x:c>
    </x:row>
    <x:row r="12">
      <x:c r="A12" s="14" t="str">
        <x:v>PROC-0011</x:v>
      </x:c>
      <x:c r="B12" s="14" t="str">
        <x:v>VATM-0004</x:v>
      </x:c>
      <x:c r="C12" s="14" t="str">
        <x:v>Quản lý khai thác cảng/sân bay</x:v>
      </x:c>
      <x:c r="D12" s="14" t="str">
        <x:v>Điều phối năng lực khai thác cảng</x:v>
      </x:c>
      <x:c r="E12" s="14" t="str">
        <x:v>Mẫu báo cáo năng lực ANS phục vụ tạo thuận lợi HK</x:v>
      </x:c>
      <x:c r="F12" s="14" t="str">
        <x:v>Biểu mẫu/Checklist</x:v>
      </x:c>
      <x:c r="G12" s="14" t="str">
        <x:v>Ban Kế hoạch - Đầu tư; Ban Không lưu; Ban Kỹ thuật - CNS/IT/Môi trường; Ban An toàn - Chất lượng</x:v>
      </x:c>
      <x:c r="H12" s="14" t="str">
        <x:v>Các Công ty Quản lý bay khu vực Bắc/Trung/Nam; Ban Kế hoạch - Đầu tư; Ban Không lưu; Ban Kỹ thuật - CNS/IT/Môi trường</x:v>
      </x:c>
      <x:c r="I12" s="14" t="str">
        <x:v>Điều 8</x:v>
      </x:c>
      <x:c r="J12" s="14" t="str">
        <x:v>P1</x:v>
      </x:c>
      <x:c r="K12" s="14" t="str">
        <x:v>Chưa bắt đầu</x:v>
      </x:c>
      <x:c r="L12" s="14" t="str"/>
      <x:c r="M12" s="14" t="str">
        <x:v>Biên bản họp điều phối; dữ liệu năng lực đường bay/sân bay; báo cáo ATFM</x:v>
      </x:c>
      <x:c r="N12" s="14" t="str">
        <x:v>Tổng 1 nhiệm vụ liên quan.</x:v>
      </x:c>
    </x:row>
    <x:row r="13">
      <x:c r="A13" s="14" t="str">
        <x:v>PROC-0012</x:v>
      </x:c>
      <x:c r="B13" s="14" t="str">
        <x:v>VATM-0005; VATM-0006; VATM-0007; VATM-0008; VATM-0009; VATM-0010</x:v>
      </x:c>
      <x:c r="C13" s="14" t="str">
        <x:v>Quản lý khai thác cảng/sân bay</x:v>
      </x:c>
      <x:c r="D13" s="14" t="str">
        <x:v>Quy hoạch, mặt bằng và phối hợp cảng</x:v>
      </x:c>
      <x:c r="E13" s="14" t="str">
        <x:v>Quy trình tham gia quy hoạch hàng không</x:v>
      </x:c>
      <x:c r="F13" s="14" t="str">
        <x:v>Quy trình/SOP</x:v>
      </x:c>
      <x:c r="G13" s="14" t="str">
        <x:v>Ban Kế hoạch - Đầu tư; Ban Không lưu; Ban Kỹ thuật - CNS/IT/Môi trường; Trung tâm Thông báo tin tức hàng không</x:v>
      </x:c>
      <x:c r="H13" s="14" t="str">
        <x:v>Các Công ty Quản lý bay khu vực Bắc/Trung/Nam; Ban Kế hoạch - Đầu tư; Ban Không lưu; Ban Kỹ thuật - CNS/IT/Môi trường</x:v>
      </x:c>
      <x:c r="I13" s="14" t="str">
        <x:v>Điều 9-12; Điều 13-17; Điều 18; Điều 19-25; Điều 26; Điều 27-29</x:v>
      </x:c>
      <x:c r="J13" s="14" t="str">
        <x:v>P1</x:v>
      </x:c>
      <x:c r="K13" s="14" t="str">
        <x:v>Chưa bắt đầu</x:v>
      </x:c>
      <x:c r="L13" s="14" t="str"/>
      <x:c r="M13" s="14" t="str">
        <x:v>Văn bản góp ý; bản đồ/số liệu; biên bản họp; danh mục kiến nghị</x:v>
      </x:c>
      <x:c r="N13" s="14" t="str">
        <x:v>Tổng 6 nhiệm vụ liên quan.</x:v>
      </x:c>
    </x:row>
    <x:row r="14">
      <x:c r="A14" s="14" t="str">
        <x:v>PROC-0013</x:v>
      </x:c>
      <x:c r="B14" s="14" t="str">
        <x:v>VATM-0005; VATM-0006; VATM-0007; VATM-0008; VATM-0009; VATM-0010</x:v>
      </x:c>
      <x:c r="C14" s="14" t="str">
        <x:v>Quản lý khai thác cảng/sân bay</x:v>
      </x:c>
      <x:c r="D14" s="14" t="str">
        <x:v>Quy hoạch, mặt bằng và phối hợp cảng</x:v>
      </x:c>
      <x:c r="E14" s="14" t="str">
        <x:v>quy trình quản lý dữ liệu địa hình/chướng ngại vật</x:v>
      </x:c>
      <x:c r="F14" s="14" t="str">
        <x:v>Quy trình/SOP</x:v>
      </x:c>
      <x:c r="G14" s="14" t="str">
        <x:v>Ban Kế hoạch - Đầu tư; Ban Không lưu; Ban Kỹ thuật - CNS/IT/Môi trường; Trung tâm Thông báo tin tức hàng không</x:v>
      </x:c>
      <x:c r="H14" s="14" t="str">
        <x:v>Các Công ty Quản lý bay khu vực Bắc/Trung/Nam; Ban Kế hoạch - Đầu tư; Ban Không lưu; Ban Kỹ thuật - CNS/IT/Môi trường</x:v>
      </x:c>
      <x:c r="I14" s="14" t="str">
        <x:v>Điều 9-12; Điều 13-17; Điều 18; Điều 19-25; Điều 26; Điều 27-29</x:v>
      </x:c>
      <x:c r="J14" s="14" t="str">
        <x:v>P1</x:v>
      </x:c>
      <x:c r="K14" s="14" t="str">
        <x:v>Chưa bắt đầu</x:v>
      </x:c>
      <x:c r="L14" s="14" t="str"/>
      <x:c r="M14" s="14" t="str">
        <x:v>Văn bản góp ý; bản đồ/số liệu; biên bản họp; danh mục kiến nghị</x:v>
      </x:c>
      <x:c r="N14" s="14" t="str">
        <x:v>Tổng 6 nhiệm vụ liên quan.</x:v>
      </x:c>
    </x:row>
    <x:row r="15">
      <x:c r="A15" s="14" t="str">
        <x:v>PROC-0014</x:v>
      </x:c>
      <x:c r="B15" s="14" t="str">
        <x:v>VATM-0005; VATM-0006; VATM-0007; VATM-0008; VATM-0009; VATM-0010</x:v>
      </x:c>
      <x:c r="C15" s="14" t="str">
        <x:v>Quản lý khai thác cảng/sân bay</x:v>
      </x:c>
      <x:c r="D15" s="14" t="str">
        <x:v>Quy hoạch, mặt bằng và phối hợp cảng</x:v>
      </x:c>
      <x:c r="E15" s="14" t="str">
        <x:v>Mẫu phiếu rà soát quy hoạch theo ANS</x:v>
      </x:c>
      <x:c r="F15" s="14" t="str">
        <x:v>Biểu mẫu/Checklist</x:v>
      </x:c>
      <x:c r="G15" s="14" t="str">
        <x:v>Ban Kế hoạch - Đầu tư; Ban Không lưu; Ban Kỹ thuật - CNS/IT/Môi trường; Trung tâm Thông báo tin tức hàng không</x:v>
      </x:c>
      <x:c r="H15" s="14" t="str">
        <x:v>Các Công ty Quản lý bay khu vực Bắc/Trung/Nam; Ban Kế hoạch - Đầu tư; Ban Không lưu; Ban Kỹ thuật - CNS/IT/Môi trường</x:v>
      </x:c>
      <x:c r="I15" s="14" t="str">
        <x:v>Điều 9-12; Điều 13-17; Điều 18; Điều 19-25; Điều 26; Điều 27-29</x:v>
      </x:c>
      <x:c r="J15" s="14" t="str">
        <x:v>P1</x:v>
      </x:c>
      <x:c r="K15" s="14" t="str">
        <x:v>Chưa bắt đầu</x:v>
      </x:c>
      <x:c r="L15" s="14" t="str"/>
      <x:c r="M15" s="14" t="str">
        <x:v>Văn bản góp ý; bản đồ/số liệu; biên bản họp; danh mục kiến nghị</x:v>
      </x:c>
      <x:c r="N15" s="14" t="str">
        <x:v>Tổng 6 nhiệm vụ liên quan.</x:v>
      </x:c>
    </x:row>
    <x:row r="16">
      <x:c r="A16" s="14" t="str">
        <x:v>PROC-0015</x:v>
      </x:c>
      <x:c r="B16" s="14" t="str">
        <x:v>VATM-0005; VATM-0006; VATM-0007; VATM-0008; VATM-0009; VATM-0010</x:v>
      </x:c>
      <x:c r="C16" s="14" t="str">
        <x:v>Quản lý khai thác cảng/sân bay</x:v>
      </x:c>
      <x:c r="D16" s="14" t="str">
        <x:v>Quy hoạch, mặt bằng và phối hợp cảng</x:v>
      </x:c>
      <x:c r="E16" s="14" t="str">
        <x:v>checklist CNS/ATM/AIS/MET/SAR</x:v>
      </x:c>
      <x:c r="F16" s="14" t="str">
        <x:v>Biểu mẫu/Checklist</x:v>
      </x:c>
      <x:c r="G16" s="14" t="str">
        <x:v>Ban Kế hoạch - Đầu tư; Ban Không lưu; Ban Kỹ thuật - CNS/IT/Môi trường; Trung tâm Thông báo tin tức hàng không</x:v>
      </x:c>
      <x:c r="H16" s="14" t="str">
        <x:v>Các Công ty Quản lý bay khu vực Bắc/Trung/Nam; Ban Kế hoạch - Đầu tư; Ban Không lưu; Ban Kỹ thuật - CNS/IT/Môi trường</x:v>
      </x:c>
      <x:c r="I16" s="14" t="str">
        <x:v>Điều 9-12; Điều 13-17; Điều 18; Điều 19-25; Điều 26; Điều 27-29</x:v>
      </x:c>
      <x:c r="J16" s="14" t="str">
        <x:v>P1</x:v>
      </x:c>
      <x:c r="K16" s="14" t="str">
        <x:v>Chưa bắt đầu</x:v>
      </x:c>
      <x:c r="L16" s="14" t="str"/>
      <x:c r="M16" s="14" t="str">
        <x:v>Văn bản góp ý; bản đồ/số liệu; biên bản họp; danh mục kiến nghị</x:v>
      </x:c>
      <x:c r="N16" s="14" t="str">
        <x:v>Tổng 6 nhiệm vụ liên quan.</x:v>
      </x:c>
    </x:row>
    <x:row r="17">
      <x:c r="A17" s="14" t="str">
        <x:v>PROC-0016</x:v>
      </x:c>
      <x:c r="B17" s="14" t="str">
        <x:v>VATM-0011; VATM-0012; VATM-0013; VATM-0014; VATM-0015; VATM-0016; VATM-0017</x:v>
      </x:c>
      <x:c r="C17" s="14" t="str">
        <x:v>Quản lý khai thác cảng/sân bay</x:v>
      </x:c>
      <x:c r="D17" s="14" t="str">
        <x:v>Công trình, chướng ngại và thi công</x:v>
      </x:c>
      <x:c r="E17" s="14" t="str">
        <x:v>Quy trình đánh giá ảnh hưởng công trình đến ANS</x:v>
      </x:c>
      <x:c r="F17" s="14" t="str">
        <x:v>Quy trình/SOP</x:v>
      </x:c>
      <x:c r="G17" s="14" t="str">
        <x:v>Ban Kế hoạch - Đầu tư; Ban Không lưu; Ban Kỹ thuật - CNS/IT/Môi trường; Văn phòng - Pháp chế</x:v>
      </x:c>
      <x:c r="H17" s="14" t="str">
        <x:v>Các Công ty Quản lý bay khu vực Bắc/Trung/Nam; Ban Kế hoạch - Đầu tư; Ban Không lưu; Ban Kỹ thuật - CNS/IT/Môi trường</x:v>
      </x:c>
      <x:c r="I17" s="14" t="str">
        <x:v>Điều 30-34; Điều 35-36; Điều 37-39; Điều 40; Điều 41-42; Điều 43-44; Điều 45</x:v>
      </x:c>
      <x:c r="J17" s="14" t="str">
        <x:v>P1</x:v>
      </x:c>
      <x:c r="K17" s="14" t="str">
        <x:v>Chưa bắt đầu</x:v>
      </x:c>
      <x:c r="L17" s="14" t="str"/>
      <x:c r="M17" s="14" t="str">
        <x:v>Báo cáo đánh giá tác động; văn bản ý kiến VATM; bản vẽ, tọa độ, cao độ; biên bản phối hợp</x:v>
      </x:c>
      <x:c r="N17" s="14" t="str">
        <x:v>Tổng 7 nhiệm vụ liên quan.</x:v>
      </x:c>
    </x:row>
    <x:row r="18">
      <x:c r="A18" s="14" t="str">
        <x:v>PROC-0017</x:v>
      </x:c>
      <x:c r="B18" s="14" t="str">
        <x:v>VATM-0011; VATM-0012; VATM-0013; VATM-0014; VATM-0015; VATM-0016; VATM-0017</x:v>
      </x:c>
      <x:c r="C18" s="14" t="str">
        <x:v>Quản lý khai thác cảng/sân bay</x:v>
      </x:c>
      <x:c r="D18" s="14" t="str">
        <x:v>Công trình, chướng ngại và thi công</x:v>
      </x:c>
      <x:c r="E18" s="14" t="str">
        <x:v>quy trình tham gia dự án đầu tư tại cảng</x:v>
      </x:c>
      <x:c r="F18" s="14" t="str">
        <x:v>Quy trình/SOP</x:v>
      </x:c>
      <x:c r="G18" s="14" t="str">
        <x:v>Ban Kế hoạch - Đầu tư; Ban Không lưu; Ban Kỹ thuật - CNS/IT/Môi trường; Văn phòng - Pháp chế</x:v>
      </x:c>
      <x:c r="H18" s="14" t="str">
        <x:v>Các Công ty Quản lý bay khu vực Bắc/Trung/Nam; Ban Kế hoạch - Đầu tư; Ban Không lưu; Ban Kỹ thuật - CNS/IT/Môi trường</x:v>
      </x:c>
      <x:c r="I18" s="14" t="str">
        <x:v>Điều 30-34; Điều 35-36; Điều 37-39; Điều 40; Điều 41-42; Điều 43-44; Điều 45</x:v>
      </x:c>
      <x:c r="J18" s="14" t="str">
        <x:v>P1</x:v>
      </x:c>
      <x:c r="K18" s="14" t="str">
        <x:v>Chưa bắt đầu</x:v>
      </x:c>
      <x:c r="L18" s="14" t="str"/>
      <x:c r="M18" s="14" t="str">
        <x:v>Báo cáo đánh giá tác động; văn bản ý kiến VATM; bản vẽ, tọa độ, cao độ; biên bản phối hợp</x:v>
      </x:c>
      <x:c r="N18" s="14" t="str">
        <x:v>Tổng 7 nhiệm vụ liên quan.</x:v>
      </x:c>
    </x:row>
    <x:row r="19">
      <x:c r="A19" s="14" t="str">
        <x:v>PROC-0018</x:v>
      </x:c>
      <x:c r="B19" s="14" t="str">
        <x:v>VATM-0011; VATM-0012; VATM-0013; VATM-0014; VATM-0015; VATM-0016; VATM-0017</x:v>
      </x:c>
      <x:c r="C19" s="14" t="str">
        <x:v>Quản lý khai thác cảng/sân bay</x:v>
      </x:c>
      <x:c r="D19" s="14" t="str">
        <x:v>Công trình, chướng ngại và thi công</x:v>
      </x:c>
      <x:c r="E19" s="14" t="str">
        <x:v>Mẫu báo cáo đánh giá tác động ANS</x:v>
      </x:c>
      <x:c r="F19" s="14" t="str">
        <x:v>Biểu mẫu/Checklist</x:v>
      </x:c>
      <x:c r="G19" s="14" t="str">
        <x:v>Ban Kế hoạch - Đầu tư; Ban Không lưu; Ban Kỹ thuật - CNS/IT/Môi trường; Văn phòng - Pháp chế</x:v>
      </x:c>
      <x:c r="H19" s="14" t="str">
        <x:v>Các Công ty Quản lý bay khu vực Bắc/Trung/Nam; Ban Kế hoạch - Đầu tư; Ban Không lưu; Ban Kỹ thuật - CNS/IT/Môi trường</x:v>
      </x:c>
      <x:c r="I19" s="14" t="str">
        <x:v>Điều 30-34; Điều 35-36; Điều 37-39; Điều 40; Điều 41-42; Điều 43-44; Điều 45</x:v>
      </x:c>
      <x:c r="J19" s="14" t="str">
        <x:v>P1</x:v>
      </x:c>
      <x:c r="K19" s="14" t="str">
        <x:v>Chưa bắt đầu</x:v>
      </x:c>
      <x:c r="L19" s="14" t="str"/>
      <x:c r="M19" s="14" t="str">
        <x:v>Báo cáo đánh giá tác động; văn bản ý kiến VATM; bản vẽ, tọa độ, cao độ; biên bản phối hợp</x:v>
      </x:c>
      <x:c r="N19" s="14" t="str">
        <x:v>Tổng 7 nhiệm vụ liên quan.</x:v>
      </x:c>
    </x:row>
    <x:row r="20">
      <x:c r="A20" s="14" t="str">
        <x:v>PROC-0019</x:v>
      </x:c>
      <x:c r="B20" s="14" t="str">
        <x:v>VATM-0011; VATM-0012; VATM-0013; VATM-0014; VATM-0015; VATM-0016; VATM-0017</x:v>
      </x:c>
      <x:c r="C20" s="14" t="str">
        <x:v>Quản lý khai thác cảng/sân bay</x:v>
      </x:c>
      <x:c r="D20" s="14" t="str">
        <x:v>Công trình, chướng ngại và thi công</x:v>
      </x:c>
      <x:c r="E20" s="14" t="str">
        <x:v>checklist tĩnh không-CNS-phương thức bay</x:v>
      </x:c>
      <x:c r="F20" s="14" t="str">
        <x:v>Biểu mẫu/Checklist</x:v>
      </x:c>
      <x:c r="G20" s="14" t="str">
        <x:v>Ban Kế hoạch - Đầu tư; Ban Không lưu; Ban Kỹ thuật - CNS/IT/Môi trường; Văn phòng - Pháp chế</x:v>
      </x:c>
      <x:c r="H20" s="14" t="str">
        <x:v>Các Công ty Quản lý bay khu vực Bắc/Trung/Nam; Ban Kế hoạch - Đầu tư; Ban Không lưu; Ban Kỹ thuật - CNS/IT/Môi trường</x:v>
      </x:c>
      <x:c r="I20" s="14" t="str">
        <x:v>Điều 30-34; Điều 35-36; Điều 37-39; Điều 40; Điều 41-42; Điều 43-44; Điều 45</x:v>
      </x:c>
      <x:c r="J20" s="14" t="str">
        <x:v>P1</x:v>
      </x:c>
      <x:c r="K20" s="14" t="str">
        <x:v>Chưa bắt đầu</x:v>
      </x:c>
      <x:c r="L20" s="14" t="str"/>
      <x:c r="M20" s="14" t="str">
        <x:v>Báo cáo đánh giá tác động; văn bản ý kiến VATM; bản vẽ, tọa độ, cao độ; biên bản phối hợp</x:v>
      </x:c>
      <x:c r="N20" s="14" t="str">
        <x:v>Tổng 7 nhiệm vụ liên quan.</x:v>
      </x:c>
    </x:row>
    <x:row r="21">
      <x:c r="A21" s="14" t="str">
        <x:v>PROC-0020</x:v>
      </x:c>
      <x:c r="B21" s="14" t="str">
        <x:v>VATM-0018; VATM-0019; VATM-0020; VATM-0021; VATM-0022</x:v>
      </x:c>
      <x:c r="C21" s="14" t="str">
        <x:v>Tài chính - Kế hoạch đầu tư</x:v>
      </x:c>
      <x:c r="D21" s="14" t="str">
        <x:v>Phí, thanh toán, hợp đồng và billing</x:v>
      </x:c>
      <x:c r="E21" s="14" t="str">
        <x:v>Quy trình phối hợp với người khai thác cảng và doanh nghiệp dịch vụ tại cảng</x:v>
      </x:c>
      <x:c r="F21" s="14" t="str">
        <x:v>Quy trình/SOP</x:v>
      </x:c>
      <x:c r="G21" s="14" t="str">
        <x:v>Ban Tài chính; Văn phòng - Pháp chế; Ban Không lưu; Ban Kỹ thuật - CNS/IT/Môi trường; Các Công ty Quản lý bay khu vực Bắc/Trung/Nam</x:v>
      </x:c>
      <x:c r="H21" s="14" t="str">
        <x:v>Ban Tài chính; Ban Kế hoạch - Đầu tư</x:v>
      </x:c>
      <x:c r="I21" s="14" t="str">
        <x:v>Điều 46-49; Điều 50; Điều 51-56; Điều 57; Điều 58-59</x:v>
      </x:c>
      <x:c r="J21" s="14" t="str">
        <x:v>P1</x:v>
      </x:c>
      <x:c r="K21" s="14" t="str">
        <x:v>Chưa bắt đầu</x:v>
      </x:c>
      <x:c r="L21" s="14" t="str"/>
      <x:c r="M21" s="14" t="str">
        <x:v>Quy chế phối hợp; biên bản hiệp đồng; báo cáo sự kiện; văn bản cảnh báo; NOTAM/AIP nếu có</x:v>
      </x:c>
      <x:c r="N21" s="14" t="str">
        <x:v>Tổng 5 nhiệm vụ liên quan.</x:v>
      </x:c>
    </x:row>
    <x:row r="22">
      <x:c r="A22" s="14" t="str">
        <x:v>PROC-0021</x:v>
      </x:c>
      <x:c r="B22" s="14" t="str">
        <x:v>VATM-0018; VATM-0019; VATM-0020; VATM-0021; VATM-0022</x:v>
      </x:c>
      <x:c r="C22" s="14" t="str">
        <x:v>Tài chính - Kế hoạch đầu tư</x:v>
      </x:c>
      <x:c r="D22" s="14" t="str">
        <x:v>Phí, thanh toán, hợp đồng và billing</x:v>
      </x:c>
      <x:c r="E22" s="14" t="str">
        <x:v>Mẫu phiếu phát hiện nguy cơ từ hoạt động dịch vụ/quảng cáo tại cảng</x:v>
      </x:c>
      <x:c r="F22" s="14" t="str">
        <x:v>Biểu mẫu/Checklist</x:v>
      </x:c>
      <x:c r="G22" s="14" t="str">
        <x:v>Ban Tài chính; Văn phòng - Pháp chế; Ban Không lưu; Ban Kỹ thuật - CNS/IT/Môi trường; Các Công ty Quản lý bay khu vực Bắc/Trung/Nam</x:v>
      </x:c>
      <x:c r="H22" s="14" t="str">
        <x:v>Ban Tài chính; Ban Kế hoạch - Đầu tư</x:v>
      </x:c>
      <x:c r="I22" s="14" t="str">
        <x:v>Điều 46-49; Điều 50; Điều 51-56; Điều 57; Điều 58-59</x:v>
      </x:c>
      <x:c r="J22" s="14" t="str">
        <x:v>P1</x:v>
      </x:c>
      <x:c r="K22" s="14" t="str">
        <x:v>Chưa bắt đầu</x:v>
      </x:c>
      <x:c r="L22" s="14" t="str"/>
      <x:c r="M22" s="14" t="str">
        <x:v>Quy chế phối hợp; biên bản hiệp đồng; báo cáo sự kiện; văn bản cảnh báo; NOTAM/AIP nếu có</x:v>
      </x:c>
      <x:c r="N22" s="14" t="str">
        <x:v>Tổng 5 nhiệm vụ liên quan.</x:v>
      </x:c>
    </x:row>
    <x:row r="23">
      <x:c r="A23" s="14" t="str">
        <x:v>PROC-0022</x:v>
      </x:c>
      <x:c r="B23" s="14" t="str">
        <x:v>VATM-0023; VATM-0024; VATM-0025; VATM-0026; VATM-0027; VATM-0028; VATM-0029; VATM-0030; VATM-0031; VATM-0032; VATM-0033; VATM-0034; VATM-0035; VATM-0036; VATM-0037; ...</x:v>
      </x:c>
      <x:c r="C23" s="14" t="str">
        <x:v>Quản lý khai thác cảng/sân bay</x:v>
      </x:c>
      <x:c r="D23" s="14" t="str">
        <x:v>Công trình, chướng ngại và thi công</x:v>
      </x:c>
      <x:c r="E23" s="14" t="str">
        <x:v>Quy trình quản lý thay đổi ATM/CNS/AIS</x:v>
      </x:c>
      <x:c r="F23" s="14" t="str">
        <x:v>Quy trình/SOP</x:v>
      </x:c>
      <x:c r="G23" s="14" t="str">
        <x:v>Ban Kế hoạch - Đầu tư; Ban Không lưu; Ban Kỹ thuật - CNS/IT/Môi trường; Ban An toàn - Chất lượng; Trung tâm Thông báo tin tức hàng không; Các Công ty Quản lý bay khu vực Bắc/Trung/Nam</x:v>
      </x:c>
      <x:c r="H23" s="14" t="str">
        <x:v>Các Công ty Quản lý bay khu vực Bắc/Trung/Nam; Ban Kế hoạch - Đầu tư; Ban Không lưu; Ban Kỹ thuật - CNS/IT/Môi trường</x:v>
      </x:c>
      <x:c r="I23" s="14" t="str">
        <x:v>Điều 60; Điều 61; Điều 62; Điều 63-64; Điều 65; Điều 66-68; Điều 69; Điều 70; ...</x:v>
      </x:c>
      <x:c r="J23" s="14" t="str">
        <x:v>P1</x:v>
      </x:c>
      <x:c r="K23" s="14" t="str">
        <x:v>Chưa bắt đầu</x:v>
      </x:c>
      <x:c r="L23" s="14" t="str"/>
      <x:c r="M23" s="14" t="str">
        <x:v>Văn bản ý kiến VATM; safety assessment; phương án giảm thiểu; NOTAM/AIP/AIC; biên bản họp; nhật ký giám sát; tài liệu khai thác công trình</x:v>
      </x:c>
      <x:c r="N23" s="14" t="str">
        <x:v>Tổng 16 nhiệm vụ liên quan.</x:v>
      </x:c>
    </x:row>
    <x:row r="24">
      <x:c r="A24" s="14" t="str">
        <x:v>PROC-0023</x:v>
      </x:c>
      <x:c r="B24" s="14" t="str">
        <x:v>VATM-0023; VATM-0024; VATM-0025; VATM-0026; VATM-0027; VATM-0028; VATM-0029; VATM-0030; VATM-0031; VATM-0032; VATM-0033; VATM-0034; VATM-0035; VATM-0036; VATM-0037; ...</x:v>
      </x:c>
      <x:c r="C24" s="14" t="str">
        <x:v>Quản lý khai thác cảng/sân bay</x:v>
      </x:c>
      <x:c r="D24" s="14" t="str">
        <x:v>Công trình, chướng ngại và thi công</x:v>
      </x:c>
      <x:c r="E24" s="14" t="str">
        <x:v>quy trình đánh giá an toàn</x:v>
      </x:c>
      <x:c r="F24" s="14" t="str">
        <x:v>Quy trình/SOP</x:v>
      </x:c>
      <x:c r="G24" s="14" t="str">
        <x:v>Ban Kế hoạch - Đầu tư; Ban Không lưu; Ban Kỹ thuật - CNS/IT/Môi trường; Ban An toàn - Chất lượng; Trung tâm Thông báo tin tức hàng không; Các Công ty Quản lý bay khu vực Bắc/Trung/Nam</x:v>
      </x:c>
      <x:c r="H24" s="14" t="str">
        <x:v>Các Công ty Quản lý bay khu vực Bắc/Trung/Nam; Ban Kế hoạch - Đầu tư; Ban Không lưu; Ban Kỹ thuật - CNS/IT/Môi trường</x:v>
      </x:c>
      <x:c r="I24" s="14" t="str">
        <x:v>Điều 60; Điều 61; Điều 62; Điều 63-64; Điều 65; Điều 66-68; Điều 69; Điều 70; ...</x:v>
      </x:c>
      <x:c r="J24" s="14" t="str">
        <x:v>P1</x:v>
      </x:c>
      <x:c r="K24" s="14" t="str">
        <x:v>Chưa bắt đầu</x:v>
      </x:c>
      <x:c r="L24" s="14" t="str"/>
      <x:c r="M24" s="14" t="str">
        <x:v>Văn bản ý kiến VATM; safety assessment; phương án giảm thiểu; NOTAM/AIP/AIC; biên bản họp; nhật ký giám sát; tài liệu khai thác công trình</x:v>
      </x:c>
      <x:c r="N24" s="14" t="str">
        <x:v>Tổng 16 nhiệm vụ liên quan.</x:v>
      </x:c>
    </x:row>
    <x:row r="25">
      <x:c r="A25" s="14" t="str">
        <x:v>PROC-0024</x:v>
      </x:c>
      <x:c r="B25" s="14" t="str">
        <x:v>VATM-0023; VATM-0024; VATM-0025; VATM-0026; VATM-0027; VATM-0028; VATM-0029; VATM-0030; VATM-0031; VATM-0032; VATM-0033; VATM-0034; VATM-0035; VATM-0036; VATM-0037; ...</x:v>
      </x:c>
      <x:c r="C25" s="14" t="str">
        <x:v>Quản lý khai thác cảng/sân bay</x:v>
      </x:c>
      <x:c r="D25" s="14" t="str">
        <x:v>Công trình, chướng ngại và thi công</x:v>
      </x:c>
      <x:c r="E25" s="14" t="str">
        <x:v>quy trình NOTAM/AIP</x:v>
      </x:c>
      <x:c r="F25" s="14" t="str">
        <x:v>Quy trình/SOP</x:v>
      </x:c>
      <x:c r="G25" s="14" t="str">
        <x:v>Ban Kế hoạch - Đầu tư; Ban Không lưu; Ban Kỹ thuật - CNS/IT/Môi trường; Ban An toàn - Chất lượng; Trung tâm Thông báo tin tức hàng không; Các Công ty Quản lý bay khu vực Bắc/Trung/Nam</x:v>
      </x:c>
      <x:c r="H25" s="14" t="str">
        <x:v>Các Công ty Quản lý bay khu vực Bắc/Trung/Nam; Ban Kế hoạch - Đầu tư; Ban Không lưu; Ban Kỹ thuật - CNS/IT/Môi trường</x:v>
      </x:c>
      <x:c r="I25" s="14" t="str">
        <x:v>Điều 60; Điều 61; Điều 62; Điều 63-64; Điều 65; Điều 66-68; Điều 69; Điều 70; ...</x:v>
      </x:c>
      <x:c r="J25" s="14" t="str">
        <x:v>P1</x:v>
      </x:c>
      <x:c r="K25" s="14" t="str">
        <x:v>Chưa bắt đầu</x:v>
      </x:c>
      <x:c r="L25" s="14" t="str"/>
      <x:c r="M25" s="14" t="str">
        <x:v>Văn bản ý kiến VATM; safety assessment; phương án giảm thiểu; NOTAM/AIP/AIC; biên bản họp; nhật ký giám sát; tài liệu khai thác công trình; Safety assessment; biên bản hiệp đồng; checklist; NOTAM/AIP; tài liệu khai thác cập nhật</x:v>
      </x:c>
      <x:c r="N25" s="14" t="str">
        <x:v>Tổng 35 nhiệm vụ liên quan.</x:v>
      </x:c>
    </x:row>
    <x:row r="26">
      <x:c r="A26" s="14" t="str">
        <x:v>PROC-0025</x:v>
      </x:c>
      <x:c r="B26" s="14" t="str">
        <x:v>VATM-0023; VATM-0024; VATM-0025; VATM-0026; VATM-0027; VATM-0028; VATM-0029; VATM-0030; VATM-0031; VATM-0032; VATM-0033; VATM-0034; VATM-0035; VATM-0036; VATM-0037; ...</x:v>
      </x:c>
      <x:c r="C26" s="14" t="str">
        <x:v>Quản lý khai thác cảng/sân bay</x:v>
      </x:c>
      <x:c r="D26" s="14" t="str">
        <x:v>Công trình, chướng ngại và thi công</x:v>
      </x:c>
      <x:c r="E26" s="14" t="str">
        <x:v>quy trình quản lý thi công tại khu vực hoạt động bay</x:v>
      </x:c>
      <x:c r="F26" s="14" t="str">
        <x:v>Quy trình/SOP</x:v>
      </x:c>
      <x:c r="G26" s="14" t="str">
        <x:v>Ban Kế hoạch - Đầu tư; Ban Không lưu; Ban Kỹ thuật - CNS/IT/Môi trường; Ban An toàn - Chất lượng; Trung tâm Thông báo tin tức hàng không; Các Công ty Quản lý bay khu vực Bắc/Trung/Nam</x:v>
      </x:c>
      <x:c r="H26" s="14" t="str">
        <x:v>Các Công ty Quản lý bay khu vực Bắc/Trung/Nam; Ban Kế hoạch - Đầu tư; Ban Không lưu; Ban Kỹ thuật - CNS/IT/Môi trường</x:v>
      </x:c>
      <x:c r="I26" s="14" t="str">
        <x:v>Điều 60; Điều 61; Điều 62; Điều 63-64; Điều 65; Điều 66-68; Điều 69; Điều 70; ...</x:v>
      </x:c>
      <x:c r="J26" s="14" t="str">
        <x:v>P1</x:v>
      </x:c>
      <x:c r="K26" s="14" t="str">
        <x:v>Chưa bắt đầu</x:v>
      </x:c>
      <x:c r="L26" s="14" t="str"/>
      <x:c r="M26" s="14" t="str">
        <x:v>Văn bản ý kiến VATM; safety assessment; phương án giảm thiểu; NOTAM/AIP/AIC; biên bản họp; nhật ký giám sát; tài liệu khai thác công trình</x:v>
      </x:c>
      <x:c r="N26" s="14" t="str">
        <x:v>Tổng 16 nhiệm vụ liên quan.</x:v>
      </x:c>
    </x:row>
    <x:row r="27">
      <x:c r="A27" s="14" t="str">
        <x:v>PROC-0026</x:v>
      </x:c>
      <x:c r="B27" s="14" t="str">
        <x:v>VATM-0023; VATM-0024; VATM-0025; VATM-0026; VATM-0027; VATM-0028; VATM-0029; VATM-0030; VATM-0031; VATM-0032; VATM-0033; VATM-0034; VATM-0035; VATM-0036; VATM-0037; ...</x:v>
      </x:c>
      <x:c r="C27" s="14" t="str">
        <x:v>Quản lý khai thác cảng/sân bay</x:v>
      </x:c>
      <x:c r="D27" s="14" t="str">
        <x:v>Công trình, chướng ngại và thi công</x:v>
      </x:c>
      <x:c r="E27" s="14" t="str">
        <x:v>Mẫu safety assessment thi công</x:v>
      </x:c>
      <x:c r="F27" s="14" t="str">
        <x:v>Biểu mẫu/Checklist</x:v>
      </x:c>
      <x:c r="G27" s="14" t="str">
        <x:v>Ban Kế hoạch - Đầu tư; Ban Không lưu; Ban Kỹ thuật - CNS/IT/Môi trường; Ban An toàn - Chất lượng; Trung tâm Thông báo tin tức hàng không; Các Công ty Quản lý bay khu vực Bắc/Trung/Nam</x:v>
      </x:c>
      <x:c r="H27" s="14" t="str">
        <x:v>Các Công ty Quản lý bay khu vực Bắc/Trung/Nam; Ban Kế hoạch - Đầu tư; Ban Không lưu; Ban Kỹ thuật - CNS/IT/Môi trường</x:v>
      </x:c>
      <x:c r="I27" s="14" t="str">
        <x:v>Điều 60; Điều 61; Điều 62; Điều 63-64; Điều 65; Điều 66-68; Điều 69; Điều 70; ...</x:v>
      </x:c>
      <x:c r="J27" s="14" t="str">
        <x:v>P1</x:v>
      </x:c>
      <x:c r="K27" s="14" t="str">
        <x:v>Chưa bắt đầu</x:v>
      </x:c>
      <x:c r="L27" s="14" t="str"/>
      <x:c r="M27" s="14" t="str">
        <x:v>Văn bản ý kiến VATM; safety assessment; phương án giảm thiểu; NOTAM/AIP/AIC; biên bản họp; nhật ký giám sát; tài liệu khai thác công trình</x:v>
      </x:c>
      <x:c r="N27" s="14" t="str">
        <x:v>Tổng 16 nhiệm vụ liên quan.</x:v>
      </x:c>
    </x:row>
    <x:row r="28">
      <x:c r="A28" s="14" t="str">
        <x:v>PROC-0027</x:v>
      </x:c>
      <x:c r="B28" s="14" t="str">
        <x:v>VATM-0023; VATM-0024; VATM-0025; VATM-0026; VATM-0027; VATM-0028; VATM-0029; VATM-0030; VATM-0031; VATM-0032; VATM-0033; VATM-0034; VATM-0035; VATM-0036; VATM-0037; ...</x:v>
      </x:c>
      <x:c r="C28" s="14" t="str">
        <x:v>Quản lý khai thác cảng/sân bay</x:v>
      </x:c>
      <x:c r="D28" s="14" t="str">
        <x:v>Công trình, chướng ngại và thi công</x:v>
      </x:c>
      <x:c r="E28" s="14" t="str">
        <x:v>checklist ảnh hưởng CNS/ATM/AIS/MET</x:v>
      </x:c>
      <x:c r="F28" s="14" t="str">
        <x:v>Biểu mẫu/Checklist</x:v>
      </x:c>
      <x:c r="G28" s="14" t="str">
        <x:v>Ban Kế hoạch - Đầu tư; Ban Không lưu; Ban Kỹ thuật - CNS/IT/Môi trường; Ban An toàn - Chất lượng; Trung tâm Thông báo tin tức hàng không; Các Công ty Quản lý bay khu vực Bắc/Trung/Nam</x:v>
      </x:c>
      <x:c r="H28" s="14" t="str">
        <x:v>Các Công ty Quản lý bay khu vực Bắc/Trung/Nam; Ban Kế hoạch - Đầu tư; Ban Không lưu; Ban Kỹ thuật - CNS/IT/Môi trường</x:v>
      </x:c>
      <x:c r="I28" s="14" t="str">
        <x:v>Điều 60; Điều 61; Điều 62; Điều 63-64; Điều 65; Điều 66-68; Điều 69; Điều 70; ...</x:v>
      </x:c>
      <x:c r="J28" s="14" t="str">
        <x:v>P1</x:v>
      </x:c>
      <x:c r="K28" s="14" t="str">
        <x:v>Chưa bắt đầu</x:v>
      </x:c>
      <x:c r="L28" s="14" t="str"/>
      <x:c r="M28" s="14" t="str">
        <x:v>Văn bản ý kiến VATM; safety assessment; phương án giảm thiểu; NOTAM/AIP/AIC; biên bản họp; nhật ký giám sát; tài liệu khai thác công trình</x:v>
      </x:c>
      <x:c r="N28" s="14" t="str">
        <x:v>Tổng 16 nhiệm vụ liên quan.</x:v>
      </x:c>
    </x:row>
    <x:row r="29">
      <x:c r="A29" s="14" t="str">
        <x:v>PROC-0028</x:v>
      </x:c>
      <x:c r="B29" s="14" t="str">
        <x:v>VATM-0023; VATM-0024; VATM-0025; VATM-0026; VATM-0027; VATM-0028; VATM-0029; VATM-0030; VATM-0031; VATM-0032; VATM-0033; VATM-0034; VATM-0035; VATM-0036; VATM-0037; ...</x:v>
      </x:c>
      <x:c r="C29" s="14" t="str">
        <x:v>Quản lý khai thác cảng/sân bay</x:v>
      </x:c>
      <x:c r="D29" s="14" t="str">
        <x:v>Công trình, chướng ngại và thi công</x:v>
      </x:c>
      <x:c r="E29" s="14" t="str">
        <x:v>mẫu biên bản hiệp đồng đưa/dừng khai thác</x:v>
      </x:c>
      <x:c r="F29" s="14" t="str">
        <x:v>Biểu mẫu/Checklist</x:v>
      </x:c>
      <x:c r="G29" s="14" t="str">
        <x:v>Ban Kế hoạch - Đầu tư; Ban Không lưu; Ban Kỹ thuật - CNS/IT/Môi trường; Ban An toàn - Chất lượng; Trung tâm Thông báo tin tức hàng không; Các Công ty Quản lý bay khu vực Bắc/Trung/Nam</x:v>
      </x:c>
      <x:c r="H29" s="14" t="str">
        <x:v>Các Công ty Quản lý bay khu vực Bắc/Trung/Nam; Ban Kế hoạch - Đầu tư; Ban Không lưu; Ban Kỹ thuật - CNS/IT/Môi trường</x:v>
      </x:c>
      <x:c r="I29" s="14" t="str">
        <x:v>Điều 60; Điều 61; Điều 62; Điều 63-64; Điều 65; Điều 66-68; Điều 69; Điều 70; ...</x:v>
      </x:c>
      <x:c r="J29" s="14" t="str">
        <x:v>P1</x:v>
      </x:c>
      <x:c r="K29" s="14" t="str">
        <x:v>Chưa bắt đầu</x:v>
      </x:c>
      <x:c r="L29" s="14" t="str"/>
      <x:c r="M29" s="14" t="str">
        <x:v>Văn bản ý kiến VATM; safety assessment; phương án giảm thiểu; NOTAM/AIP/AIC; biên bản họp; nhật ký giám sát; tài liệu khai thác công trình</x:v>
      </x:c>
      <x:c r="N29" s="14" t="str">
        <x:v>Tổng 16 nhiệm vụ liên quan.</x:v>
      </x:c>
    </x:row>
    <x:row r="30">
      <x:c r="A30" s="14" t="str">
        <x:v>PROC-0029</x:v>
      </x:c>
      <x:c r="B30" s="14" t="str">
        <x:v>VATM-0023; VATM-0024; VATM-0025; VATM-0026; VATM-0027; VATM-0028; VATM-0029; VATM-0030; VATM-0031; VATM-0032; VATM-0033; VATM-0034; VATM-0035; VATM-0036; VATM-0037; ...</x:v>
      </x:c>
      <x:c r="C30" s="14" t="str">
        <x:v>Quản lý khai thác cảng/sân bay</x:v>
      </x:c>
      <x:c r="D30" s="14" t="str">
        <x:v>Công trình, chướng ngại và thi công</x:v>
      </x:c>
      <x:c r="E30" s="14" t="str">
        <x:v>mẫu yêu cầu NOTAM</x:v>
      </x:c>
      <x:c r="F30" s="14" t="str">
        <x:v>Biểu mẫu/Checklist</x:v>
      </x:c>
      <x:c r="G30" s="14" t="str">
        <x:v>Ban Kế hoạch - Đầu tư; Ban Không lưu; Ban Kỹ thuật - CNS/IT/Môi trường; Ban An toàn - Chất lượng; Trung tâm Thông báo tin tức hàng không; Các Công ty Quản lý bay khu vực Bắc/Trung/Nam</x:v>
      </x:c>
      <x:c r="H30" s="14" t="str">
        <x:v>Các Công ty Quản lý bay khu vực Bắc/Trung/Nam; Ban Kế hoạch - Đầu tư; Ban Không lưu; Ban Kỹ thuật - CNS/IT/Môi trường</x:v>
      </x:c>
      <x:c r="I30" s="14" t="str">
        <x:v>Điều 60; Điều 61; Điều 62; Điều 63-64; Điều 65; Điều 66-68; Điều 69; Điều 70; ...</x:v>
      </x:c>
      <x:c r="J30" s="14" t="str">
        <x:v>P1</x:v>
      </x:c>
      <x:c r="K30" s="14" t="str">
        <x:v>Chưa bắt đầu</x:v>
      </x:c>
      <x:c r="L30" s="14" t="str"/>
      <x:c r="M30" s="14" t="str">
        <x:v>Văn bản ý kiến VATM; safety assessment; phương án giảm thiểu; NOTAM/AIP/AIC; biên bản họp; nhật ký giám sát; tài liệu khai thác công trình</x:v>
      </x:c>
      <x:c r="N30" s="14" t="str">
        <x:v>Tổng 16 nhiệm vụ liên quan.</x:v>
      </x:c>
    </x:row>
    <x:row r="31">
      <x:c r="A31" s="14" t="str">
        <x:v>PROC-0030</x:v>
      </x:c>
      <x:c r="B31" s="14" t="str">
        <x:v>VATM-0039; VATM-0040</x:v>
      </x:c>
      <x:c r="C31" s="14" t="str">
        <x:v>Quản lý khai thác cảng/sân bay</x:v>
      </x:c>
      <x:c r="D31" s="14" t="str">
        <x:v>Công trình, chướng ngại và thi công</x:v>
      </x:c>
      <x:c r="E31" s="14" t="str">
        <x:v>Quy trình phối hợp thông báo tin tức HK đối với bãi cất hạ cánh</x:v>
      </x:c>
      <x:c r="F31" s="14" t="str">
        <x:v>Quy trình/SOP</x:v>
      </x:c>
      <x:c r="G31" s="14" t="str">
        <x:v>Ban Kế hoạch - Đầu tư; Ban Không lưu; Ban Kỹ thuật - CNS/IT/Môi trường; Trung tâm Khí tượng hàng không; Trung tâm Thông báo tin tức hàng không; Trung tâm Tìm kiếm cứu nạn hàng không</x:v>
      </x:c>
      <x:c r="H31" s="14" t="str">
        <x:v>Các Công ty Quản lý bay khu vực Bắc/Trung/Nam; Ban Kế hoạch - Đầu tư; Ban Không lưu; Ban Kỹ thuật - CNS/IT/Môi trường</x:v>
      </x:c>
      <x:c r="I31" s="14" t="str">
        <x:v>Điều 79; Điều 80-85</x:v>
      </x:c>
      <x:c r="J31" s="14" t="str">
        <x:v>P1</x:v>
      </x:c>
      <x:c r="K31" s="14" t="str">
        <x:v>Chưa bắt đầu</x:v>
      </x:c>
      <x:c r="L31" s="14" t="str"/>
      <x:c r="M31" s="14" t="str">
        <x:v>Văn bản ý kiến; NOTAM/AIP SUP nếu có; kế hoạch hiệp đồng; hồ sơ tọa độ/cao độ</x:v>
      </x:c>
      <x:c r="N31" s="14" t="str">
        <x:v>Tổng 2 nhiệm vụ liên quan.</x:v>
      </x:c>
    </x:row>
    <x:row r="32">
      <x:c r="A32" s="14" t="str">
        <x:v>PROC-0031</x:v>
      </x:c>
      <x:c r="B32" s="14" t="str">
        <x:v>VATM-0039; VATM-0040</x:v>
      </x:c>
      <x:c r="C32" s="14" t="str">
        <x:v>Quản lý khai thác cảng/sân bay</x:v>
      </x:c>
      <x:c r="D32" s="14" t="str">
        <x:v>Công trình, chướng ngại và thi công</x:v>
      </x:c>
      <x:c r="E32" s="14" t="str">
        <x:v>Mẫu rà soát bãi cất hạ cánh theo ANS</x:v>
      </x:c>
      <x:c r="F32" s="14" t="str">
        <x:v>Biểu mẫu/Checklist</x:v>
      </x:c>
      <x:c r="G32" s="14" t="str">
        <x:v>Ban Kế hoạch - Đầu tư; Ban Không lưu; Ban Kỹ thuật - CNS/IT/Môi trường; Trung tâm Khí tượng hàng không; Trung tâm Thông báo tin tức hàng không; Trung tâm Tìm kiếm cứu nạn hàng không</x:v>
      </x:c>
      <x:c r="H32" s="14" t="str">
        <x:v>Các Công ty Quản lý bay khu vực Bắc/Trung/Nam; Ban Kế hoạch - Đầu tư; Ban Không lưu; Ban Kỹ thuật - CNS/IT/Môi trường</x:v>
      </x:c>
      <x:c r="I32" s="14" t="str">
        <x:v>Điều 79; Điều 80-85</x:v>
      </x:c>
      <x:c r="J32" s="14" t="str">
        <x:v>P1</x:v>
      </x:c>
      <x:c r="K32" s="14" t="str">
        <x:v>Chưa bắt đầu</x:v>
      </x:c>
      <x:c r="L32" s="14" t="str"/>
      <x:c r="M32" s="14" t="str">
        <x:v>Văn bản ý kiến; NOTAM/AIP SUP nếu có; kế hoạch hiệp đồng; hồ sơ tọa độ/cao độ</x:v>
      </x:c>
      <x:c r="N32" s="14" t="str">
        <x:v>Tổng 2 nhiệm vụ liên quan.</x:v>
      </x:c>
    </x:row>
    <x:row r="33">
      <x:c r="A33" s="14" t="str">
        <x:v>PROC-0032</x:v>
      </x:c>
      <x:c r="B33" s="14" t="str">
        <x:v>VATM-0041; VATM-0042; VATM-0043; VATM-0044</x:v>
      </x:c>
      <x:c r="C33" s="14" t="str">
        <x:v>Tuân thủ, pháp chế &amp; quản trị</x:v>
      </x:c>
      <x:c r="D33" s="14" t="str">
        <x:v>Rà soát văn bản, quy trình và GAP</x:v>
      </x:c>
      <x:c r="E33" s="14" t="str">
        <x:v>Quy trình điều hành phối hợp tại sân bay dùng chung</x:v>
      </x:c>
      <x:c r="F33" s="14" t="str">
        <x:v>Quy trình/SOP</x:v>
      </x:c>
      <x:c r="G33" s="14" t="str">
        <x:v>Văn phòng - Pháp chế; Ban Không lưu; Ban Kỹ thuật - CNS/IT/Môi trường; Các Công ty Quản lý bay khu vực Bắc/Trung/Nam</x:v>
      </x:c>
      <x:c r="H33" s="14" t="str">
        <x:v>Văn phòng - Pháp chế</x:v>
      </x:c>
      <x:c r="I33" s="14" t="str">
        <x:v>Điều 86; Điều 87; Điều 88; Điều 89</x:v>
      </x:c>
      <x:c r="J33" s="14" t="str">
        <x:v>P1</x:v>
      </x:c>
      <x:c r="K33" s="14" t="str">
        <x:v>Chưa bắt đầu</x:v>
      </x:c>
      <x:c r="L33" s="14" t="str"/>
      <x:c r="M33" s="14" t="str">
        <x:v>Quy chế/hiệp đồng; danh mục phương tiện; hồ sơ kiểm định; biên bản phối hợp quân-dân dụng</x:v>
      </x:c>
      <x:c r="N33" s="14" t="str">
        <x:v>Tổng 4 nhiệm vụ liên quan.</x:v>
      </x:c>
    </x:row>
    <x:row r="34">
      <x:c r="A34" s="14" t="str">
        <x:v>PROC-0033</x:v>
      </x:c>
      <x:c r="B34" s="14" t="str">
        <x:v>VATM-0041; VATM-0042; VATM-0043; VATM-0044</x:v>
      </x:c>
      <x:c r="C34" s="14" t="str">
        <x:v>Tuân thủ, pháp chế &amp; quản trị</x:v>
      </x:c>
      <x:c r="D34" s="14" t="str">
        <x:v>Rà soát văn bản, quy trình và GAP</x:v>
      </x:c>
      <x:c r="E34" s="14" t="str">
        <x:v>quy trình quản lý phương tiện VATM trong sân bay</x:v>
      </x:c>
      <x:c r="F34" s="14" t="str">
        <x:v>Quy trình/SOP</x:v>
      </x:c>
      <x:c r="G34" s="14" t="str">
        <x:v>Văn phòng - Pháp chế; Ban Không lưu; Ban Kỹ thuật - CNS/IT/Môi trường; Các Công ty Quản lý bay khu vực Bắc/Trung/Nam</x:v>
      </x:c>
      <x:c r="H34" s="14" t="str">
        <x:v>Văn phòng - Pháp chế</x:v>
      </x:c>
      <x:c r="I34" s="14" t="str">
        <x:v>Điều 86; Điều 87; Điều 88; Điều 89</x:v>
      </x:c>
      <x:c r="J34" s="14" t="str">
        <x:v>P1</x:v>
      </x:c>
      <x:c r="K34" s="14" t="str">
        <x:v>Chưa bắt đầu</x:v>
      </x:c>
      <x:c r="L34" s="14" t="str"/>
      <x:c r="M34" s="14" t="str">
        <x:v>Quy chế/hiệp đồng; danh mục phương tiện; hồ sơ kiểm định; biên bản phối hợp quân-dân dụng</x:v>
      </x:c>
      <x:c r="N34" s="14" t="str">
        <x:v>Tổng 4 nhiệm vụ liên quan.</x:v>
      </x:c>
    </x:row>
    <x:row r="35">
      <x:c r="A35" s="14" t="str">
        <x:v>PROC-0034</x:v>
      </x:c>
      <x:c r="B35" s="14" t="str">
        <x:v>VATM-0041; VATM-0042; VATM-0043; VATM-0044</x:v>
      </x:c>
      <x:c r="C35" s="14" t="str">
        <x:v>Tuân thủ, pháp chế &amp; quản trị</x:v>
      </x:c>
      <x:c r="D35" s="14" t="str">
        <x:v>Rà soát văn bản, quy trình và GAP</x:v>
      </x:c>
      <x:c r="E35" s="14" t="str">
        <x:v>Mẫu hiệp đồng quản lý khu vực dùng chung</x:v>
      </x:c>
      <x:c r="F35" s="14" t="str">
        <x:v>Biểu mẫu/Checklist</x:v>
      </x:c>
      <x:c r="G35" s="14" t="str">
        <x:v>Văn phòng - Pháp chế; Ban Không lưu; Ban Kỹ thuật - CNS/IT/Môi trường; Các Công ty Quản lý bay khu vực Bắc/Trung/Nam</x:v>
      </x:c>
      <x:c r="H35" s="14" t="str">
        <x:v>Văn phòng - Pháp chế</x:v>
      </x:c>
      <x:c r="I35" s="14" t="str">
        <x:v>Điều 86; Điều 87; Điều 88; Điều 89</x:v>
      </x:c>
      <x:c r="J35" s="14" t="str">
        <x:v>P1</x:v>
      </x:c>
      <x:c r="K35" s="14" t="str">
        <x:v>Chưa bắt đầu</x:v>
      </x:c>
      <x:c r="L35" s="14" t="str"/>
      <x:c r="M35" s="14" t="str">
        <x:v>Quy chế/hiệp đồng; danh mục phương tiện; hồ sơ kiểm định; biên bản phối hợp quân-dân dụng</x:v>
      </x:c>
      <x:c r="N35" s="14" t="str">
        <x:v>Tổng 4 nhiệm vụ liên quan.</x:v>
      </x:c>
    </x:row>
    <x:row r="36">
      <x:c r="A36" s="14" t="str">
        <x:v>PROC-0035</x:v>
      </x:c>
      <x:c r="B36" s="14" t="str">
        <x:v>VATM-0041; VATM-0042; VATM-0043; VATM-0044</x:v>
      </x:c>
      <x:c r="C36" s="14" t="str">
        <x:v>Tuân thủ, pháp chế &amp; quản trị</x:v>
      </x:c>
      <x:c r="D36" s="14" t="str">
        <x:v>Rà soát văn bản, quy trình và GAP</x:v>
      </x:c>
      <x:c r="E36" s="14" t="str">
        <x:v>checklist phương tiện chuyên ngành VATM</x:v>
      </x:c>
      <x:c r="F36" s="14" t="str">
        <x:v>Biểu mẫu/Checklist</x:v>
      </x:c>
      <x:c r="G36" s="14" t="str">
        <x:v>Văn phòng - Pháp chế; Ban Không lưu; Ban Kỹ thuật - CNS/IT/Môi trường; Các Công ty Quản lý bay khu vực Bắc/Trung/Nam</x:v>
      </x:c>
      <x:c r="H36" s="14" t="str">
        <x:v>Văn phòng - Pháp chế</x:v>
      </x:c>
      <x:c r="I36" s="14" t="str">
        <x:v>Điều 86; Điều 87; Điều 88; Điều 89</x:v>
      </x:c>
      <x:c r="J36" s="14" t="str">
        <x:v>P1</x:v>
      </x:c>
      <x:c r="K36" s="14" t="str">
        <x:v>Chưa bắt đầu</x:v>
      </x:c>
      <x:c r="L36" s="14" t="str"/>
      <x:c r="M36" s="14" t="str">
        <x:v>Quy chế/hiệp đồng; danh mục phương tiện; hồ sơ kiểm định; biên bản phối hợp quân-dân dụng</x:v>
      </x:c>
      <x:c r="N36" s="14" t="str">
        <x:v>Tổng 4 nhiệm vụ liên quan.</x:v>
      </x:c>
    </x:row>
    <x:row r="37">
      <x:c r="A37" s="14" t="str">
        <x:v>PROC-0036</x:v>
      </x:c>
      <x:c r="B37" s="14" t="str">
        <x:v>VATM-0045; VATM-0046; VATM-0047; VATM-0048; VATM-0049</x:v>
      </x:c>
      <x:c r="C37" s="14" t="str">
        <x:v>Tuân thủ, pháp chế &amp; quản trị</x:v>
      </x:c>
      <x:c r="D37" s="14" t="str">
        <x:v>Rà soát văn bản, quy trình và GAP</x:v>
      </x:c>
      <x:c r="E37" s="14" t="str">
        <x:v>Quy trình cập nhật văn bản QPPL</x:v>
      </x:c>
      <x:c r="F37" s="14" t="str">
        <x:v>Quy trình/SOP</x:v>
      </x:c>
      <x:c r="G37" s="14" t="str">
        <x:v>Văn phòng - Pháp chế; Ban Kế hoạch - Đầu tư</x:v>
      </x:c>
      <x:c r="H37" s="14" t="str">
        <x:v>Văn phòng - Pháp chế</x:v>
      </x:c>
      <x:c r="I37" s="14" t="str">
        <x:v>Điều 90; Điều 91; Điều 92; Điều 93; Điều 94</x:v>
      </x:c>
      <x:c r="J37" s="14" t="str">
        <x:v>P1</x:v>
      </x:c>
      <x:c r="K37" s="14" t="str">
        <x:v>Chưa bắt đầu</x:v>
      </x:c>
      <x:c r="L37" s="14" t="str"/>
      <x:c r="M37" s="14" t="str">
        <x:v>Kế hoạch tuân thủ; bảng rà soát văn bản nội bộ; danh mục hồ sơ chuyển tiếp; báo cáo pháp chế</x:v>
      </x:c>
      <x:c r="N37" s="14" t="str">
        <x:v>Tổng 5 nhiệm vụ liên quan.</x:v>
      </x:c>
    </x:row>
    <x:row r="38">
      <x:c r="A38" s="14" t="str">
        <x:v>PROC-0037</x:v>
      </x:c>
      <x:c r="B38" s="14" t="str">
        <x:v>VATM-0045; VATM-0046; VATM-0047; VATM-0048; VATM-0049</x:v>
      </x:c>
      <x:c r="C38" s="14" t="str">
        <x:v>Tuân thủ, pháp chế &amp; quản trị</x:v>
      </x:c>
      <x:c r="D38" s="14" t="str">
        <x:v>Rà soát văn bản, quy trình và GAP</x:v>
      </x:c>
      <x:c r="E38" s="14" t="str">
        <x:v>quy trình kiểm soát tuân thủ pháp luật</x:v>
      </x:c>
      <x:c r="F38" s="14" t="str">
        <x:v>Quy trình/SOP</x:v>
      </x:c>
      <x:c r="G38" s="14" t="str">
        <x:v>Văn phòng - Pháp chế; Ban Kế hoạch - Đầu tư</x:v>
      </x:c>
      <x:c r="H38" s="14" t="str">
        <x:v>Văn phòng - Pháp chế</x:v>
      </x:c>
      <x:c r="I38" s="14" t="str">
        <x:v>Điều 90; Điều 91; Điều 92; Điều 93; Điều 94</x:v>
      </x:c>
      <x:c r="J38" s="14" t="str">
        <x:v>P1</x:v>
      </x:c>
      <x:c r="K38" s="14" t="str">
        <x:v>Chưa bắt đầu</x:v>
      </x:c>
      <x:c r="L38" s="14" t="str"/>
      <x:c r="M38" s="14" t="str">
        <x:v>Kế hoạch tuân thủ; bảng rà soát văn bản nội bộ; danh mục hồ sơ chuyển tiếp; báo cáo pháp chế</x:v>
      </x:c>
      <x:c r="N38" s="14" t="str">
        <x:v>Tổng 5 nhiệm vụ liên quan.</x:v>
      </x:c>
    </x:row>
    <x:row r="39">
      <x:c r="A39" s="14" t="str">
        <x:v>PROC-0038</x:v>
      </x:c>
      <x:c r="B39" s="14" t="str">
        <x:v>VATM-0045; VATM-0046; VATM-0047; VATM-0048; VATM-0049</x:v>
      </x:c>
      <x:c r="C39" s="14" t="str">
        <x:v>Tuân thủ, pháp chế &amp; quản trị</x:v>
      </x:c>
      <x:c r="D39" s="14" t="str">
        <x:v>Rà soát văn bản, quy trình và GAP</x:v>
      </x:c>
      <x:c r="E39" s="14" t="str">
        <x:v>Mẫu bảng chuyển tiếp pháp lý NĐ205</x:v>
      </x:c>
      <x:c r="F39" s="14" t="str">
        <x:v>Biểu mẫu/Checklist</x:v>
      </x:c>
      <x:c r="G39" s="14" t="str">
        <x:v>Văn phòng - Pháp chế; Ban Kế hoạch - Đầu tư</x:v>
      </x:c>
      <x:c r="H39" s="14" t="str">
        <x:v>Văn phòng - Pháp chế</x:v>
      </x:c>
      <x:c r="I39" s="14" t="str">
        <x:v>Điều 90; Điều 91; Điều 92; Điều 93; Điều 94</x:v>
      </x:c>
      <x:c r="J39" s="14" t="str">
        <x:v>P1</x:v>
      </x:c>
      <x:c r="K39" s="14" t="str">
        <x:v>Chưa bắt đầu</x:v>
      </x:c>
      <x:c r="L39" s="14" t="str"/>
      <x:c r="M39" s="14" t="str">
        <x:v>Kế hoạch tuân thủ; bảng rà soát văn bản nội bộ; danh mục hồ sơ chuyển tiếp; báo cáo pháp chế</x:v>
      </x:c>
      <x:c r="N39" s="14" t="str">
        <x:v>Tổng 5 nhiệm vụ liên quan.</x:v>
      </x:c>
    </x:row>
    <x:row r="40">
      <x:c r="A40" s="14" t="str">
        <x:v>PROC-0039</x:v>
      </x:c>
      <x:c r="B40" s="14" t="str">
        <x:v>VATM-0045; VATM-0046; VATM-0047; VATM-0048; VATM-0049</x:v>
      </x:c>
      <x:c r="C40" s="14" t="str">
        <x:v>Tuân thủ, pháp chế &amp; quản trị</x:v>
      </x:c>
      <x:c r="D40" s="14" t="str">
        <x:v>Rà soát văn bản, quy trình và GAP</x:v>
      </x:c>
      <x:c r="E40" s="14" t="str">
        <x:v>checklist cập nhật căn cứ văn bản</x:v>
      </x:c>
      <x:c r="F40" s="14" t="str">
        <x:v>Biểu mẫu/Checklist</x:v>
      </x:c>
      <x:c r="G40" s="14" t="str">
        <x:v>Văn phòng - Pháp chế; Ban Kế hoạch - Đầu tư</x:v>
      </x:c>
      <x:c r="H40" s="14" t="str">
        <x:v>Văn phòng - Pháp chế</x:v>
      </x:c>
      <x:c r="I40" s="14" t="str">
        <x:v>Điều 90; Điều 91; Điều 92; Điều 93; Điều 94</x:v>
      </x:c>
      <x:c r="J40" s="14" t="str">
        <x:v>P1</x:v>
      </x:c>
      <x:c r="K40" s="14" t="str">
        <x:v>Chưa bắt đầu</x:v>
      </x:c>
      <x:c r="L40" s="14" t="str"/>
      <x:c r="M40" s="14" t="str">
        <x:v>Kế hoạch tuân thủ; bảng rà soát văn bản nội bộ; danh mục hồ sơ chuyển tiếp; báo cáo pháp chế</x:v>
      </x:c>
      <x:c r="N40" s="14" t="str">
        <x:v>Tổng 5 nhiệm vụ liên quan.</x:v>
      </x:c>
    </x:row>
    <x:row r="41">
      <x:c r="A41" s="14" t="str">
        <x:v>PROC-0040</x:v>
      </x:c>
      <x:c r="B41" s="14" t="str">
        <x:v>VATM-0050; VATM-0051; VATM-0052; VATM-0053; VATM-0054; VATM-0055; VATM-0056; VATM-0057; VATM-0115; VATM-0116; VATM-0117; VATM-0118; VATM-0119; VATM-0120; VATM-0121; ...</x:v>
      </x:c>
      <x:c r="C41" s="14" t="str">
        <x:v>Quản lý khai thác cảng/sân bay</x:v>
      </x:c>
      <x:c r="D41" s="14" t="str">
        <x:v>Công trình, chướng ngại và thi công</x:v>
      </x:c>
      <x:c r="E41" s="14" t="str">
        <x:v>SOP cơ sở</x:v>
      </x:c>
      <x:c r="F41" s="14" t="str">
        <x:v>Quy trình/SOP</x:v>
      </x:c>
      <x:c r="G41" s="14" t="str">
        <x:v>Ban Kế hoạch - Đầu tư; Ban Không lưu; Ban Kỹ thuật - CNS/IT/Môi trường; Ban An toàn - Chất lượng; Trung tâm Thông báo tin tức hàng không; Các Công ty Quản lý bay khu vực Bắc/Trung/Nam</x:v>
      </x:c>
      <x:c r="H41" s="14" t="str">
        <x:v>Các Công ty Quản lý bay khu vực Bắc/Trung/Nam; Ban Kế hoạch - Đầu tư; Ban Không lưu; Ban Kỹ thuật - CNS/IT/Môi trường</x:v>
      </x:c>
      <x:c r="I41" s="14" t="str">
        <x:v>Các Điều 60-78, 86-89; Điều 60; Điều 61; Điều 62; Điều 63; Điều 64; Điều 65; Điều 66; ...</x:v>
      </x:c>
      <x:c r="J41" s="14" t="str">
        <x:v>P1</x:v>
      </x:c>
      <x:c r="K41" s="14" t="str">
        <x:v>Chưa bắt đầu</x:v>
      </x:c>
      <x:c r="L41" s="14" t="str"/>
      <x:c r="M41" s="14" t="str">
        <x:v>LOA/SOP sửa đổi; log briefing; checklist kiểm tra; báo cáo sau thay đổi; Safety assessment; biên bản hiệp đồng; checklist; NOTAM/AIP; tài liệu khai thác cập nhật</x:v>
      </x:c>
      <x:c r="N41" s="14" t="str">
        <x:v>Tổng 27 nhiệm vụ liên quan.</x:v>
      </x:c>
    </x:row>
    <x:row r="42">
      <x:c r="A42" s="14" t="str">
        <x:v>PROC-0041</x:v>
      </x:c>
      <x:c r="B42" s="14" t="str">
        <x:v>VATM-0050; VATM-0051; VATM-0052; VATM-0053; VATM-0054; VATM-0055; VATM-0056; VATM-0057</x:v>
      </x:c>
      <x:c r="C42" s="14" t="str">
        <x:v>ANS - ATM/ATS/ATFM</x:v>
      </x:c>
      <x:c r="D42" s="14" t="str">
        <x:v>Phối hợp ATS với cảng/sân bay</x:v>
      </x:c>
      <x:c r="E42" s="14" t="str">
        <x:v>quy trình briefing thay đổi</x:v>
      </x:c>
      <x:c r="F42" s="14" t="str">
        <x:v>Quy trình/SOP</x:v>
      </x:c>
      <x:c r="G42" s="14" t="str">
        <x:v>Ban Không lưu</x:v>
      </x:c>
      <x:c r="H42" s="14" t="str">
        <x:v>Các Công ty Quản lý bay khu vực Bắc/Trung/Nam; Ban Không lưu</x:v>
      </x:c>
      <x:c r="I42" s="14" t="str">
        <x:v>Các Điều 60-78, 86-89</x:v>
      </x:c>
      <x:c r="J42" s="14" t="str">
        <x:v>P1</x:v>
      </x:c>
      <x:c r="K42" s="14" t="str">
        <x:v>Chưa bắt đầu</x:v>
      </x:c>
      <x:c r="L42" s="14" t="str"/>
      <x:c r="M42" s="14" t="str">
        <x:v>LOA/SOP sửa đổi; log briefing; checklist kiểm tra; báo cáo sau thay đổi</x:v>
      </x:c>
      <x:c r="N42" s="14" t="str">
        <x:v>Tổng 8 nhiệm vụ liên quan.</x:v>
      </x:c>
    </x:row>
    <x:row r="43">
      <x:c r="A43" s="14" t="str">
        <x:v>PROC-0042</x:v>
      </x:c>
      <x:c r="B43" s="14" t="str">
        <x:v>VATM-0050; VATM-0051; VATM-0052; VATM-0053; VATM-0054; VATM-0055; VATM-0056; VATM-0057</x:v>
      </x:c>
      <x:c r="C43" s="14" t="str">
        <x:v>ANS - ATM/ATS/ATFM</x:v>
      </x:c>
      <x:c r="D43" s="14" t="str">
        <x:v>Phối hợp ATS với cảng/sân bay</x:v>
      </x:c>
      <x:c r="E43" s="14" t="str">
        <x:v>quy trình hậu kiểm</x:v>
      </x:c>
      <x:c r="F43" s="14" t="str">
        <x:v>Quy trình/SOP</x:v>
      </x:c>
      <x:c r="G43" s="14" t="str">
        <x:v>Ban Không lưu</x:v>
      </x:c>
      <x:c r="H43" s="14" t="str">
        <x:v>Các Công ty Quản lý bay khu vực Bắc/Trung/Nam; Ban Không lưu</x:v>
      </x:c>
      <x:c r="I43" s="14" t="str">
        <x:v>Các Điều 60-78, 86-89</x:v>
      </x:c>
      <x:c r="J43" s="14" t="str">
        <x:v>P1</x:v>
      </x:c>
      <x:c r="K43" s="14" t="str">
        <x:v>Chưa bắt đầu</x:v>
      </x:c>
      <x:c r="L43" s="14" t="str"/>
      <x:c r="M43" s="14" t="str">
        <x:v>LOA/SOP sửa đổi; log briefing; checklist kiểm tra; báo cáo sau thay đổi</x:v>
      </x:c>
      <x:c r="N43" s="14" t="str">
        <x:v>Tổng 8 nhiệm vụ liên quan.</x:v>
      </x:c>
    </x:row>
    <x:row r="44">
      <x:c r="A44" s="14" t="str">
        <x:v>PROC-0043</x:v>
      </x:c>
      <x:c r="B44" s="14" t="str">
        <x:v>VATM-0050; VATM-0051; VATM-0052; VATM-0053; VATM-0054; VATM-0055; VATM-0056; VATM-0057</x:v>
      </x:c>
      <x:c r="C44" s="14" t="str">
        <x:v>ANS - ATM/ATS/ATFM</x:v>
      </x:c>
      <x:c r="D44" s="14" t="str">
        <x:v>Phối hợp ATS với cảng/sân bay</x:v>
      </x:c>
      <x:c r="E44" s="14" t="str">
        <x:v>Mẫu briefing thay đổi khai thác tại cảng</x:v>
      </x:c>
      <x:c r="F44" s="14" t="str">
        <x:v>Biểu mẫu/Checklist</x:v>
      </x:c>
      <x:c r="G44" s="14" t="str">
        <x:v>Ban Không lưu</x:v>
      </x:c>
      <x:c r="H44" s="14" t="str">
        <x:v>Các Công ty Quản lý bay khu vực Bắc/Trung/Nam; Ban Không lưu</x:v>
      </x:c>
      <x:c r="I44" s="14" t="str">
        <x:v>Các Điều 60-78, 86-89</x:v>
      </x:c>
      <x:c r="J44" s="14" t="str">
        <x:v>P1</x:v>
      </x:c>
      <x:c r="K44" s="14" t="str">
        <x:v>Chưa bắt đầu</x:v>
      </x:c>
      <x:c r="L44" s="14" t="str"/>
      <x:c r="M44" s="14" t="str">
        <x:v>LOA/SOP sửa đổi; log briefing; checklist kiểm tra; báo cáo sau thay đổi</x:v>
      </x:c>
      <x:c r="N44" s="14" t="str">
        <x:v>Tổng 8 nhiệm vụ liên quan.</x:v>
      </x:c>
    </x:row>
    <x:row r="45">
      <x:c r="A45" s="14" t="str">
        <x:v>PROC-0044</x:v>
      </x:c>
      <x:c r="B45" s="14" t="str">
        <x:v>VATM-0050; VATM-0051; VATM-0052; VATM-0053; VATM-0054; VATM-0055; VATM-0056; VATM-0057</x:v>
      </x:c>
      <x:c r="C45" s="14" t="str">
        <x:v>ANS - ATM/ATS/ATFM</x:v>
      </x:c>
      <x:c r="D45" s="14" t="str">
        <x:v>Phối hợp ATS với cảng/sân bay</x:v>
      </x:c>
      <x:c r="E45" s="14" t="str">
        <x:v>checklist cơ sở ANS</x:v>
      </x:c>
      <x:c r="F45" s="14" t="str">
        <x:v>Biểu mẫu/Checklist</x:v>
      </x:c>
      <x:c r="G45" s="14" t="str">
        <x:v>Ban Không lưu</x:v>
      </x:c>
      <x:c r="H45" s="14" t="str">
        <x:v>Các Công ty Quản lý bay khu vực Bắc/Trung/Nam; Ban Không lưu</x:v>
      </x:c>
      <x:c r="I45" s="14" t="str">
        <x:v>Các Điều 60-78, 86-89</x:v>
      </x:c>
      <x:c r="J45" s="14" t="str">
        <x:v>P1</x:v>
      </x:c>
      <x:c r="K45" s="14" t="str">
        <x:v>Chưa bắt đầu</x:v>
      </x:c>
      <x:c r="L45" s="14" t="str"/>
      <x:c r="M45" s="14" t="str">
        <x:v>LOA/SOP sửa đổi; log briefing; checklist kiểm tra; báo cáo sau thay đổi</x:v>
      </x:c>
      <x:c r="N45" s="14" t="str">
        <x:v>Tổng 8 nhiệm vụ liên quan.</x:v>
      </x:c>
    </x:row>
    <x:row r="46">
      <x:c r="A46" s="14" t="str">
        <x:v>PROC-0045</x:v>
      </x:c>
      <x:c r="B46" s="14" t="str">
        <x:v>VATM-0058</x:v>
      </x:c>
      <x:c r="C46" s="14" t="str">
        <x:v>Tuân thủ, pháp chế &amp; quản trị</x:v>
      </x:c>
      <x:c r="D46" s="14" t="str">
        <x:v>Rà soát văn bản, quy trình và GAP</x:v>
      </x:c>
      <x:c r="E46" s="14" t="str">
        <x:v>SMS-MOC</x:v>
      </x:c>
      <x:c r="F46" s="14" t="str">
        <x:v>Khác</x:v>
      </x:c>
      <x:c r="G46" s="14" t="str">
        <x:v>Văn phòng - Pháp chế; Ban An toàn - Chất lượng</x:v>
      </x:c>
      <x:c r="H46" s="14" t="str">
        <x:v>Văn phòng - Pháp chế</x:v>
      </x:c>
      <x:c r="I46" s="14" t="str">
        <x:v>Điều 60-78</x:v>
      </x:c>
      <x:c r="J46" s="14" t="str">
        <x:v>P1</x:v>
      </x:c>
      <x:c r="K46" s="14" t="str">
        <x:v>Chưa bắt đầu</x:v>
      </x:c>
      <x:c r="L46" s="14" t="str"/>
      <x:c r="M46" s="14" t="str">
        <x:v>Quyết định sửa đổi quy trình; tài liệu đào tạo; biên bản nghiệm thu quy trình</x:v>
      </x:c>
      <x:c r="N46" s="14" t="str">
        <x:v>Tổng 1 nhiệm vụ liên quan.</x:v>
      </x:c>
    </x:row>
    <x:row r="47">
      <x:c r="A47" s="14" t="str">
        <x:v>PROC-0046</x:v>
      </x:c>
      <x:c r="B47" s="14" t="str">
        <x:v>VATM-0058; VATM-0059; VATM-0060; VATM-0061; VATM-0062; VATM-0063; VATM-0064; VATM-0065; VATM-0066; VATM-0067</x:v>
      </x:c>
      <x:c r="C47" s="14" t="str">
        <x:v>Tuân thủ, pháp chế &amp; quản trị</x:v>
      </x:c>
      <x:c r="D47" s="14" t="str">
        <x:v>Rà soát văn bản, quy trình và GAP</x:v>
      </x:c>
      <x:c r="E47" s="14" t="str">
        <x:v>Phụ lục biểu mẫu kèm quy trình</x:v>
      </x:c>
      <x:c r="F47" s="14" t="str">
        <x:v>Quy trình/SOP</x:v>
      </x:c>
      <x:c r="G47" s="14" t="str">
        <x:v>Văn phòng - Pháp chế; Ban An toàn - Chất lượng</x:v>
      </x:c>
      <x:c r="H47" s="14" t="str">
        <x:v>Văn phòng - Pháp chế</x:v>
      </x:c>
      <x:c r="I47" s="14" t="str">
        <x:v>Điều 60-78; Điều 59, 73-78, 87; Điều 65, 69-71, 79-85; Điều 69-71, 73-78, 80-85; Điều 18, 37-45, 72-78; Điều 86-89; Điều 92-93; Điều 7, 50, 56, 72-78; ...</x:v>
      </x:c>
      <x:c r="J47" s="14" t="str">
        <x:v>P1</x:v>
      </x:c>
      <x:c r="K47" s="14" t="str">
        <x:v>Chưa bắt đầu</x:v>
      </x:c>
      <x:c r="L47" s="14" t="str"/>
      <x:c r="M47" s="14" t="str">
        <x:v>Quyết định sửa đổi quy trình; tài liệu đào tạo; biên bản nghiệm thu quy trình</x:v>
      </x:c>
      <x:c r="N47" s="14" t="str">
        <x:v>Tổng 10 nhiệm vụ liên quan.</x:v>
      </x:c>
    </x:row>
    <x:row r="48">
      <x:c r="A48" s="14" t="str">
        <x:v>PROC-0047</x:v>
      </x:c>
      <x:c r="B48" s="14" t="str">
        <x:v>VATM-0059</x:v>
      </x:c>
      <x:c r="C48" s="14" t="str">
        <x:v>Tuân thủ, pháp chế &amp; quản trị</x:v>
      </x:c>
      <x:c r="D48" s="14" t="str">
        <x:v>Rà soát văn bản, quy trình và GAP</x:v>
      </x:c>
      <x:c r="E48" s="14" t="str">
        <x:v>SMS-HIRA</x:v>
      </x:c>
      <x:c r="F48" s="14" t="str">
        <x:v>Khác</x:v>
      </x:c>
      <x:c r="G48" s="14" t="str">
        <x:v>Văn phòng - Pháp chế; Ban An toàn - Chất lượng</x:v>
      </x:c>
      <x:c r="H48" s="14" t="str">
        <x:v>Văn phòng - Pháp chế</x:v>
      </x:c>
      <x:c r="I48" s="14" t="str">
        <x:v>Điều 59, 73-78, 87</x:v>
      </x:c>
      <x:c r="J48" s="14" t="str">
        <x:v>P1</x:v>
      </x:c>
      <x:c r="K48" s="14" t="str">
        <x:v>Chưa bắt đầu</x:v>
      </x:c>
      <x:c r="L48" s="14" t="str"/>
      <x:c r="M48" s="14" t="str">
        <x:v>Quyết định sửa đổi quy trình; tài liệu đào tạo; biên bản nghiệm thu quy trình</x:v>
      </x:c>
      <x:c r="N48" s="14" t="str">
        <x:v>Tổng 1 nhiệm vụ liên quan.</x:v>
      </x:c>
    </x:row>
    <x:row r="49">
      <x:c r="A49" s="14" t="str">
        <x:v>PROC-0048</x:v>
      </x:c>
      <x:c r="B49" s="14" t="str">
        <x:v>VATM-0060</x:v>
      </x:c>
      <x:c r="C49" s="14" t="str">
        <x:v>Tuân thủ, pháp chế &amp; quản trị</x:v>
      </x:c>
      <x:c r="D49" s="14" t="str">
        <x:v>Rà soát văn bản, quy trình và GAP</x:v>
      </x:c>
      <x:c r="E49" s="14" t="str">
        <x:v>AIS-DATA</x:v>
      </x:c>
      <x:c r="F49" s="14" t="str">
        <x:v>Khác</x:v>
      </x:c>
      <x:c r="G49" s="14" t="str">
        <x:v>Văn phòng - Pháp chế; Ban An toàn - Chất lượng</x:v>
      </x:c>
      <x:c r="H49" s="14" t="str">
        <x:v>Văn phòng - Pháp chế</x:v>
      </x:c>
      <x:c r="I49" s="14" t="str">
        <x:v>Điều 65, 69-71, 79-85</x:v>
      </x:c>
      <x:c r="J49" s="14" t="str">
        <x:v>P1</x:v>
      </x:c>
      <x:c r="K49" s="14" t="str">
        <x:v>Chưa bắt đầu</x:v>
      </x:c>
      <x:c r="L49" s="14" t="str"/>
      <x:c r="M49" s="14" t="str">
        <x:v>Quyết định sửa đổi quy trình; tài liệu đào tạo; biên bản nghiệm thu quy trình</x:v>
      </x:c>
      <x:c r="N49" s="14" t="str">
        <x:v>Tổng 1 nhiệm vụ liên quan.</x:v>
      </x:c>
    </x:row>
    <x:row r="50">
      <x:c r="A50" s="14" t="str">
        <x:v>PROC-0049</x:v>
      </x:c>
      <x:c r="B50" s="14" t="str">
        <x:v>VATM-0061</x:v>
      </x:c>
      <x:c r="C50" s="14" t="str">
        <x:v>Tuân thủ, pháp chế &amp; quản trị</x:v>
      </x:c>
      <x:c r="D50" s="14" t="str">
        <x:v>Rà soát văn bản, quy trình và GAP</x:v>
      </x:c>
      <x:c r="E50" s="14" t="str">
        <x:v>AIS-NOTAM</x:v>
      </x:c>
      <x:c r="F50" s="14" t="str">
        <x:v>Khác</x:v>
      </x:c>
      <x:c r="G50" s="14" t="str">
        <x:v>Văn phòng - Pháp chế; Ban An toàn - Chất lượng</x:v>
      </x:c>
      <x:c r="H50" s="14" t="str">
        <x:v>Văn phòng - Pháp chế</x:v>
      </x:c>
      <x:c r="I50" s="14" t="str">
        <x:v>Điều 69-71, 73-78, 80-85</x:v>
      </x:c>
      <x:c r="J50" s="14" t="str">
        <x:v>P1</x:v>
      </x:c>
      <x:c r="K50" s="14" t="str">
        <x:v>Chưa bắt đầu</x:v>
      </x:c>
      <x:c r="L50" s="14" t="str"/>
      <x:c r="M50" s="14" t="str">
        <x:v>Quyết định sửa đổi quy trình; tài liệu đào tạo; biên bản nghiệm thu quy trình</x:v>
      </x:c>
      <x:c r="N50" s="14" t="str">
        <x:v>Tổng 1 nhiệm vụ liên quan.</x:v>
      </x:c>
    </x:row>
    <x:row r="51">
      <x:c r="A51" s="14" t="str">
        <x:v>PROC-0050</x:v>
      </x:c>
      <x:c r="B51" s="14" t="str">
        <x:v>VATM-0062</x:v>
      </x:c>
      <x:c r="C51" s="14" t="str">
        <x:v>Tuân thủ, pháp chế &amp; quản trị</x:v>
      </x:c>
      <x:c r="D51" s="14" t="str">
        <x:v>Rà soát văn bản, quy trình và GAP</x:v>
      </x:c>
      <x:c r="E51" s="14" t="str">
        <x:v>CNS-PROTECT</x:v>
      </x:c>
      <x:c r="F51" s="14" t="str">
        <x:v>Khác</x:v>
      </x:c>
      <x:c r="G51" s="14" t="str">
        <x:v>Văn phòng - Pháp chế; Ban An toàn - Chất lượng</x:v>
      </x:c>
      <x:c r="H51" s="14" t="str">
        <x:v>Văn phòng - Pháp chế</x:v>
      </x:c>
      <x:c r="I51" s="14" t="str">
        <x:v>Điều 18, 37-45, 72-78</x:v>
      </x:c>
      <x:c r="J51" s="14" t="str">
        <x:v>P1</x:v>
      </x:c>
      <x:c r="K51" s="14" t="str">
        <x:v>Chưa bắt đầu</x:v>
      </x:c>
      <x:c r="L51" s="14" t="str"/>
      <x:c r="M51" s="14" t="str">
        <x:v>Quyết định sửa đổi quy trình; tài liệu đào tạo; biên bản nghiệm thu quy trình</x:v>
      </x:c>
      <x:c r="N51" s="14" t="str">
        <x:v>Tổng 1 nhiệm vụ liên quan.</x:v>
      </x:c>
    </x:row>
    <x:row r="52">
      <x:c r="A52" s="14" t="str">
        <x:v>PROC-0051</x:v>
      </x:c>
      <x:c r="B52" s="14" t="str">
        <x:v>VATM-0063</x:v>
      </x:c>
      <x:c r="C52" s="14" t="str">
        <x:v>Tuân thủ, pháp chế &amp; quản trị</x:v>
      </x:c>
      <x:c r="D52" s="14" t="str">
        <x:v>Rà soát văn bản, quy trình và GAP</x:v>
      </x:c>
      <x:c r="E52" s="14" t="str">
        <x:v>ATM-LOA</x:v>
      </x:c>
      <x:c r="F52" s="14" t="str">
        <x:v>Khác</x:v>
      </x:c>
      <x:c r="G52" s="14" t="str">
        <x:v>Văn phòng - Pháp chế; Ban An toàn - Chất lượng</x:v>
      </x:c>
      <x:c r="H52" s="14" t="str">
        <x:v>Văn phòng - Pháp chế</x:v>
      </x:c>
      <x:c r="I52" s="14" t="str">
        <x:v>Điều 86-89</x:v>
      </x:c>
      <x:c r="J52" s="14" t="str">
        <x:v>P1</x:v>
      </x:c>
      <x:c r="K52" s="14" t="str">
        <x:v>Chưa bắt đầu</x:v>
      </x:c>
      <x:c r="L52" s="14" t="str"/>
      <x:c r="M52" s="14" t="str">
        <x:v>Quyết định sửa đổi quy trình; tài liệu đào tạo; biên bản nghiệm thu quy trình</x:v>
      </x:c>
      <x:c r="N52" s="14" t="str">
        <x:v>Tổng 1 nhiệm vụ liên quan.</x:v>
      </x:c>
    </x:row>
    <x:row r="53">
      <x:c r="A53" s="14" t="str">
        <x:v>PROC-0052</x:v>
      </x:c>
      <x:c r="B53" s="14" t="str">
        <x:v>VATM-0064</x:v>
      </x:c>
      <x:c r="C53" s="14" t="str">
        <x:v>Tuân thủ, pháp chế &amp; quản trị</x:v>
      </x:c>
      <x:c r="D53" s="14" t="str">
        <x:v>Rà soát văn bản, quy trình và GAP</x:v>
      </x:c>
      <x:c r="E53" s="14" t="str">
        <x:v>LEGAL-COMPLIANCE</x:v>
      </x:c>
      <x:c r="F53" s="14" t="str">
        <x:v>Khác</x:v>
      </x:c>
      <x:c r="G53" s="14" t="str">
        <x:v>Văn phòng - Pháp chế; Ban An toàn - Chất lượng</x:v>
      </x:c>
      <x:c r="H53" s="14" t="str">
        <x:v>Văn phòng - Pháp chế</x:v>
      </x:c>
      <x:c r="I53" s="14" t="str">
        <x:v>Điều 92-93</x:v>
      </x:c>
      <x:c r="J53" s="14" t="str">
        <x:v>P1</x:v>
      </x:c>
      <x:c r="K53" s="14" t="str">
        <x:v>Chưa bắt đầu</x:v>
      </x:c>
      <x:c r="L53" s="14" t="str"/>
      <x:c r="M53" s="14" t="str">
        <x:v>Quyết định sửa đổi quy trình; tài liệu đào tạo; biên bản nghiệm thu quy trình</x:v>
      </x:c>
      <x:c r="N53" s="14" t="str">
        <x:v>Tổng 1 nhiệm vụ liên quan.</x:v>
      </x:c>
    </x:row>
    <x:row r="54">
      <x:c r="A54" s="14" t="str">
        <x:v>PROC-0053</x:v>
      </x:c>
      <x:c r="B54" s="14" t="str">
        <x:v>VATM-0065</x:v>
      </x:c>
      <x:c r="C54" s="14" t="str">
        <x:v>Tuân thủ, pháp chế &amp; quản trị</x:v>
      </x:c>
      <x:c r="D54" s="14" t="str">
        <x:v>Rà soát văn bản, quy trình và GAP</x:v>
      </x:c>
      <x:c r="E54" s="14" t="str">
        <x:v>CONTRACT-REVIEW</x:v>
      </x:c>
      <x:c r="F54" s="14" t="str">
        <x:v>Khác</x:v>
      </x:c>
      <x:c r="G54" s="14" t="str">
        <x:v>Văn phòng - Pháp chế; Ban An toàn - Chất lượng</x:v>
      </x:c>
      <x:c r="H54" s="14" t="str">
        <x:v>Văn phòng - Pháp chế</x:v>
      </x:c>
      <x:c r="I54" s="14" t="str">
        <x:v>Điều 7, 50, 56, 72-78</x:v>
      </x:c>
      <x:c r="J54" s="14" t="str">
        <x:v>P1</x:v>
      </x:c>
      <x:c r="K54" s="14" t="str">
        <x:v>Chưa bắt đầu</x:v>
      </x:c>
      <x:c r="L54" s="14" t="str"/>
      <x:c r="M54" s="14" t="str">
        <x:v>Quyết định sửa đổi quy trình; tài liệu đào tạo; biên bản nghiệm thu quy trình</x:v>
      </x:c>
      <x:c r="N54" s="14" t="str">
        <x:v>Tổng 1 nhiệm vụ liên quan.</x:v>
      </x:c>
    </x:row>
    <x:row r="55">
      <x:c r="A55" s="14" t="str">
        <x:v>PROC-0054</x:v>
      </x:c>
      <x:c r="B55" s="14" t="str">
        <x:v>VATM-0066</x:v>
      </x:c>
      <x:c r="C55" s="14" t="str">
        <x:v>Tuân thủ, pháp chế &amp; quản trị</x:v>
      </x:c>
      <x:c r="D55" s="14" t="str">
        <x:v>Rà soát văn bản, quy trình và GAP</x:v>
      </x:c>
      <x:c r="E55" s="14" t="str">
        <x:v>EMERGENCY-CONTINGENCY</x:v>
      </x:c>
      <x:c r="F55" s="14" t="str">
        <x:v>Khác</x:v>
      </x:c>
      <x:c r="G55" s="14" t="str">
        <x:v>Văn phòng - Pháp chế; Ban An toàn - Chất lượng</x:v>
      </x:c>
      <x:c r="H55" s="14" t="str">
        <x:v>Văn phòng - Pháp chế</x:v>
      </x:c>
      <x:c r="I55" s="14" t="str">
        <x:v>Điều 50, 69-78, 86</x:v>
      </x:c>
      <x:c r="J55" s="14" t="str">
        <x:v>P1</x:v>
      </x:c>
      <x:c r="K55" s="14" t="str">
        <x:v>Chưa bắt đầu</x:v>
      </x:c>
      <x:c r="L55" s="14" t="str"/>
      <x:c r="M55" s="14" t="str">
        <x:v>Quyết định sửa đổi quy trình; tài liệu đào tạo; biên bản nghiệm thu quy trình</x:v>
      </x:c>
      <x:c r="N55" s="14" t="str">
        <x:v>Tổng 1 nhiệm vụ liên quan.</x:v>
      </x:c>
    </x:row>
    <x:row r="56">
      <x:c r="A56" s="14" t="str">
        <x:v>PROC-0055</x:v>
      </x:c>
      <x:c r="B56" s="14" t="str">
        <x:v>VATM-0067</x:v>
      </x:c>
      <x:c r="C56" s="14" t="str">
        <x:v>Tuân thủ, pháp chế &amp; quản trị</x:v>
      </x:c>
      <x:c r="D56" s="14" t="str">
        <x:v>Rà soát văn bản, quy trình và GAP</x:v>
      </x:c>
      <x:c r="E56" s="14" t="str">
        <x:v>TRAINING-BRIEFING</x:v>
      </x:c>
      <x:c r="F56" s="14" t="str">
        <x:v>Khác</x:v>
      </x:c>
      <x:c r="G56" s="14" t="str">
        <x:v>Văn phòng - Pháp chế; Ban An toàn - Chất lượng</x:v>
      </x:c>
      <x:c r="H56" s="14" t="str">
        <x:v>Văn phòng - Pháp chế</x:v>
      </x:c>
      <x:c r="I56" s="14" t="str">
        <x:v>Điều 92-94</x:v>
      </x:c>
      <x:c r="J56" s="14" t="str">
        <x:v>P2</x:v>
      </x:c>
      <x:c r="K56" s="14" t="str">
        <x:v>Chưa bắt đầu</x:v>
      </x:c>
      <x:c r="L56" s="14" t="str"/>
      <x:c r="M56" s="14" t="str">
        <x:v>Quyết định sửa đổi quy trình; tài liệu đào tạo; biên bản nghiệm thu quy trình</x:v>
      </x:c>
      <x:c r="N56" s="14" t="str">
        <x:v>Tổng 1 nhiệm vụ liên quan.</x:v>
      </x:c>
    </x:row>
    <x:row r="57">
      <x:c r="A57" s="14" t="str">
        <x:v>PROC-0056</x:v>
      </x:c>
      <x:c r="B57" s="14" t="str">
        <x:v>VATM-0068; VATM-0069; VATM-0070; VATM-0071; VATM-0072; VATM-0073; VATM-0074; VATM-0075; VATM-0076; VATM-0077; VATM-0078; VATM-0079; VATM-0080; VATM-0081; VATM-0082; ...</x:v>
      </x:c>
      <x:c r="C57" s="14" t="str">
        <x:v>Tài chính - Kế hoạch đầu tư</x:v>
      </x:c>
      <x:c r="D57" s="14" t="str">
        <x:v>Phí, thanh toán, hợp đồng và billing</x:v>
      </x:c>
      <x:c r="E57" s="14" t="str">
        <x:v>Quy trình tham gia quy hoạch cảng hàng không</x:v>
      </x:c>
      <x:c r="F57" s="14" t="str">
        <x:v>Quy trình/SOP</x:v>
      </x:c>
      <x:c r="G57" s="14" t="str">
        <x:v>Ban Tài chính; Ban Kế hoạch - Đầu tư; Ban Không lưu; Ban Kỹ thuật - CNS/IT/Môi trường; Trung tâm Thông báo tin tức hàng không</x:v>
      </x:c>
      <x:c r="H57" s="14" t="str">
        <x:v>Ban Tài chính; Ban Kế hoạch - Đầu tư</x:v>
      </x:c>
      <x:c r="I57" s="14" t="str">
        <x:v>Điều 10; Điều 11; Điều 12; Điều 14; Điều 15; Điều 16; Điều 17; Điều 19; ...</x:v>
      </x:c>
      <x:c r="J57" s="14" t="str">
        <x:v>P1</x:v>
      </x:c>
      <x:c r="K57" s="14" t="str">
        <x:v>Chưa bắt đầu</x:v>
      </x:c>
      <x:c r="L57" s="14" t="str"/>
      <x:c r="M57" s="14" t="str">
        <x:v>Phiếu rà soát điều khoản; văn bản phản hồi; bộ dữ liệu đã cung cấp</x:v>
      </x:c>
      <x:c r="N57" s="14" t="str">
        <x:v>Tổng 18 nhiệm vụ liên quan.</x:v>
      </x:c>
    </x:row>
    <x:row r="58">
      <x:c r="A58" s="14" t="str">
        <x:v>PROC-0057</x:v>
      </x:c>
      <x:c r="B58" s="14" t="str">
        <x:v>VATM-0068; VATM-0069; VATM-0070; VATM-0071; VATM-0072; VATM-0073; VATM-0074; VATM-0075; VATM-0076; VATM-0077; VATM-0078; VATM-0079; VATM-0080; VATM-0081; VATM-0082; ...</x:v>
      </x:c>
      <x:c r="C58" s="14" t="str">
        <x:v>Tài chính - Kế hoạch đầu tư</x:v>
      </x:c>
      <x:c r="D58" s="14" t="str">
        <x:v>Phí, thanh toán, hợp đồng và billing</x:v>
      </x:c>
      <x:c r="E58" s="14" t="str">
        <x:v>Phiếu rà soát điều khoản quy hoạch NĐ205</x:v>
      </x:c>
      <x:c r="F58" s="14" t="str">
        <x:v>Khác</x:v>
      </x:c>
      <x:c r="G58" s="14" t="str">
        <x:v>Ban Tài chính; Ban Kế hoạch - Đầu tư; Ban Không lưu; Ban Kỹ thuật - CNS/IT/Môi trường; Trung tâm Thông báo tin tức hàng không</x:v>
      </x:c>
      <x:c r="H58" s="14" t="str">
        <x:v>Ban Tài chính; Ban Kế hoạch - Đầu tư</x:v>
      </x:c>
      <x:c r="I58" s="14" t="str">
        <x:v>Điều 10; Điều 11; Điều 12; Điều 14; Điều 15; Điều 16; Điều 17; Điều 19; ...</x:v>
      </x:c>
      <x:c r="J58" s="14" t="str">
        <x:v>P1</x:v>
      </x:c>
      <x:c r="K58" s="14" t="str">
        <x:v>Chưa bắt đầu</x:v>
      </x:c>
      <x:c r="L58" s="14" t="str"/>
      <x:c r="M58" s="14" t="str">
        <x:v>Phiếu rà soát điều khoản; văn bản phản hồi; bộ dữ liệu đã cung cấp</x:v>
      </x:c>
      <x:c r="N58" s="14" t="str">
        <x:v>Tổng 18 nhiệm vụ liên quan.</x:v>
      </x:c>
    </x:row>
    <x:row r="59">
      <x:c r="A59" s="14" t="str">
        <x:v>PROC-0058</x:v>
      </x:c>
      <x:c r="B59" s="14" t="str">
        <x:v>VATM-0086; VATM-0087; VATM-0088; VATM-0089; VATM-0090; VATM-0091; VATM-0092; VATM-0093; VATM-0094; VATM-0095; VATM-0096; VATM-0097; VATM-0098; VATM-0099; VATM-0100</x:v>
      </x:c>
      <x:c r="C59" s="14" t="str">
        <x:v>Quản lý khai thác cảng/sân bay</x:v>
      </x:c>
      <x:c r="D59" s="14" t="str">
        <x:v>Công trình, chướng ngại và thi công</x:v>
      </x:c>
      <x:c r="E59" s="14" t="str">
        <x:v>Quy trình đánh giá ảnh hưởng công trình/dự án</x:v>
      </x:c>
      <x:c r="F59" s="14" t="str">
        <x:v>Quy trình/SOP</x:v>
      </x:c>
      <x:c r="G59" s="14" t="str">
        <x:v>Ban Kế hoạch - Đầu tư; Ban Không lưu; Ban Kỹ thuật - CNS/IT/Môi trường</x:v>
      </x:c>
      <x:c r="H59" s="14" t="str">
        <x:v>Các Công ty Quản lý bay khu vực Bắc/Trung/Nam; Ban Kế hoạch - Đầu tư; Ban Không lưu; Ban Kỹ thuật - CNS/IT/Môi trường</x:v>
      </x:c>
      <x:c r="I59" s="14" t="str">
        <x:v>Điều 31; Điều 32; Điều 33; Điều 34; Điều 35; Điều 36; Điều 37; Điều 38; ...</x:v>
      </x:c>
      <x:c r="J59" s="14" t="str">
        <x:v>P1</x:v>
      </x:c>
      <x:c r="K59" s="14" t="str">
        <x:v>Chưa bắt đầu</x:v>
      </x:c>
      <x:c r="L59" s="14" t="str"/>
      <x:c r="M59" s="14" t="str">
        <x:v>Báo cáo đánh giá tác động; văn bản ý kiến; biên bản họp kỹ thuật</x:v>
      </x:c>
      <x:c r="N59" s="14" t="str">
        <x:v>Tổng 15 nhiệm vụ liên quan.</x:v>
      </x:c>
    </x:row>
    <x:row r="60">
      <x:c r="A60" s="14" t="str">
        <x:v>PROC-0059</x:v>
      </x:c>
      <x:c r="B60" s="14" t="str">
        <x:v>VATM-0086; VATM-0087; VATM-0088; VATM-0089; VATM-0090; VATM-0091; VATM-0092; VATM-0093; VATM-0094; VATM-0095; VATM-0096; VATM-0097; VATM-0098; VATM-0099; VATM-0100</x:v>
      </x:c>
      <x:c r="C60" s="14" t="str">
        <x:v>Quản lý khai thác cảng/sân bay</x:v>
      </x:c>
      <x:c r="D60" s="14" t="str">
        <x:v>Công trình, chướng ngại và thi công</x:v>
      </x:c>
      <x:c r="E60" s="14" t="str">
        <x:v>Checklist dự án đầu tư/xây dựng theo NĐ205</x:v>
      </x:c>
      <x:c r="F60" s="14" t="str">
        <x:v>Biểu mẫu/Checklist</x:v>
      </x:c>
      <x:c r="G60" s="14" t="str">
        <x:v>Ban Kế hoạch - Đầu tư; Ban Không lưu; Ban Kỹ thuật - CNS/IT/Môi trường</x:v>
      </x:c>
      <x:c r="H60" s="14" t="str">
        <x:v>Các Công ty Quản lý bay khu vực Bắc/Trung/Nam; Ban Kế hoạch - Đầu tư; Ban Không lưu; Ban Kỹ thuật - CNS/IT/Môi trường</x:v>
      </x:c>
      <x:c r="I60" s="14" t="str">
        <x:v>Điều 31; Điều 32; Điều 33; Điều 34; Điều 35; Điều 36; Điều 37; Điều 38; ...</x:v>
      </x:c>
      <x:c r="J60" s="14" t="str">
        <x:v>P1</x:v>
      </x:c>
      <x:c r="K60" s="14" t="str">
        <x:v>Chưa bắt đầu</x:v>
      </x:c>
      <x:c r="L60" s="14" t="str"/>
      <x:c r="M60" s="14" t="str">
        <x:v>Báo cáo đánh giá tác động; văn bản ý kiến; biên bản họp kỹ thuật</x:v>
      </x:c>
      <x:c r="N60" s="14" t="str">
        <x:v>Tổng 15 nhiệm vụ liên quan.</x:v>
      </x:c>
    </x:row>
    <x:row r="61">
      <x:c r="A61" s="14" t="str">
        <x:v>PROC-0060</x:v>
      </x:c>
      <x:c r="B61" s="14" t="str">
        <x:v>VATM-0101; VATM-0102; VATM-0103; VATM-0104; VATM-0105; VATM-0106; VATM-0107; VATM-0108; VATM-0109; VATM-0110; VATM-0111; VATM-0112; VATM-0113; VATM-0114</x:v>
      </x:c>
      <x:c r="C61" s="14" t="str">
        <x:v>Tài chính - Kế hoạch đầu tư</x:v>
      </x:c>
      <x:c r="D61" s="14" t="str">
        <x:v>Phí, thanh toán, hợp đồng và billing</x:v>
      </x:c>
      <x:c r="E61" s="14" t="str">
        <x:v>Quy trình phối hợp dịch vụ tại cảng</x:v>
      </x:c>
      <x:c r="F61" s="14" t="str">
        <x:v>Quy trình/SOP</x:v>
      </x:c>
      <x:c r="G61" s="14" t="str">
        <x:v>Ban Tài chính; Văn phòng - Pháp chế; Ban Không lưu; Các Công ty Quản lý bay khu vực Bắc/Trung/Nam</x:v>
      </x:c>
      <x:c r="H61" s="14" t="str">
        <x:v>Ban Tài chính; Ban Kế hoạch - Đầu tư</x:v>
      </x:c>
      <x:c r="I61" s="14" t="str">
        <x:v>Điều 46; Điều 47; Điều 48; Điều 49; Điều 50; Điều 51; Điều 52; Điều 53; ...</x:v>
      </x:c>
      <x:c r="J61" s="14" t="str">
        <x:v>P1</x:v>
      </x:c>
      <x:c r="K61" s="14" t="str">
        <x:v>Chưa bắt đầu</x:v>
      </x:c>
      <x:c r="L61" s="14" t="str"/>
      <x:c r="M61" s="14" t="str">
        <x:v>Văn bản phối hợp; biên bản họp; báo cáo ảnh hưởng khai thác; NOTAM nếu có</x:v>
      </x:c>
      <x:c r="N61" s="14" t="str">
        <x:v>Tổng 14 nhiệm vụ liên quan.</x:v>
      </x:c>
    </x:row>
    <x:row r="62">
      <x:c r="A62" s="14" t="str">
        <x:v>PROC-0061</x:v>
      </x:c>
      <x:c r="B62" s="14" t="str">
        <x:v>VATM-0101; VATM-0102; VATM-0103; VATM-0104; VATM-0105; VATM-0106; VATM-0107; VATM-0108; VATM-0109; VATM-0110; VATM-0111; VATM-0112; VATM-0113; VATM-0114</x:v>
      </x:c>
      <x:c r="C62" s="14" t="str">
        <x:v>Tài chính - Kế hoạch đầu tư</x:v>
      </x:c>
      <x:c r="D62" s="14" t="str">
        <x:v>Phí, thanh toán, hợp đồng và billing</x:v>
      </x:c>
      <x:c r="E62" s="14" t="str">
        <x:v>Phiếu rà soát ảnh hưởng dịch vụ tại cảng đến ANS</x:v>
      </x:c>
      <x:c r="F62" s="14" t="str">
        <x:v>Khác</x:v>
      </x:c>
      <x:c r="G62" s="14" t="str">
        <x:v>Ban Tài chính; Văn phòng - Pháp chế; Ban Không lưu; Các Công ty Quản lý bay khu vực Bắc/Trung/Nam</x:v>
      </x:c>
      <x:c r="H62" s="14" t="str">
        <x:v>Ban Tài chính; Ban Kế hoạch - Đầu tư</x:v>
      </x:c>
      <x:c r="I62" s="14" t="str">
        <x:v>Điều 46; Điều 47; Điều 48; Điều 49; Điều 50; Điều 51; Điều 52; Điều 53; ...</x:v>
      </x:c>
      <x:c r="J62" s="14" t="str">
        <x:v>P1</x:v>
      </x:c>
      <x:c r="K62" s="14" t="str">
        <x:v>Chưa bắt đầu</x:v>
      </x:c>
      <x:c r="L62" s="14" t="str"/>
      <x:c r="M62" s="14" t="str">
        <x:v>Văn bản phối hợp; biên bản họp; báo cáo ảnh hưởng khai thác; NOTAM nếu có</x:v>
      </x:c>
      <x:c r="N62" s="14" t="str">
        <x:v>Tổng 14 nhiệm vụ liên quan.</x:v>
      </x:c>
    </x:row>
    <x:row r="63">
      <x:c r="A63" s="14" t="str">
        <x:v>PROC-0062</x:v>
      </x:c>
      <x:c r="B63" s="14" t="str">
        <x:v>VATM-0115; VATM-0116; VATM-0117; VATM-0118; VATM-0119; VATM-0120; VATM-0121; VATM-0122; VATM-0123; VATM-0124; VATM-0125; VATM-0126; VATM-0127; VATM-0128; VATM-0129; ...</x:v>
      </x:c>
      <x:c r="C63" s="14" t="str">
        <x:v>Quản lý khai thác cảng/sân bay</x:v>
      </x:c>
      <x:c r="D63" s="14" t="str">
        <x:v>Công trình, chướng ngại và thi công</x:v>
      </x:c>
      <x:c r="E63" s="14" t="str">
        <x:v>Quy trình MOC/HIRA</x:v>
      </x:c>
      <x:c r="F63" s="14" t="str">
        <x:v>Quy trình/SOP</x:v>
      </x:c>
      <x:c r="G63" s="14" t="str">
        <x:v>Ban Kế hoạch - Đầu tư; Ban Không lưu; Ban Kỹ thuật - CNS/IT/Môi trường; Ban An toàn - Chất lượng; Trung tâm Thông báo tin tức hàng không; Các Công ty Quản lý bay khu vực Bắc/Trung/Nam</x:v>
      </x:c>
      <x:c r="H63" s="14" t="str">
        <x:v>Các Công ty Quản lý bay khu vực Bắc/Trung/Nam; Ban Kế hoạch - Đầu tư; Ban Không lưu; Ban Kỹ thuật - CNS/IT/Môi trường</x:v>
      </x:c>
      <x:c r="I63" s="14" t="str">
        <x:v>Điều 60; Điều 61; Điều 62; Điều 63; Điều 64; Điều 65; Điều 66; Điều 67; ...</x:v>
      </x:c>
      <x:c r="J63" s="14" t="str">
        <x:v>P1</x:v>
      </x:c>
      <x:c r="K63" s="14" t="str">
        <x:v>Chưa bắt đầu</x:v>
      </x:c>
      <x:c r="L63" s="14" t="str"/>
      <x:c r="M63" s="14" t="str">
        <x:v>Safety assessment; biên bản hiệp đồng; checklist; NOTAM/AIP; tài liệu khai thác cập nhật</x:v>
      </x:c>
      <x:c r="N63" s="14" t="str">
        <x:v>Tổng 19 nhiệm vụ liên quan.</x:v>
      </x:c>
    </x:row>
    <x:row r="64">
      <x:c r="A64" s="14" t="str">
        <x:v>PROC-0063</x:v>
      </x:c>
      <x:c r="B64" s="14" t="str">
        <x:v>VATM-0115; VATM-0116; VATM-0117; VATM-0118; VATM-0119; VATM-0120; VATM-0121; VATM-0122; VATM-0123; VATM-0124; VATM-0125; VATM-0126; VATM-0127; VATM-0128; VATM-0129; ...</x:v>
      </x:c>
      <x:c r="C64" s="14" t="str">
        <x:v>Quản lý khai thác cảng/sân bay</x:v>
      </x:c>
      <x:c r="D64" s="14" t="str">
        <x:v>Công trình, chướng ngại và thi công</x:v>
      </x:c>
      <x:c r="E64" s="14" t="str">
        <x:v>Checklist chi tiết điều khoản khai thác/thi công</x:v>
      </x:c>
      <x:c r="F64" s="14" t="str">
        <x:v>Biểu mẫu/Checklist</x:v>
      </x:c>
      <x:c r="G64" s="14" t="str">
        <x:v>Ban Kế hoạch - Đầu tư; Ban Không lưu; Ban Kỹ thuật - CNS/IT/Môi trường; Ban An toàn - Chất lượng; Trung tâm Thông báo tin tức hàng không; Các Công ty Quản lý bay khu vực Bắc/Trung/Nam</x:v>
      </x:c>
      <x:c r="H64" s="14" t="str">
        <x:v>Các Công ty Quản lý bay khu vực Bắc/Trung/Nam; Ban Kế hoạch - Đầu tư; Ban Không lưu; Ban Kỹ thuật - CNS/IT/Môi trường</x:v>
      </x:c>
      <x:c r="I64" s="14" t="str">
        <x:v>Điều 60; Điều 61; Điều 62; Điều 63; Điều 64; Điều 65; Điều 66; Điều 67; ...</x:v>
      </x:c>
      <x:c r="J64" s="14" t="str">
        <x:v>P1</x:v>
      </x:c>
      <x:c r="K64" s="14" t="str">
        <x:v>Chưa bắt đầu</x:v>
      </x:c>
      <x:c r="L64" s="14" t="str"/>
      <x:c r="M64" s="14" t="str">
        <x:v>Safety assessment; biên bản hiệp đồng; checklist; NOTAM/AIP; tài liệu khai thác cập nhật</x:v>
      </x:c>
      <x:c r="N64" s="14" t="str">
        <x:v>Tổng 19 nhiệm vụ liên quan.</x:v>
      </x:c>
    </x:row>
    <x:row r="65">
      <x:c r="A65" s="14" t="str">
        <x:v>PROC-0064</x:v>
      </x:c>
      <x:c r="B65" s="14" t="str">
        <x:v>VATM-0134; VATM-0135; VATM-0136; VATM-0137; VATM-0138; VATM-0139; VATM-0140; VATM-0141; VATM-0142; VATM-0143; VATM-0144; VATM-0145; VATM-0146; VATM-0147; VATM-0148; ...</x:v>
      </x:c>
      <x:c r="C65" s="14" t="str">
        <x:v>Quản lý khai thác cảng/sân bay</x:v>
      </x:c>
      <x:c r="D65" s="14" t="str">
        <x:v>Công trình, chướng ngại và thi công</x:v>
      </x:c>
      <x:c r="E65" s="14" t="str">
        <x:v>Quy trình kiểm soát tuân thủ NĐ205</x:v>
      </x:c>
      <x:c r="F65" s="14" t="str">
        <x:v>Quy trình/SOP</x:v>
      </x:c>
      <x:c r="G65" s="14" t="str">
        <x:v>Ban Kế hoạch - Đầu tư; Ban Không lưu; Ban Kỹ thuật - CNS/IT/Môi trường; Văn phòng - Pháp chế; Trung tâm Thông báo tin tức hàng không; Các Công ty Quản lý bay khu vực Bắc/Trung/Nam</x:v>
      </x:c>
      <x:c r="H65" s="14" t="str">
        <x:v>Các Công ty Quản lý bay khu vực Bắc/Trung/Nam; Ban Kế hoạch - Đầu tư; Ban Không lưu; Ban Kỹ thuật - CNS/IT/Môi trường</x:v>
      </x:c>
      <x:c r="I65" s="14" t="str">
        <x:v>Điều 79; Điều 80; Điều 81; Điều 82; Điều 83; Điều 84; Điều 85; Điều 86; ...</x:v>
      </x:c>
      <x:c r="J65" s="14" t="str">
        <x:v>P1</x:v>
      </x:c>
      <x:c r="K65" s="14" t="str">
        <x:v>Chưa bắt đầu</x:v>
      </x:c>
      <x:c r="L65" s="14" t="str"/>
      <x:c r="M65" s="14" t="str">
        <x:v>Kế hoạch tuân thủ; danh mục hồ sơ chuyển tiếp; hiệp đồng; danh mục phương tiện; NOTAM/AIP nếu có</x:v>
      </x:c>
      <x:c r="N65" s="14" t="str">
        <x:v>Tổng 16 nhiệm vụ liên quan.</x:v>
      </x:c>
    </x:row>
    <x:row r="66">
      <x:c r="A66" s="14" t="str">
        <x:v>PROC-0065</x:v>
      </x:c>
      <x:c r="B66" s="14" t="str">
        <x:v>VATM-0134; VATM-0135; VATM-0136; VATM-0137; VATM-0138; VATM-0139; VATM-0140; VATM-0141; VATM-0142; VATM-0143; VATM-0144; VATM-0145; VATM-0146; VATM-0147; VATM-0148; ...</x:v>
      </x:c>
      <x:c r="C66" s="14" t="str">
        <x:v>Quản lý khai thác cảng/sân bay</x:v>
      </x:c>
      <x:c r="D66" s="14" t="str">
        <x:v>Công trình, chướng ngại và thi công</x:v>
      </x:c>
      <x:c r="E66" s="14" t="str">
        <x:v>quy trình phối hợp sân bay lưỡng dụng</x:v>
      </x:c>
      <x:c r="F66" s="14" t="str">
        <x:v>Quy trình/SOP</x:v>
      </x:c>
      <x:c r="G66" s="14" t="str">
        <x:v>Ban Kế hoạch - Đầu tư; Ban Không lưu; Ban Kỹ thuật - CNS/IT/Môi trường; Văn phòng - Pháp chế; Trung tâm Thông báo tin tức hàng không; Các Công ty Quản lý bay khu vực Bắc/Trung/Nam</x:v>
      </x:c>
      <x:c r="H66" s="14" t="str">
        <x:v>Các Công ty Quản lý bay khu vực Bắc/Trung/Nam; Ban Kế hoạch - Đầu tư; Ban Không lưu; Ban Kỹ thuật - CNS/IT/Môi trường</x:v>
      </x:c>
      <x:c r="I66" s="14" t="str">
        <x:v>Điều 79; Điều 80; Điều 81; Điều 82; Điều 83; Điều 84; Điều 85; Điều 86; ...</x:v>
      </x:c>
      <x:c r="J66" s="14" t="str">
        <x:v>P1</x:v>
      </x:c>
      <x:c r="K66" s="14" t="str">
        <x:v>Chưa bắt đầu</x:v>
      </x:c>
      <x:c r="L66" s="14" t="str"/>
      <x:c r="M66" s="14" t="str">
        <x:v>Kế hoạch tuân thủ; danh mục hồ sơ chuyển tiếp; hiệp đồng; danh mục phương tiện; NOTAM/AIP nếu có</x:v>
      </x:c>
      <x:c r="N66" s="14" t="str">
        <x:v>Tổng 16 nhiệm vụ liên quan.</x:v>
      </x:c>
    </x:row>
    <x:row r="67">
      <x:c r="A67" s="14" t="str">
        <x:v>PROC-0066</x:v>
      </x:c>
      <x:c r="B67" s="14" t="str">
        <x:v>VATM-0134; VATM-0135; VATM-0136; VATM-0137; VATM-0138; VATM-0139; VATM-0140; VATM-0141; VATM-0142; VATM-0143; VATM-0144; VATM-0145; VATM-0146; VATM-0147; VATM-0148; ...</x:v>
      </x:c>
      <x:c r="C67" s="14" t="str">
        <x:v>Quản lý khai thác cảng/sân bay</x:v>
      </x:c>
      <x:c r="D67" s="14" t="str">
        <x:v>Công trình, chướng ngại và thi công</x:v>
      </x:c>
      <x:c r="E67" s="14" t="str">
        <x:v>Mẫu kế hoạch tuân thủ</x:v>
      </x:c>
      <x:c r="F67" s="14" t="str">
        <x:v>Quyết định/Kế hoạch</x:v>
      </x:c>
      <x:c r="G67" s="14" t="str">
        <x:v>Ban Kế hoạch - Đầu tư; Ban Không lưu; Ban Kỹ thuật - CNS/IT/Môi trường; Văn phòng - Pháp chế; Trung tâm Thông báo tin tức hàng không; Các Công ty Quản lý bay khu vực Bắc/Trung/Nam</x:v>
      </x:c>
      <x:c r="H67" s="14" t="str">
        <x:v>Các Công ty Quản lý bay khu vực Bắc/Trung/Nam; Ban Kế hoạch - Đầu tư; Ban Không lưu; Ban Kỹ thuật - CNS/IT/Môi trường</x:v>
      </x:c>
      <x:c r="I67" s="14" t="str">
        <x:v>Điều 79; Điều 80; Điều 81; Điều 82; Điều 83; Điều 84; Điều 85; Điều 86; ...</x:v>
      </x:c>
      <x:c r="J67" s="14" t="str">
        <x:v>P1</x:v>
      </x:c>
      <x:c r="K67" s="14" t="str">
        <x:v>Chưa bắt đầu</x:v>
      </x:c>
      <x:c r="L67" s="14" t="str"/>
      <x:c r="M67" s="14" t="str">
        <x:v>Kế hoạch tuân thủ; danh mục hồ sơ chuyển tiếp; hiệp đồng; danh mục phương tiện; NOTAM/AIP nếu có</x:v>
      </x:c>
      <x:c r="N67" s="14" t="str">
        <x:v>Tổng 16 nhiệm vụ liên quan.</x:v>
      </x:c>
    </x:row>
    <x:row r="68">
      <x:c r="A68" s="14" t="str">
        <x:v>PROC-0067</x:v>
      </x:c>
      <x:c r="B68" s="14" t="str">
        <x:v>VATM-0134; VATM-0135; VATM-0136; VATM-0137; VATM-0138; VATM-0139; VATM-0140; VATM-0141; VATM-0142; VATM-0143; VATM-0144; VATM-0145; VATM-0146; VATM-0147; VATM-0148; ...</x:v>
      </x:c>
      <x:c r="C68" s="14" t="str">
        <x:v>Quản lý khai thác cảng/sân bay</x:v>
      </x:c>
      <x:c r="D68" s="14" t="str">
        <x:v>Công trình, chướng ngại và thi công</x:v>
      </x:c>
      <x:c r="E68" s="14" t="str">
        <x:v>checklist chuyển tiếp</x:v>
      </x:c>
      <x:c r="F68" s="14" t="str">
        <x:v>Biểu mẫu/Checklist</x:v>
      </x:c>
      <x:c r="G68" s="14" t="str">
        <x:v>Ban Kế hoạch - Đầu tư; Ban Không lưu; Ban Kỹ thuật - CNS/IT/Môi trường; Văn phòng - Pháp chế; Trung tâm Thông báo tin tức hàng không; Các Công ty Quản lý bay khu vực Bắc/Trung/Nam</x:v>
      </x:c>
      <x:c r="H68" s="14" t="str">
        <x:v>Các Công ty Quản lý bay khu vực Bắc/Trung/Nam; Ban Kế hoạch - Đầu tư; Ban Không lưu; Ban Kỹ thuật - CNS/IT/Môi trường</x:v>
      </x:c>
      <x:c r="I68" s="14" t="str">
        <x:v>Điều 79; Điều 80; Điều 81; Điều 82; Điều 83; Điều 84; Điều 85; Điều 86; ...</x:v>
      </x:c>
      <x:c r="J68" s="14" t="str">
        <x:v>P1</x:v>
      </x:c>
      <x:c r="K68" s="14" t="str">
        <x:v>Chưa bắt đầu</x:v>
      </x:c>
      <x:c r="L68" s="14" t="str"/>
      <x:c r="M68" s="14" t="str">
        <x:v>Kế hoạch tuân thủ; danh mục hồ sơ chuyển tiếp; hiệp đồng; danh mục phương tiện; NOTAM/AIP nếu có</x:v>
      </x:c>
      <x:c r="N68" s="14" t="str">
        <x:v>Tổng 16 nhiệm vụ liên quan.</x:v>
      </x:c>
    </x:row>
    <x:row r="69">
      <x:c r="A69" s="14" t="str">
        <x:v>PROC-0068</x:v>
      </x:c>
      <x:c r="B69" s="14" t="str">
        <x:v>VATM-0134; VATM-0135; VATM-0136; VATM-0137; VATM-0138; VATM-0139; VATM-0140; VATM-0141; VATM-0142; VATM-0143; VATM-0144; VATM-0145; VATM-0146; VATM-0147; VATM-0148; ...</x:v>
      </x:c>
      <x:c r="C69" s="14" t="str">
        <x:v>Quản lý khai thác cảng/sân bay</x:v>
      </x:c>
      <x:c r="D69" s="14" t="str">
        <x:v>Công trình, chướng ngại và thi công</x:v>
      </x:c>
      <x:c r="E69" s="14" t="str">
        <x:v>mẫu danh mục phương tiện</x:v>
      </x:c>
      <x:c r="F69" s="14" t="str">
        <x:v>Biểu mẫu/Checklist</x:v>
      </x:c>
      <x:c r="G69" s="14" t="str">
        <x:v>Ban Kế hoạch - Đầu tư; Ban Không lưu; Ban Kỹ thuật - CNS/IT/Môi trường; Văn phòng - Pháp chế; Trung tâm Thông báo tin tức hàng không; Các Công ty Quản lý bay khu vực Bắc/Trung/Nam</x:v>
      </x:c>
      <x:c r="H69" s="14" t="str">
        <x:v>Các Công ty Quản lý bay khu vực Bắc/Trung/Nam; Ban Kế hoạch - Đầu tư; Ban Không lưu; Ban Kỹ thuật - CNS/IT/Môi trường</x:v>
      </x:c>
      <x:c r="I69" s="14" t="str">
        <x:v>Điều 79; Điều 80; Điều 81; Điều 82; Điều 83; Điều 84; Điều 85; Điều 86; ...</x:v>
      </x:c>
      <x:c r="J69" s="14" t="str">
        <x:v>P1</x:v>
      </x:c>
      <x:c r="K69" s="14" t="str">
        <x:v>Chưa bắt đầu</x:v>
      </x:c>
      <x:c r="L69" s="14" t="str"/>
      <x:c r="M69" s="14" t="str">
        <x:v>Kế hoạch tuân thủ; danh mục hồ sơ chuyển tiếp; hiệp đồng; danh mục phương tiện; NOTAM/AIP nếu có</x:v>
      </x:c>
      <x:c r="N69" s="14" t="str">
        <x:v>Tổng 16 nhiệm vụ liên quan.</x:v>
      </x:c>
    </x:row>
    <x:row r="70">
      <x:c r="A70" s="14" t="str">
        <x:v>PROC-0069</x:v>
      </x:c>
      <x:c r="B70" s="14" t="str">
        <x:v>VATM-0150</x:v>
      </x:c>
      <x:c r="C70" s="14" t="str">
        <x:v>An toàn hàng không / SMS</x:v>
      </x:c>
      <x:c r="D70" s="14" t="str">
        <x:v>Chính sách, mục tiêu và văn hóa an toàn</x:v>
      </x:c>
      <x:c r="E70" s="14" t="str">
        <x:v>Chính sách/ quy chế an toàn nội bộ phù hợp chính sách quốc gia</x:v>
      </x:c>
      <x:c r="F70" s="14" t="str">
        <x:v>Quy trình/SOP</x:v>
      </x:c>
      <x:c r="G70" s="14" t="str">
        <x:v>Ban An toàn - Chất lượng</x:v>
      </x:c>
      <x:c r="H70" s="14" t="str">
        <x:v>Các Công ty Quản lý bay khu vực Bắc/Trung/Nam; Ban An toàn - Chất lượng</x:v>
      </x:c>
      <x:c r="I70" s="14" t="str">
        <x:v>Chương trình Điều 6 khoản 1, khoản 3</x:v>
      </x:c>
      <x:c r="J70" s="14" t="str">
        <x:v>P2</x:v>
      </x:c>
      <x:c r="K70" s="14" t="str">
        <x:v>Chưa bắt đầu</x:v>
      </x:c>
      <x:c r="L70" s="14" t="str"/>
      <x:c r="M70" s="14" t="str">
        <x:v>Chính sách/ quy chế an toàn nội bộ phù hợp chính sách quốc gia; bằng chứng bố trí nguồn lực và truyền thông chính sách.</x:v>
      </x:c>
      <x:c r="N70" s="14" t="str">
        <x:v>Tổng 1 nhiệm vụ liên quan.</x:v>
      </x:c>
    </x:row>
    <x:row r="71">
      <x:c r="A71" s="14" t="str">
        <x:v>PROC-0070</x:v>
      </x:c>
      <x:c r="B71" s="14" t="str">
        <x:v>VATM-0150</x:v>
      </x:c>
      <x:c r="C71" s="14" t="str">
        <x:v>An toàn hàng không / SMS</x:v>
      </x:c>
      <x:c r="D71" s="14" t="str">
        <x:v>Chính sách, mục tiêu và văn hóa an toàn</x:v>
      </x:c>
      <x:c r="E71" s="14" t="str">
        <x:v>bằng chứng bố trí nguồn lực và truyền thông chính sách. Chính sách/ quy chế an toàn nội bộ phù hợp chính sách quốc gia</x:v>
      </x:c>
      <x:c r="F71" s="14" t="str">
        <x:v>Quy trình/SOP</x:v>
      </x:c>
      <x:c r="G71" s="14" t="str">
        <x:v>Ban An toàn - Chất lượng</x:v>
      </x:c>
      <x:c r="H71" s="14" t="str">
        <x:v>Các Công ty Quản lý bay khu vực Bắc/Trung/Nam; Ban An toàn - Chất lượng</x:v>
      </x:c>
      <x:c r="I71" s="14" t="str">
        <x:v>Chương trình Điều 6 khoản 1, khoản 3</x:v>
      </x:c>
      <x:c r="J71" s="14" t="str">
        <x:v>P2</x:v>
      </x:c>
      <x:c r="K71" s="14" t="str">
        <x:v>Chưa bắt đầu</x:v>
      </x:c>
      <x:c r="L71" s="14" t="str"/>
      <x:c r="M71" s="14" t="str">
        <x:v>Chính sách/ quy chế an toàn nội bộ phù hợp chính sách quốc gia; bằng chứng bố trí nguồn lực và truyền thông chính sách.</x:v>
      </x:c>
      <x:c r="N71" s="14" t="str">
        <x:v>Tổng 1 nhiệm vụ liên quan.</x:v>
      </x:c>
    </x:row>
    <x:row r="72">
      <x:c r="A72" s="14" t="str">
        <x:v>PROC-0071</x:v>
      </x:c>
      <x:c r="B72" s="14" t="str">
        <x:v>VATM-0150</x:v>
      </x:c>
      <x:c r="C72" s="14" t="str">
        <x:v>An toàn hàng không / SMS</x:v>
      </x:c>
      <x:c r="D72" s="14" t="str">
        <x:v>Chính sách, mục tiêu và văn hóa an toàn</x:v>
      </x:c>
      <x:c r="E72" s="14" t="str">
        <x:v>bằng chứng bố trí nguồn lực và truyền thông chính sách. Ban An toàn/Quản lý an toàn chủ trì tham mưu chính sách và truyền thông toàn hệ thống</x:v>
      </x:c>
      <x:c r="F72" s="14" t="str">
        <x:v>Dữ liệu hệ thống</x:v>
      </x:c>
      <x:c r="G72" s="14" t="str">
        <x:v>Ban An toàn - Chất lượng</x:v>
      </x:c>
      <x:c r="H72" s="14" t="str">
        <x:v>Các Công ty Quản lý bay khu vực Bắc/Trung/Nam; Ban An toàn - Chất lượng</x:v>
      </x:c>
      <x:c r="I72" s="14" t="str">
        <x:v>Chương trình Điều 6 khoản 1, khoản 3</x:v>
      </x:c>
      <x:c r="J72" s="14" t="str">
        <x:v>P2</x:v>
      </x:c>
      <x:c r="K72" s="14" t="str">
        <x:v>Chưa bắt đầu</x:v>
      </x:c>
      <x:c r="L72" s="14" t="str"/>
      <x:c r="M72" s="14" t="str">
        <x:v>Chính sách/ quy chế an toàn nội bộ phù hợp chính sách quốc gia; bằng chứng bố trí nguồn lực và truyền thông chính sách.</x:v>
      </x:c>
      <x:c r="N72" s="14" t="str">
        <x:v>Tổng 1 nhiệm vụ liên quan.</x:v>
      </x:c>
    </x:row>
    <x:row r="73">
      <x:c r="A73" s="14" t="str">
        <x:v>PROC-0072</x:v>
      </x:c>
      <x:c r="B73" s="14" t="str">
        <x:v>VATM-0151</x:v>
      </x:c>
      <x:c r="C73" s="14" t="str">
        <x:v>An toàn hàng không / SMS</x:v>
      </x:c>
      <x:c r="D73" s="14" t="str">
        <x:v>Khung SMS và quản trị an toàn</x:v>
      </x:c>
      <x:c r="E73" s="14" t="str">
        <x:v>Kế hoạch/ chương trình hành động an toàn cấp doanh nghiệp</x:v>
      </x:c>
      <x:c r="F73" s="14" t="str">
        <x:v>Quyết định/Kế hoạch</x:v>
      </x:c>
      <x:c r="G73" s="14" t="str">
        <x:v>Ban An toàn - Chất lượng</x:v>
      </x:c>
      <x:c r="H73" s="14" t="str">
        <x:v>Các Công ty Quản lý bay khu vực Bắc/Trung/Nam; Ban An toàn - Chất lượng</x:v>
      </x:c>
      <x:c r="I73" s="14" t="str">
        <x:v>Chương trình Điều 8 khoản 3</x:v>
      </x:c>
      <x:c r="J73" s="14" t="str">
        <x:v>P2</x:v>
      </x:c>
      <x:c r="K73" s="14" t="str">
        <x:v>Chưa bắt đầu</x:v>
      </x:c>
      <x:c r="L73" s="14" t="str"/>
      <x:c r="M73" s="14" t="str">
        <x:v>Kế hoạch/ chương trình hành động an toàn cấp doanh nghiệp; danh mục hành động, trách nhiệm, tiến độ.</x:v>
      </x:c>
      <x:c r="N73" s="14" t="str">
        <x:v>Tổng 1 nhiệm vụ liên quan.</x:v>
      </x:c>
    </x:row>
    <x:row r="74">
      <x:c r="A74" s="14" t="str">
        <x:v>PROC-0073</x:v>
      </x:c>
      <x:c r="B74" s="14" t="str">
        <x:v>VATM-0151</x:v>
      </x:c>
      <x:c r="C74" s="14" t="str">
        <x:v>An toàn hàng không / SMS</x:v>
      </x:c>
      <x:c r="D74" s="14" t="str">
        <x:v>Khung SMS và quản trị an toàn</x:v>
      </x:c>
      <x:c r="E74" s="14" t="str">
        <x:v>danh mục hành động, trách nhiệm, tiến độ. Kế hoạch/ chương trình hành động an toàn cấp doanh nghiệp</x:v>
      </x:c>
      <x:c r="F74" s="14" t="str">
        <x:v>Quyết định/Kế hoạch</x:v>
      </x:c>
      <x:c r="G74" s="14" t="str">
        <x:v>Ban An toàn - Chất lượng</x:v>
      </x:c>
      <x:c r="H74" s="14" t="str">
        <x:v>Các Công ty Quản lý bay khu vực Bắc/Trung/Nam; Ban An toàn - Chất lượng</x:v>
      </x:c>
      <x:c r="I74" s="14" t="str">
        <x:v>Chương trình Điều 8 khoản 3</x:v>
      </x:c>
      <x:c r="J74" s="14" t="str">
        <x:v>P2</x:v>
      </x:c>
      <x:c r="K74" s="14" t="str">
        <x:v>Chưa bắt đầu</x:v>
      </x:c>
      <x:c r="L74" s="14" t="str"/>
      <x:c r="M74" s="14" t="str">
        <x:v>Kế hoạch/ chương trình hành động an toàn cấp doanh nghiệp; danh mục hành động, trách nhiệm, tiến độ.</x:v>
      </x:c>
      <x:c r="N74" s="14" t="str">
        <x:v>Tổng 1 nhiệm vụ liên quan.</x:v>
      </x:c>
    </x:row>
    <x:row r="75">
      <x:c r="A75" s="14" t="str">
        <x:v>PROC-0074</x:v>
      </x:c>
      <x:c r="B75" s="14" t="str">
        <x:v>VATM-0152</x:v>
      </x:c>
      <x:c r="C75" s="14" t="str">
        <x:v>An toàn hàng không / SMS</x:v>
      </x:c>
      <x:c r="D75" s="14" t="str">
        <x:v>Chính sách, mục tiêu và văn hóa an toàn</x:v>
      </x:c>
      <x:c r="E75" s="14" t="str">
        <x:v>Tài liệu SMS, chính sách/mục tiêu, cơ cấu trách nhiệm, quy trình quản lý rủi ro, bảo đảm an toàn, thúc đẩy an toàn, hồ sơ vận hành SMS. Tài liệu SMS, chính sách/mục tiêu, cơ cấu trách nhiệm, quy trình quản lý rủi ro, bảo đảm an toàn, thúc đẩy an toàn, hồ sơ vận hành SMS. VATM là đối tượng bắt buộc có SMS</x:v>
      </x:c>
      <x:c r="F75" s="14" t="str">
        <x:v>Quy trình/SOP</x:v>
      </x:c>
      <x:c r="G75" s="14" t="str">
        <x:v>Ban An toàn - Chất lượng</x:v>
      </x:c>
      <x:c r="H75" s="14" t="str">
        <x:v>Các Công ty Quản lý bay khu vực Bắc/Trung/Nam; Ban An toàn - Chất lượng</x:v>
      </x:c>
      <x:c r="I75" s="14" t="str">
        <x:v>Chương trình Điều 9 khoản 1, khoản 2; Phụ lục I</x:v>
      </x:c>
      <x:c r="J75" s="14" t="str">
        <x:v>P2</x:v>
      </x:c>
      <x:c r="K75" s="14" t="str">
        <x:v>Chưa bắt đầu</x:v>
      </x:c>
      <x:c r="L75" s="14" t="str"/>
      <x:c r="M75" s="14" t="str">
        <x:v>Tài liệu SMS, chính sách/mục tiêu, cơ cấu trách nhiệm, quy trình quản lý rủi ro, bảo đảm an toàn, thúc đẩy an toàn, hồ sơ vận hành SMS.</x:v>
      </x:c>
      <x:c r="N75" s="14" t="str">
        <x:v>Tổng 1 nhiệm vụ liên quan.</x:v>
      </x:c>
    </x:row>
    <x:row r="76">
      <x:c r="A76" s="14" t="str">
        <x:v>PROC-0075</x:v>
      </x:c>
      <x:c r="B76" s="14" t="str">
        <x:v>VATM-0152</x:v>
      </x:c>
      <x:c r="C76" s="14" t="str">
        <x:v>An toàn hàng không / SMS</x:v>
      </x:c>
      <x:c r="D76" s="14" t="str">
        <x:v>Chính sách, mục tiêu và văn hóa an toàn</x:v>
      </x:c>
      <x:c r="E76" s="14" t="str">
        <x:v>dùng sheet '03_SMS_PL_I' làm checklist chi tiết</x:v>
      </x:c>
      <x:c r="F76" s="14" t="str">
        <x:v>Biểu mẫu/Checklist</x:v>
      </x:c>
      <x:c r="G76" s="14" t="str">
        <x:v>Ban An toàn - Chất lượng</x:v>
      </x:c>
      <x:c r="H76" s="14" t="str">
        <x:v>Các Công ty Quản lý bay khu vực Bắc/Trung/Nam; Ban An toàn - Chất lượng</x:v>
      </x:c>
      <x:c r="I76" s="14" t="str">
        <x:v>Chương trình Điều 9 khoản 1, khoản 2; Phụ lục I</x:v>
      </x:c>
      <x:c r="J76" s="14" t="str">
        <x:v>P2</x:v>
      </x:c>
      <x:c r="K76" s="14" t="str">
        <x:v>Chưa bắt đầu</x:v>
      </x:c>
      <x:c r="L76" s="14" t="str"/>
      <x:c r="M76" s="14" t="str">
        <x:v>Tài liệu SMS, chính sách/mục tiêu, cơ cấu trách nhiệm, quy trình quản lý rủi ro, bảo đảm an toàn, thúc đẩy an toàn, hồ sơ vận hành SMS.</x:v>
      </x:c>
      <x:c r="N76" s="14" t="str">
        <x:v>Tổng 1 nhiệm vụ liên quan.</x:v>
      </x:c>
    </x:row>
    <x:row r="77">
      <x:c r="A77" s="14" t="str">
        <x:v>PROC-0076</x:v>
      </x:c>
      <x:c r="B77" s="14" t="str">
        <x:v>VATM-0159</x:v>
      </x:c>
      <x:c r="C77" s="14" t="str">
        <x:v>An toàn hàng không / SMS</x:v>
      </x:c>
      <x:c r="D77" s="14" t="str">
        <x:v>Bảo đảm an toàn, giám sát và audit</x:v>
      </x:c>
      <x:c r="E77" s="14" t="str">
        <x:v>Quy chế bảo vệ dữ liệu an toàn</x:v>
      </x:c>
      <x:c r="F77" s="14" t="str">
        <x:v>Quy trình/SOP</x:v>
      </x:c>
      <x:c r="G77" s="14" t="str">
        <x:v>Ban An toàn - Chất lượng</x:v>
      </x:c>
      <x:c r="H77" s="14" t="str">
        <x:v>Các Công ty Quản lý bay khu vực Bắc/Trung/Nam; Ban An toàn - Chất lượng</x:v>
      </x:c>
      <x:c r="I77" s="14" t="str">
        <x:v>Chương trình Điều 15 khoản 2, khoản 6</x:v>
      </x:c>
      <x:c r="J77" s="14" t="str">
        <x:v>P2</x:v>
      </x:c>
      <x:c r="K77" s="14" t="str">
        <x:v>Chưa bắt đầu</x:v>
      </x:c>
      <x:c r="L77" s="14" t="str"/>
      <x:c r="M77" s="14" t="str">
        <x:v>Quy chế bảo vệ dữ liệu an toàn; phân quyền truy cập; nhật ký cung cấp/chia sẻ; quy trình công bố; hồ sơ tuân thủ.</x:v>
      </x:c>
      <x:c r="N77" s="14" t="str">
        <x:v>Tổng 1 nhiệm vụ liên quan.</x:v>
      </x:c>
    </x:row>
    <x:row r="78">
      <x:c r="A78" s="14" t="str">
        <x:v>PROC-0077</x:v>
      </x:c>
      <x:c r="B78" s="14" t="str">
        <x:v>VATM-0159; VATM-0159</x:v>
      </x:c>
      <x:c r="C78" s="14" t="str">
        <x:v>An toàn hàng không / SMS</x:v>
      </x:c>
      <x:c r="D78" s="14" t="str">
        <x:v>Bảo đảm an toàn, giám sát và audit</x:v>
      </x:c>
      <x:c r="E78" s="14" t="str">
        <x:v>quy trình công bố</x:v>
      </x:c>
      <x:c r="F78" s="14" t="str">
        <x:v>Quy trình/SOP</x:v>
      </x:c>
      <x:c r="G78" s="14" t="str">
        <x:v>Ban An toàn - Chất lượng</x:v>
      </x:c>
      <x:c r="H78" s="14" t="str">
        <x:v>Các Công ty Quản lý bay khu vực Bắc/Trung/Nam; Ban An toàn - Chất lượng</x:v>
      </x:c>
      <x:c r="I78" s="14" t="str">
        <x:v>Chương trình Điều 15 khoản 2, khoản 6</x:v>
      </x:c>
      <x:c r="J78" s="14" t="str">
        <x:v>P2</x:v>
      </x:c>
      <x:c r="K78" s="14" t="str">
        <x:v>Chưa bắt đầu</x:v>
      </x:c>
      <x:c r="L78" s="14" t="str"/>
      <x:c r="M78" s="14" t="str">
        <x:v>Quy chế bảo vệ dữ liệu an toàn; phân quyền truy cập; nhật ký cung cấp/chia sẻ; quy trình công bố; hồ sơ tuân thủ.</x:v>
      </x:c>
      <x:c r="N78" s="14" t="str">
        <x:v>Tổng 2 nhiệm vụ liên quan.</x:v>
      </x:c>
    </x:row>
    <x:row r="79">
      <x:c r="A79" s="14" t="str">
        <x:v>PROC-0078</x:v>
      </x:c>
      <x:c r="B79" s="14" t="str">
        <x:v>VATM-0159</x:v>
      </x:c>
      <x:c r="C79" s="14" t="str">
        <x:v>An toàn hàng không / SMS</x:v>
      </x:c>
      <x:c r="D79" s="14" t="str">
        <x:v>Bảo đảm an toàn, giám sát và audit</x:v>
      </x:c>
      <x:c r="E79" s="14" t="str">
        <x:v>hồ sơ tuân thủ. Quy chế bảo vệ dữ liệu an toàn</x:v>
      </x:c>
      <x:c r="F79" s="14" t="str">
        <x:v>Quy trình/SOP</x:v>
      </x:c>
      <x:c r="G79" s="14" t="str">
        <x:v>Ban An toàn - Chất lượng</x:v>
      </x:c>
      <x:c r="H79" s="14" t="str">
        <x:v>Các Công ty Quản lý bay khu vực Bắc/Trung/Nam; Ban An toàn - Chất lượng</x:v>
      </x:c>
      <x:c r="I79" s="14" t="str">
        <x:v>Chương trình Điều 15 khoản 2, khoản 6</x:v>
      </x:c>
      <x:c r="J79" s="14" t="str">
        <x:v>P2</x:v>
      </x:c>
      <x:c r="K79" s="14" t="str">
        <x:v>Chưa bắt đầu</x:v>
      </x:c>
      <x:c r="L79" s="14" t="str"/>
      <x:c r="M79" s="14" t="str">
        <x:v>Quy chế bảo vệ dữ liệu an toàn; phân quyền truy cập; nhật ký cung cấp/chia sẻ; quy trình công bố; hồ sơ tuân thủ.</x:v>
      </x:c>
      <x:c r="N79" s="14" t="str">
        <x:v>Tổng 1 nhiệm vụ liên quan.</x:v>
      </x:c>
    </x:row>
    <x:row r="80">
      <x:c r="A80" s="14" t="str">
        <x:v>PROC-0079</x:v>
      </x:c>
      <x:c r="B80" s="14" t="str">
        <x:v>VATM-0160; VATM-0160</x:v>
      </x:c>
      <x:c r="C80" s="14" t="str">
        <x:v>An toàn hàng không / SMS</x:v>
      </x:c>
      <x:c r="D80" s="14" t="str">
        <x:v>Khung SMS và quản trị an toàn</x:v>
      </x:c>
      <x:c r="E80" s="14" t="str">
        <x:v>quy trình cấp quyền</x:v>
      </x:c>
      <x:c r="F80" s="14" t="str">
        <x:v>Quy trình/SOP</x:v>
      </x:c>
      <x:c r="G80" s="14" t="str">
        <x:v>Ban An toàn - Chất lượng</x:v>
      </x:c>
      <x:c r="H80" s="14" t="str">
        <x:v>Các Công ty Quản lý bay khu vực Bắc/Trung/Nam; Ban An toàn - Chất lượng</x:v>
      </x:c>
      <x:c r="I80" s="14" t="str">
        <x:v>Chương trình Điều 15 khoản 4</x:v>
      </x:c>
      <x:c r="J80" s="14" t="str">
        <x:v>P2</x:v>
      </x:c>
      <x:c r="K80" s="14" t="str">
        <x:v>Chưa bắt đầu</x:v>
      </x:c>
      <x:c r="L80" s="14" t="str"/>
      <x:c r="M80" s="14" t="str">
        <x:v>Danh mục dữ liệu nhạy cảm; quy trình cấp quyền; nhật ký truy cập/cung cấp; phê duyệt theo thẩm quyền.</x:v>
      </x:c>
      <x:c r="N80" s="14" t="str">
        <x:v>Tổng 2 nhiệm vụ liên quan.</x:v>
      </x:c>
    </x:row>
    <x:row r="81">
      <x:c r="A81" s="14" t="str">
        <x:v>PROC-0080</x:v>
      </x:c>
      <x:c r="B81" s="14" t="str">
        <x:v>VATM-0161; VATM-0161</x:v>
      </x:c>
      <x:c r="C81" s="14" t="str">
        <x:v>An toàn hàng không / SMS</x:v>
      </x:c>
      <x:c r="D81" s="14" t="str">
        <x:v>Khung SMS và quản trị an toàn</x:v>
      </x:c>
      <x:c r="E81" s="14" t="str">
        <x:v>quy trình chia sẻ</x:v>
      </x:c>
      <x:c r="F81" s="14" t="str">
        <x:v>Quy trình/SOP</x:v>
      </x:c>
      <x:c r="G81" s="14" t="str">
        <x:v>Ban An toàn - Chất lượng</x:v>
      </x:c>
      <x:c r="H81" s="14" t="str">
        <x:v>Các Công ty Quản lý bay khu vực Bắc/Trung/Nam; Ban An toàn - Chất lượng</x:v>
      </x:c>
      <x:c r="I81" s="14" t="str">
        <x:v>Chương trình Điều 16 khoản 2, khoản 4</x:v>
      </x:c>
      <x:c r="J81" s="14" t="str">
        <x:v>P2</x:v>
      </x:c>
      <x:c r="K81" s="14" t="str">
        <x:v>Chưa bắt đầu</x:v>
      </x:c>
      <x:c r="L81" s="14" t="str"/>
      <x:c r="M81" s="14" t="str">
        <x:v>Cơ sở dữ liệu an toàn; quy trình chia sẻ; hồ sơ trả lời yêu cầu Cục HKVN; bản tin/khuyến cáo nội bộ.</x:v>
      </x:c>
      <x:c r="N81" s="14" t="str">
        <x:v>Tổng 2 nhiệm vụ liên quan.</x:v>
      </x:c>
    </x:row>
    <x:row r="82">
      <x:c r="A82" s="14" t="str">
        <x:v>PROC-0081</x:v>
      </x:c>
      <x:c r="B82" s="14" t="str">
        <x:v>VATM-0162</x:v>
      </x:c>
      <x:c r="C82" s="14" t="str">
        <x:v>An toàn hàng không / SMS</x:v>
      </x:c>
      <x:c r="D82" s="14" t="str">
        <x:v>Báo cáo MOR, sự cố và điều tra</x:v>
      </x:c>
      <x:c r="E82" s="14" t="str">
        <x:v>Hồ sơ tham gia chương trình, hội nghị, sáng kiến</x:v>
      </x:c>
      <x:c r="F82" s="14" t="str">
        <x:v>Khác</x:v>
      </x:c>
      <x:c r="G82" s="14" t="str">
        <x:v>Ban An toàn - Chất lượng</x:v>
      </x:c>
      <x:c r="H82" s="14" t="str">
        <x:v>Các Công ty Quản lý bay khu vực Bắc/Trung/Nam; Ban An toàn - Chất lượng</x:v>
      </x:c>
      <x:c r="I82" s="14" t="str">
        <x:v>Chương trình Điều 17 khoản 3</x:v>
      </x:c>
      <x:c r="J82" s="14" t="str">
        <x:v>P2</x:v>
      </x:c>
      <x:c r="K82" s="14" t="str">
        <x:v>Chưa bắt đầu</x:v>
      </x:c>
      <x:c r="L82" s="14" t="str"/>
      <x:c r="M82" s="14" t="str">
        <x:v>Hồ sơ tham gia chương trình, hội nghị, sáng kiến; báo cáo rút kinh nghiệm/áp dụng.</x:v>
      </x:c>
      <x:c r="N82" s="14" t="str">
        <x:v>Tổng 1 nhiệm vụ liên quan.</x:v>
      </x:c>
    </x:row>
    <x:row r="83">
      <x:c r="A83" s="14" t="str">
        <x:v>PROC-0082</x:v>
      </x:c>
      <x:c r="B83" s="14" t="str">
        <x:v>VATM-0162</x:v>
      </x:c>
      <x:c r="C83" s="14" t="str">
        <x:v>An toàn hàng không / SMS</x:v>
      </x:c>
      <x:c r="D83" s="14" t="str">
        <x:v>Báo cáo MOR, sự cố và điều tra</x:v>
      </x:c>
      <x:c r="E83" s="14" t="str">
        <x:v>báo cáo rút kinh nghiệm/áp dụng. Hồ sơ tham gia chương trình, hội nghị, sáng kiến</x:v>
      </x:c>
      <x:c r="F83" s="14" t="str">
        <x:v>Báo cáo</x:v>
      </x:c>
      <x:c r="G83" s="14" t="str">
        <x:v>Ban An toàn - Chất lượng</x:v>
      </x:c>
      <x:c r="H83" s="14" t="str">
        <x:v>Các Công ty Quản lý bay khu vực Bắc/Trung/Nam; Ban An toàn - Chất lượng</x:v>
      </x:c>
      <x:c r="I83" s="14" t="str">
        <x:v>Chương trình Điều 17 khoản 3</x:v>
      </x:c>
      <x:c r="J83" s="14" t="str">
        <x:v>P2</x:v>
      </x:c>
      <x:c r="K83" s="14" t="str">
        <x:v>Chưa bắt đầu</x:v>
      </x:c>
      <x:c r="L83" s="14" t="str"/>
      <x:c r="M83" s="14" t="str">
        <x:v>Hồ sơ tham gia chương trình, hội nghị, sáng kiến; báo cáo rút kinh nghiệm/áp dụng.</x:v>
      </x:c>
      <x:c r="N83" s="14" t="str">
        <x:v>Tổng 1 nhiệm vụ liên quan.</x:v>
      </x:c>
    </x:row>
    <x:row r="84">
      <x:c r="A84" s="14" t="str">
        <x:v>PROC-0083</x:v>
      </x:c>
      <x:c r="B84" s="14" t="str">
        <x:v>VATM-0162</x:v>
      </x:c>
      <x:c r="C84" s="14" t="str">
        <x:v>An toàn hàng không / SMS</x:v>
      </x:c>
      <x:c r="D84" s="14" t="str">
        <x:v>Báo cáo MOR, sự cố và điều tra</x:v>
      </x:c>
      <x:c r="E84" s="14" t="str">
        <x:v>báo cáo rút kinh nghiệm/áp dụng. Ưu tiên các diễn đàn/chương trình liên quan ATM/ANS, SMS và chia sẻ dữ liệu an toàn</x:v>
      </x:c>
      <x:c r="F84" s="14" t="str">
        <x:v>Báo cáo</x:v>
      </x:c>
      <x:c r="G84" s="14" t="str">
        <x:v>Ban An toàn - Chất lượng</x:v>
      </x:c>
      <x:c r="H84" s="14" t="str">
        <x:v>Các Công ty Quản lý bay khu vực Bắc/Trung/Nam; Ban An toàn - Chất lượng</x:v>
      </x:c>
      <x:c r="I84" s="14" t="str">
        <x:v>Chương trình Điều 17 khoản 3</x:v>
      </x:c>
      <x:c r="J84" s="14" t="str">
        <x:v>P2</x:v>
      </x:c>
      <x:c r="K84" s="14" t="str">
        <x:v>Chưa bắt đầu</x:v>
      </x:c>
      <x:c r="L84" s="14" t="str"/>
      <x:c r="M84" s="14" t="str">
        <x:v>Hồ sơ tham gia chương trình, hội nghị, sáng kiến; báo cáo rút kinh nghiệm/áp dụng.</x:v>
      </x:c>
      <x:c r="N84" s="14" t="str">
        <x:v>Tổng 1 nhiệm vụ liên quan.</x:v>
      </x:c>
    </x:row>
    <x:row r="85">
      <x:c r="A85" s="14" t="str">
        <x:v>PROC-0084</x:v>
      </x:c>
      <x:c r="B85" s="14" t="str">
        <x:v>VATM-0163</x:v>
      </x:c>
      <x:c r="C85" s="14" t="str">
        <x:v>An toàn hàng không / SMS</x:v>
      </x:c>
      <x:c r="D85" s="14" t="str">
        <x:v>Báo cáo MOR, sự cố và điều tra</x:v>
      </x:c>
      <x:c r="E85" s="14" t="str">
        <x:v>Quy trình báo cáo</x:v>
      </x:c>
      <x:c r="F85" s="14" t="str">
        <x:v>Quy trình/SOP</x:v>
      </x:c>
      <x:c r="G85" s="14" t="str">
        <x:v>Ban An toàn - Chất lượng</x:v>
      </x:c>
      <x:c r="H85" s="14" t="str">
        <x:v>Các Công ty Quản lý bay khu vực Bắc/Trung/Nam; Ban An toàn - Chất lượng</x:v>
      </x:c>
      <x:c r="I85" s="14" t="str">
        <x:v>Chương trình Điều 18 khoản 1, khoản 2, khoản 3</x:v>
      </x:c>
      <x:c r="J85" s="14" t="str">
        <x:v>P2</x:v>
      </x:c>
      <x:c r="K85" s="14" t="str">
        <x:v>Chưa bắt đầu</x:v>
      </x:c>
      <x:c r="L85" s="14" t="str"/>
      <x:c r="M85" s="14" t="str">
        <x:v>Quy trình báo cáo; kênh tiếp nhận/gửi Cục HKVN; biểu mẫu; cơ sở dữ liệu báo cáo; phân quyền xử lý.</x:v>
      </x:c>
      <x:c r="N85" s="14" t="str">
        <x:v>Tổng 1 nhiệm vụ liên quan.</x:v>
      </x:c>
    </x:row>
    <x:row r="86">
      <x:c r="A86" s="14" t="str">
        <x:v>PROC-0085</x:v>
      </x:c>
      <x:c r="B86" s="14" t="str">
        <x:v>VATM-0163; VATM-0163</x:v>
      </x:c>
      <x:c r="C86" s="14" t="str">
        <x:v>An toàn hàng không / SMS</x:v>
      </x:c>
      <x:c r="D86" s="14" t="str">
        <x:v>Báo cáo MOR, sự cố và điều tra</x:v>
      </x:c>
      <x:c r="E86" s="14" t="str">
        <x:v>biểu mẫu</x:v>
      </x:c>
      <x:c r="F86" s="14" t="str">
        <x:v>Biểu mẫu/Checklist</x:v>
      </x:c>
      <x:c r="G86" s="14" t="str">
        <x:v>Ban An toàn - Chất lượng</x:v>
      </x:c>
      <x:c r="H86" s="14" t="str">
        <x:v>Các Công ty Quản lý bay khu vực Bắc/Trung/Nam; Ban An toàn - Chất lượng</x:v>
      </x:c>
      <x:c r="I86" s="14" t="str">
        <x:v>Chương trình Điều 18 khoản 1, khoản 2, khoản 3</x:v>
      </x:c>
      <x:c r="J86" s="14" t="str">
        <x:v>P2</x:v>
      </x:c>
      <x:c r="K86" s="14" t="str">
        <x:v>Chưa bắt đầu</x:v>
      </x:c>
      <x:c r="L86" s="14" t="str"/>
      <x:c r="M86" s="14" t="str">
        <x:v>Quy trình báo cáo; kênh tiếp nhận/gửi Cục HKVN; biểu mẫu; cơ sở dữ liệu báo cáo; phân quyền xử lý.</x:v>
      </x:c>
      <x:c r="N86" s="14" t="str">
        <x:v>Tổng 2 nhiệm vụ liên quan.</x:v>
      </x:c>
    </x:row>
    <x:row r="87">
      <x:c r="A87" s="14" t="str">
        <x:v>PROC-0086</x:v>
      </x:c>
      <x:c r="B87" s="14" t="str">
        <x:v>VATM-0163</x:v>
      </x:c>
      <x:c r="C87" s="14" t="str">
        <x:v>An toàn hàng không / SMS</x:v>
      </x:c>
      <x:c r="D87" s="14" t="str">
        <x:v>Báo cáo MOR, sự cố và điều tra</x:v>
      </x:c>
      <x:c r="E87" s="14" t="str">
        <x:v>phân quyền xử lý. Quy trình báo cáo</x:v>
      </x:c>
      <x:c r="F87" s="14" t="str">
        <x:v>Quy trình/SOP</x:v>
      </x:c>
      <x:c r="G87" s="14" t="str">
        <x:v>Ban An toàn - Chất lượng</x:v>
      </x:c>
      <x:c r="H87" s="14" t="str">
        <x:v>Các Công ty Quản lý bay khu vực Bắc/Trung/Nam; Ban An toàn - Chất lượng</x:v>
      </x:c>
      <x:c r="I87" s="14" t="str">
        <x:v>Chương trình Điều 18 khoản 1, khoản 2, khoản 3</x:v>
      </x:c>
      <x:c r="J87" s="14" t="str">
        <x:v>P2</x:v>
      </x:c>
      <x:c r="K87" s="14" t="str">
        <x:v>Chưa bắt đầu</x:v>
      </x:c>
      <x:c r="L87" s="14" t="str"/>
      <x:c r="M87" s="14" t="str">
        <x:v>Quy trình báo cáo; kênh tiếp nhận/gửi Cục HKVN; biểu mẫu; cơ sở dữ liệu báo cáo; phân quyền xử lý.</x:v>
      </x:c>
      <x:c r="N87" s="14" t="str">
        <x:v>Tổng 1 nhiệm vụ liên quan.</x:v>
      </x:c>
    </x:row>
    <x:row r="88">
      <x:c r="A88" s="14" t="str">
        <x:v>PROC-0087</x:v>
      </x:c>
      <x:c r="B88" s="14" t="str">
        <x:v>VATM-0168; VATM-0168; VATM-0551; VATM-0551</x:v>
      </x:c>
      <x:c r="C88" s="14" t="str">
        <x:v>An toàn hàng không / SMS</x:v>
      </x:c>
      <x:c r="D88" s="14" t="str">
        <x:v>Báo cáo MOR, sự cố và điều tra</x:v>
      </x:c>
      <x:c r="E88" s="14" t="str">
        <x:v>hướng dẫn điền</x:v>
      </x:c>
      <x:c r="F88" s="14" t="str">
        <x:v>Quy trình/SOP</x:v>
      </x:c>
      <x:c r="G88" s="14" t="str">
        <x:v>Ban An toàn - Chất lượng</x:v>
      </x:c>
      <x:c r="H88" s="14" t="str">
        <x:v>Các Công ty Quản lý bay khu vực Bắc/Trung/Nam; Ban An toàn - Chất lượng</x:v>
      </x:c>
      <x:c r="I88" s="14" t="str">
        <x:v>Chương trình Điều 19 khoản 2(d); Phụ lục III; Phụ lục IV; Điều 67-68</x:v>
      </x:c>
      <x:c r="J88" s="14" t="str">
        <x:v>P2</x:v>
      </x:c>
      <x:c r="K88" s="14" t="str">
        <x:v>Chưa bắt đầu</x:v>
      </x:c>
      <x:c r="L88" s="14" t="str"/>
      <x:c r="M88" s="14" t="str">
        <x:v>Bộ mẫu MOR; hướng dẫn điền; phân loại sự cố; bằng chứng gửi báo cáo.; Mẫu báo cáo 24h; hướng dẫn điền; kiểm tra định kỳ; Thông tin đầy đủ theo Điều 68; dữ liệu nguồn được dẫn chiếu rõ</x:v>
      </x:c>
      <x:c r="N88" s="14" t="str">
        <x:v>Tổng 4 nhiệm vụ liên quan.</x:v>
      </x:c>
    </x:row>
    <x:row r="89">
      <x:c r="A89" s="14" t="str">
        <x:v>PROC-0088</x:v>
      </x:c>
      <x:c r="B89" s="14" t="str">
        <x:v>VATM-0170; VATM-0170</x:v>
      </x:c>
      <x:c r="C89" s="14" t="str">
        <x:v>An toàn hàng không / SMS</x:v>
      </x:c>
      <x:c r="D89" s="14" t="str">
        <x:v>Chính sách, mục tiêu và văn hóa an toàn</x:v>
      </x:c>
      <x:c r="E89" s="14" t="str">
        <x:v>truyền thông chính sách</x:v>
      </x:c>
      <x:c r="F89" s="14" t="str">
        <x:v>Khác</x:v>
      </x:c>
      <x:c r="G89" s="14" t="str">
        <x:v>Ban An toàn - Chất lượng</x:v>
      </x:c>
      <x:c r="H89" s="14" t="str">
        <x:v>Các Công ty Quản lý bay khu vực Bắc/Trung/Nam; Ban An toàn - Chất lượng</x:v>
      </x:c>
      <x:c r="I89" s="14" t="str">
        <x:v>Chương trình Điều 20 khoản 2</x:v>
      </x:c>
      <x:c r="J89" s="14" t="str">
        <x:v>P2</x:v>
      </x:c>
      <x:c r="K89" s="14" t="str">
        <x:v>Chưa bắt đầu</x:v>
      </x:c>
      <x:c r="L89" s="14" t="str"/>
      <x:c r="M89" s="14" t="str">
        <x:v>Kênh báo cáo tự nguyện; truyền thông chính sách; hướng dẫn bảo vệ người báo cáo.</x:v>
      </x:c>
      <x:c r="N89" s="14" t="str">
        <x:v>Tổng 2 nhiệm vụ liên quan.</x:v>
      </x:c>
    </x:row>
    <x:row r="90">
      <x:c r="A90" s="14" t="str">
        <x:v>PROC-0089</x:v>
      </x:c>
      <x:c r="B90" s="14" t="str">
        <x:v>VATM-0170</x:v>
      </x:c>
      <x:c r="C90" s="14" t="str">
        <x:v>An toàn hàng không / SMS</x:v>
      </x:c>
      <x:c r="D90" s="14" t="str">
        <x:v>Chính sách, mục tiêu và văn hóa an toàn</x:v>
      </x:c>
      <x:c r="E90" s="14" t="str">
        <x:v>hướng dẫn bảo vệ người báo cáo. Kênh báo cáo tự nguyện</x:v>
      </x:c>
      <x:c r="F90" s="14" t="str">
        <x:v>Quy trình/SOP</x:v>
      </x:c>
      <x:c r="G90" s="14" t="str">
        <x:v>Ban An toàn - Chất lượng</x:v>
      </x:c>
      <x:c r="H90" s="14" t="str">
        <x:v>Các Công ty Quản lý bay khu vực Bắc/Trung/Nam; Ban An toàn - Chất lượng</x:v>
      </x:c>
      <x:c r="I90" s="14" t="str">
        <x:v>Chương trình Điều 20 khoản 2</x:v>
      </x:c>
      <x:c r="J90" s="14" t="str">
        <x:v>P2</x:v>
      </x:c>
      <x:c r="K90" s="14" t="str">
        <x:v>Chưa bắt đầu</x:v>
      </x:c>
      <x:c r="L90" s="14" t="str"/>
      <x:c r="M90" s="14" t="str">
        <x:v>Kênh báo cáo tự nguyện; truyền thông chính sách; hướng dẫn bảo vệ người báo cáo.</x:v>
      </x:c>
      <x:c r="N90" s="14" t="str">
        <x:v>Tổng 1 nhiệm vụ liên quan.</x:v>
      </x:c>
    </x:row>
    <x:row r="91">
      <x:c r="A91" s="14" t="str">
        <x:v>PROC-0090</x:v>
      </x:c>
      <x:c r="B91" s="14" t="str">
        <x:v>VATM-0170</x:v>
      </x:c>
      <x:c r="C91" s="14" t="str">
        <x:v>An toàn hàng không / SMS</x:v>
      </x:c>
      <x:c r="D91" s="14" t="str">
        <x:v>Chính sách, mục tiêu và văn hóa an toàn</x:v>
      </x:c>
      <x:c r="E91" s="14" t="str">
        <x:v>hướng dẫn bảo vệ người báo cáo. Đưa vào văn hóa báo cáo không trừng phạt trong phạm vi phù hợp pháp luật</x:v>
      </x:c>
      <x:c r="F91" s="14" t="str">
        <x:v>Quy trình/SOP</x:v>
      </x:c>
      <x:c r="G91" s="14" t="str">
        <x:v>Ban An toàn - Chất lượng</x:v>
      </x:c>
      <x:c r="H91" s="14" t="str">
        <x:v>Các Công ty Quản lý bay khu vực Bắc/Trung/Nam; Ban An toàn - Chất lượng</x:v>
      </x:c>
      <x:c r="I91" s="14" t="str">
        <x:v>Chương trình Điều 20 khoản 2</x:v>
      </x:c>
      <x:c r="J91" s="14" t="str">
        <x:v>P2</x:v>
      </x:c>
      <x:c r="K91" s="14" t="str">
        <x:v>Chưa bắt đầu</x:v>
      </x:c>
      <x:c r="L91" s="14" t="str"/>
      <x:c r="M91" s="14" t="str">
        <x:v>Kênh báo cáo tự nguyện; truyền thông chính sách; hướng dẫn bảo vệ người báo cáo.</x:v>
      </x:c>
      <x:c r="N91" s="14" t="str">
        <x:v>Tổng 1 nhiệm vụ liên quan.</x:v>
      </x:c>
    </x:row>
    <x:row r="92">
      <x:c r="A92" s="14" t="str">
        <x:v>PROC-0091</x:v>
      </x:c>
      <x:c r="B92" s="14" t="str">
        <x:v>VATM-0171</x:v>
      </x:c>
      <x:c r="C92" s="14" t="str">
        <x:v>An toàn hàng không / SMS</x:v>
      </x:c>
      <x:c r="D92" s="14" t="str">
        <x:v>Báo cáo MOR, sự cố và điều tra</x:v>
      </x:c>
      <x:c r="E92" s="14" t="str">
        <x:v>Quy trình rà soát/xác minh</x:v>
      </x:c>
      <x:c r="F92" s="14" t="str">
        <x:v>Quy trình/SOP</x:v>
      </x:c>
      <x:c r="G92" s="14" t="str">
        <x:v>Ban An toàn - Chất lượng</x:v>
      </x:c>
      <x:c r="H92" s="14" t="str">
        <x:v>Các Công ty Quản lý bay khu vực Bắc/Trung/Nam; Ban An toàn - Chất lượng</x:v>
      </x:c>
      <x:c r="I92" s="14" t="str">
        <x:v>Chương trình Điều 20 khoản 4</x:v>
      </x:c>
      <x:c r="J92" s="14" t="str">
        <x:v>P2</x:v>
      </x:c>
      <x:c r="K92" s="14" t="str">
        <x:v>Chưa bắt đầu</x:v>
      </x:c>
      <x:c r="L92" s="14" t="str"/>
      <x:c r="M92" s="14" t="str">
        <x:v>Quy trình rà soát/xác minh; lưu vết chỉnh sửa; xác nhận người báo cáo/tổ chức.</x:v>
      </x:c>
      <x:c r="N92" s="14" t="str">
        <x:v>Tổng 1 nhiệm vụ liên quan.</x:v>
      </x:c>
    </x:row>
    <x:row r="93">
      <x:c r="A93" s="14" t="str">
        <x:v>PROC-0092</x:v>
      </x:c>
      <x:c r="B93" s="14" t="str">
        <x:v>VATM-0171</x:v>
      </x:c>
      <x:c r="C93" s="14" t="str">
        <x:v>An toàn hàng không / SMS</x:v>
      </x:c>
      <x:c r="D93" s="14" t="str">
        <x:v>Báo cáo MOR, sự cố và điều tra</x:v>
      </x:c>
      <x:c r="E93" s="14" t="str">
        <x:v>xác nhận người báo cáo/tổ chức. Quy trình rà soát/xác minh</x:v>
      </x:c>
      <x:c r="F93" s="14" t="str">
        <x:v>Quy trình/SOP</x:v>
      </x:c>
      <x:c r="G93" s="14" t="str">
        <x:v>Ban An toàn - Chất lượng</x:v>
      </x:c>
      <x:c r="H93" s="14" t="str">
        <x:v>Các Công ty Quản lý bay khu vực Bắc/Trung/Nam; Ban An toàn - Chất lượng</x:v>
      </x:c>
      <x:c r="I93" s="14" t="str">
        <x:v>Chương trình Điều 20 khoản 4</x:v>
      </x:c>
      <x:c r="J93" s="14" t="str">
        <x:v>P2</x:v>
      </x:c>
      <x:c r="K93" s="14" t="str">
        <x:v>Chưa bắt đầu</x:v>
      </x:c>
      <x:c r="L93" s="14" t="str"/>
      <x:c r="M93" s="14" t="str">
        <x:v>Quy trình rà soát/xác minh; lưu vết chỉnh sửa; xác nhận người báo cáo/tổ chức.</x:v>
      </x:c>
      <x:c r="N93" s="14" t="str">
        <x:v>Tổng 1 nhiệm vụ liên quan.</x:v>
      </x:c>
    </x:row>
    <x:row r="94">
      <x:c r="A94" s="14" t="str">
        <x:v>PROC-0093</x:v>
      </x:c>
      <x:c r="B94" s="14" t="str">
        <x:v>VATM-0172</x:v>
      </x:c>
      <x:c r="C94" s="14" t="str">
        <x:v>An toàn hàng không / SMS</x:v>
      </x:c>
      <x:c r="D94" s="14" t="str">
        <x:v>Báo cáo MOR, sự cố và điều tra</x:v>
      </x:c>
      <x:c r="E94" s="14" t="str">
        <x:v>Quy trình và cơ sở dữ liệu báo cáo tự nguyện</x:v>
      </x:c>
      <x:c r="F94" s="14" t="str">
        <x:v>Quy trình/SOP</x:v>
      </x:c>
      <x:c r="G94" s="14" t="str">
        <x:v>Ban An toàn - Chất lượng</x:v>
      </x:c>
      <x:c r="H94" s="14" t="str">
        <x:v>Các Công ty Quản lý bay khu vực Bắc/Trung/Nam; Ban An toàn - Chất lượng</x:v>
      </x:c>
      <x:c r="I94" s="14" t="str">
        <x:v>Chương trình Điều 20 khoản 5(a)</x:v>
      </x:c>
      <x:c r="J94" s="14" t="str">
        <x:v>P2</x:v>
      </x:c>
      <x:c r="K94" s="14" t="str">
        <x:v>Chưa bắt đầu</x:v>
      </x:c>
      <x:c r="L94" s="14" t="str"/>
      <x:c r="M94" s="14" t="str">
        <x:v>Quy trình và cơ sở dữ liệu báo cáo tự nguyện; taxonomy phân loại; quy định lưu trữ.</x:v>
      </x:c>
      <x:c r="N94" s="14" t="str">
        <x:v>Tổng 1 nhiệm vụ liên quan.</x:v>
      </x:c>
    </x:row>
    <x:row r="95">
      <x:c r="A95" s="14" t="str">
        <x:v>PROC-0094</x:v>
      </x:c>
      <x:c r="B95" s="14" t="str">
        <x:v>VATM-0172</x:v>
      </x:c>
      <x:c r="C95" s="14" t="str">
        <x:v>An toàn hàng không / SMS</x:v>
      </x:c>
      <x:c r="D95" s="14" t="str">
        <x:v>Báo cáo MOR, sự cố và điều tra</x:v>
      </x:c>
      <x:c r="E95" s="14" t="str">
        <x:v>quy định lưu trữ. Quy trình và cơ sở dữ liệu báo cáo tự nguyện</x:v>
      </x:c>
      <x:c r="F95" s="14" t="str">
        <x:v>Quy trình/SOP</x:v>
      </x:c>
      <x:c r="G95" s="14" t="str">
        <x:v>Ban An toàn - Chất lượng</x:v>
      </x:c>
      <x:c r="H95" s="14" t="str">
        <x:v>Các Công ty Quản lý bay khu vực Bắc/Trung/Nam; Ban An toàn - Chất lượng</x:v>
      </x:c>
      <x:c r="I95" s="14" t="str">
        <x:v>Chương trình Điều 20 khoản 5(a)</x:v>
      </x:c>
      <x:c r="J95" s="14" t="str">
        <x:v>P2</x:v>
      </x:c>
      <x:c r="K95" s="14" t="str">
        <x:v>Chưa bắt đầu</x:v>
      </x:c>
      <x:c r="L95" s="14" t="str"/>
      <x:c r="M95" s="14" t="str">
        <x:v>Quy trình và cơ sở dữ liệu báo cáo tự nguyện; taxonomy phân loại; quy định lưu trữ.</x:v>
      </x:c>
      <x:c r="N95" s="14" t="str">
        <x:v>Tổng 1 nhiệm vụ liên quan.</x:v>
      </x:c>
    </x:row>
    <x:row r="96">
      <x:c r="A96" s="14" t="str">
        <x:v>PROC-0095</x:v>
      </x:c>
      <x:c r="B96" s="14" t="str">
        <x:v>VATM-0173; VATM-0603; VATM-0603</x:v>
      </x:c>
      <x:c r="C96" s="14" t="str">
        <x:v>ANS - AIS/AIM/Tin tức HK</x:v>
      </x:c>
      <x:c r="D96" s="14" t="str">
        <x:v>AIP/NOTAM/dữ liệu hàng không</x:v>
      </x:c>
      <x:c r="E96" s="14" t="str">
        <x:v>Quy chế bảo mật</x:v>
      </x:c>
      <x:c r="F96" s="14" t="str">
        <x:v>Quy trình/SOP</x:v>
      </x:c>
      <x:c r="G96" s="14" t="str">
        <x:v>Trung tâm Thông báo tin tức hàng không; Ban Kế hoạch doanh nghiệp - Chuyển đổi số; Ban Kỹ thuật - CNS/IT/Môi trường</x:v>
      </x:c>
      <x:c r="H96" s="14" t="str">
        <x:v>Các Công ty Quản lý bay khu vực Bắc/Trung/Nam; Trung tâm Thông báo tin tức hàng không</x:v>
      </x:c>
      <x:c r="I96" s="14" t="str">
        <x:v>Chương trình Điều 20 khoản 5(b); Điều 8, 82</x:v>
      </x:c>
      <x:c r="J96" s="14" t="str">
        <x:v>Cao</x:v>
      </x:c>
      <x:c r="K96" s="14" t="str">
        <x:v>Chưa bắt đầu</x:v>
      </x:c>
      <x:c r="L96" s="14" t="str"/>
      <x:c r="M96" s="14" t="str">
        <x:v>Quy chế bảo mật; phân quyền; nhật ký truy cập; cơ chế ẩn danh/giả danh nếu phù hợp.; Giao diện kết nối/API hoặc quy trình trao đổi; data mapping; quy chế bảo mật.; Dữ liệu được chia sẻ đúng quyền, đúng mục đích, đúng tần suất.; Bảo vệ dữ liệu cá nhân/an toàn; không chia sẻ vượt thẩm quyền.; 01 kế hoạch kết nối; thử nghiệm kỹ thuật theo giai đoạn.</x:v>
      </x:c>
      <x:c r="N96" s="14" t="str">
        <x:v>Tổng 3 nhiệm vụ liên quan.</x:v>
      </x:c>
    </x:row>
    <x:row r="97">
      <x:c r="A97" s="14" t="str">
        <x:v>PROC-0096</x:v>
      </x:c>
      <x:c r="B97" s="14" t="str">
        <x:v>VATM-0173</x:v>
      </x:c>
      <x:c r="C97" s="14" t="str">
        <x:v>An toàn hàng không / SMS</x:v>
      </x:c>
      <x:c r="D97" s="14" t="str">
        <x:v>Báo cáo MOR, sự cố và điều tra</x:v>
      </x:c>
      <x:c r="E97" s="14" t="str">
        <x:v>cơ chế ẩn danh/giả danh nếu phù hợp. Quy chế bảo mật</x:v>
      </x:c>
      <x:c r="F97" s="14" t="str">
        <x:v>Quy trình/SOP</x:v>
      </x:c>
      <x:c r="G97" s="14" t="str">
        <x:v>Ban An toàn - Chất lượng</x:v>
      </x:c>
      <x:c r="H97" s="14" t="str">
        <x:v>Các Công ty Quản lý bay khu vực Bắc/Trung/Nam; Ban An toàn - Chất lượng</x:v>
      </x:c>
      <x:c r="I97" s="14" t="str">
        <x:v>Chương trình Điều 20 khoản 5(b)</x:v>
      </x:c>
      <x:c r="J97" s="14" t="str">
        <x:v>P2</x:v>
      </x:c>
      <x:c r="K97" s="14" t="str">
        <x:v>Chưa bắt đầu</x:v>
      </x:c>
      <x:c r="L97" s="14" t="str"/>
      <x:c r="M97" s="14" t="str">
        <x:v>Quy chế bảo mật; phân quyền; nhật ký truy cập; cơ chế ẩn danh/giả danh nếu phù hợp.</x:v>
      </x:c>
      <x:c r="N97" s="14" t="str">
        <x:v>Tổng 1 nhiệm vụ liên quan.</x:v>
      </x:c>
    </x:row>
    <x:row r="98">
      <x:c r="A98" s="14" t="str">
        <x:v>PROC-0097</x:v>
      </x:c>
      <x:c r="B98" s="14" t="str">
        <x:v>VATM-0175; VATM-0611; VATM-0611</x:v>
      </x:c>
      <x:c r="C98" s="14" t="str">
        <x:v>An toàn hàng không / SMS</x:v>
      </x:c>
      <x:c r="D98" s="14" t="str">
        <x:v>Khung SMS và quản trị an toàn</x:v>
      </x:c>
      <x:c r="E98" s="14" t="str">
        <x:v>Chương trình truyền thông</x:v>
      </x:c>
      <x:c r="F98" s="14" t="str">
        <x:v>Khác</x:v>
      </x:c>
      <x:c r="G98" s="14" t="str">
        <x:v>Ban An toàn - Chất lượng</x:v>
      </x:c>
      <x:c r="H98" s="14" t="str">
        <x:v>Các Công ty Quản lý bay khu vực Bắc/Trung/Nam; Ban An toàn - Chất lượng</x:v>
      </x:c>
      <x:c r="I98" s="14" t="str">
        <x:v>Chương trình Điều 20 khoản 5(d); Điều 83, 84</x:v>
      </x:c>
      <x:c r="J98" s="14" t="str">
        <x:v>Cao</x:v>
      </x:c>
      <x:c r="K98" s="14" t="str">
        <x:v>Chưa bắt đầu</x:v>
      </x:c>
      <x:c r="L98" s="14" t="str"/>
      <x:c r="M98" s="14" t="str">
        <x:v>Chương trình truyền thông; chính sách khuyến khích; phản hồi cho người báo cáo; bài học kinh nghiệm.; Bản tin an toàn; chuẩn mực văn hóa an toàn; chương trình truyền thông.; Nhân sự hiểu và thực hành báo cáo, học hỏi, cải tiến an toàn.; Không quy chụp lỗi khi báo cáo thiện chí; tập trung phòng ngừa.; Tối thiểu 04 bản tin/năm; 01 khảo sát văn hóa an toàn/năm.</x:v>
      </x:c>
      <x:c r="N98" s="14" t="str">
        <x:v>Tổng 3 nhiệm vụ liên quan.</x:v>
      </x:c>
    </x:row>
    <x:row r="99">
      <x:c r="A99" s="14" t="str">
        <x:v>PROC-0098</x:v>
      </x:c>
      <x:c r="B99" s="14" t="str">
        <x:v>VATM-0175; VATM-0175</x:v>
      </x:c>
      <x:c r="C99" s="14" t="str">
        <x:v>An toàn hàng không / SMS</x:v>
      </x:c>
      <x:c r="D99" s="14" t="str">
        <x:v>Chính sách, mục tiêu và văn hóa an toàn</x:v>
      </x:c>
      <x:c r="E99" s="14" t="str">
        <x:v>chính sách khuyến khích</x:v>
      </x:c>
      <x:c r="F99" s="14" t="str">
        <x:v>Khác</x:v>
      </x:c>
      <x:c r="G99" s="14" t="str">
        <x:v>Ban An toàn - Chất lượng</x:v>
      </x:c>
      <x:c r="H99" s="14" t="str">
        <x:v>Các Công ty Quản lý bay khu vực Bắc/Trung/Nam; Ban An toàn - Chất lượng</x:v>
      </x:c>
      <x:c r="I99" s="14" t="str">
        <x:v>Chương trình Điều 20 khoản 5(d)</x:v>
      </x:c>
      <x:c r="J99" s="14" t="str">
        <x:v>P2</x:v>
      </x:c>
      <x:c r="K99" s="14" t="str">
        <x:v>Chưa bắt đầu</x:v>
      </x:c>
      <x:c r="L99" s="14" t="str"/>
      <x:c r="M99" s="14" t="str">
        <x:v>Chương trình truyền thông; chính sách khuyến khích; phản hồi cho người báo cáo; bài học kinh nghiệm.</x:v>
      </x:c>
      <x:c r="N99" s="14" t="str">
        <x:v>Tổng 2 nhiệm vụ liên quan.</x:v>
      </x:c>
    </x:row>
    <x:row r="100">
      <x:c r="A100" s="14" t="str">
        <x:v>PROC-0099</x:v>
      </x:c>
      <x:c r="B100" s="14" t="str">
        <x:v>VATM-0175</x:v>
      </x:c>
      <x:c r="C100" s="14" t="str">
        <x:v>An toàn hàng không / SMS</x:v>
      </x:c>
      <x:c r="D100" s="14" t="str">
        <x:v>Chính sách, mục tiêu và văn hóa an toàn</x:v>
      </x:c>
      <x:c r="E100" s="14" t="str">
        <x:v>bài học kinh nghiệm. Chương trình truyền thông</x:v>
      </x:c>
      <x:c r="F100" s="14" t="str">
        <x:v>Khác</x:v>
      </x:c>
      <x:c r="G100" s="14" t="str">
        <x:v>Ban An toàn - Chất lượng</x:v>
      </x:c>
      <x:c r="H100" s="14" t="str">
        <x:v>Các Công ty Quản lý bay khu vực Bắc/Trung/Nam; Ban An toàn - Chất lượng</x:v>
      </x:c>
      <x:c r="I100" s="14" t="str">
        <x:v>Chương trình Điều 20 khoản 5(d)</x:v>
      </x:c>
      <x:c r="J100" s="14" t="str">
        <x:v>P2</x:v>
      </x:c>
      <x:c r="K100" s="14" t="str">
        <x:v>Chưa bắt đầu</x:v>
      </x:c>
      <x:c r="L100" s="14" t="str"/>
      <x:c r="M100" s="14" t="str">
        <x:v>Chương trình truyền thông; chính sách khuyến khích; phản hồi cho người báo cáo; bài học kinh nghiệm.</x:v>
      </x:c>
      <x:c r="N100" s="14" t="str">
        <x:v>Tổng 1 nhiệm vụ liên quan.</x:v>
      </x:c>
    </x:row>
    <x:row r="101">
      <x:c r="A101" s="14" t="str">
        <x:v>PROC-0100</x:v>
      </x:c>
      <x:c r="B101" s="14" t="str">
        <x:v>VATM-0183</x:v>
      </x:c>
      <x:c r="C101" s="14" t="str">
        <x:v>An toàn hàng không / SMS</x:v>
      </x:c>
      <x:c r="D101" s="14" t="str">
        <x:v>Báo cáo MOR, sự cố và điều tra</x:v>
      </x:c>
      <x:c r="E101" s="14" t="str">
        <x:v>phân công đầu mối SMS/MOR. Dùng sheet này như checklist cấp Tổng công ty</x:v>
      </x:c>
      <x:c r="F101" s="14" t="str">
        <x:v>Biểu mẫu/Checklist</x:v>
      </x:c>
      <x:c r="G101" s="14" t="str">
        <x:v>Ban An toàn - Chất lượng</x:v>
      </x:c>
      <x:c r="H101" s="14" t="str">
        <x:v>Các Công ty Quản lý bay khu vực Bắc/Trung/Nam; Ban An toàn - Chất lượng</x:v>
      </x:c>
      <x:c r="I101" s="14" t="str">
        <x:v>Chương trình Điều 9 khoản 1(d); Điều 18 khoản 2(d)</x:v>
      </x:c>
      <x:c r="J101" s="14" t="str">
        <x:v>P2</x:v>
      </x:c>
      <x:c r="K101" s="14" t="str">
        <x:v>Chưa bắt đầu</x:v>
      </x:c>
      <x:c r="L101" s="14" t="str"/>
      <x:c r="M101" s="14" t="str">
        <x:v>Ma trận tuân thủ áp dụng cho toàn Tổng công ty và đơn vị trực thuộc; phân công đầu mối SMS/MOR.</x:v>
      </x:c>
      <x:c r="N101" s="14" t="str">
        <x:v>Tổng 1 nhiệm vụ liên quan.</x:v>
      </x:c>
    </x:row>
    <x:row r="102">
      <x:c r="A102" s="14" t="str">
        <x:v>PROC-0101</x:v>
      </x:c>
      <x:c r="B102" s="14" t="str">
        <x:v>VATM-0184; VATM-0188; VATM-0218</x:v>
      </x:c>
      <x:c r="C102" s="14" t="str">
        <x:v>An toàn hàng không / SMS</x:v>
      </x:c>
      <x:c r="D102" s="14" t="str">
        <x:v>Chính sách, mục tiêu và văn hóa an toàn</x:v>
      </x:c>
      <x:c r="E102" s="14" t="str">
        <x:v>SMS manual</x:v>
      </x:c>
      <x:c r="F102" s="14" t="str">
        <x:v>Khác</x:v>
      </x:c>
      <x:c r="G102" s="14" t="str">
        <x:v>Ban An toàn - Chất lượng</x:v>
      </x:c>
      <x:c r="H102" s="14" t="str">
        <x:v>Các Công ty Quản lý bay khu vực Bắc/Trung/Nam; Ban An toàn - Chất lượng</x:v>
      </x:c>
      <x:c r="I102" s="14" t="str">
        <x:v>Chương trình Điều 9; Phụ lục I; Phụ lục I Điều 5; Điều 5 khoản 1(a)-(d)</x:v>
      </x:c>
      <x:c r="J102" s="14" t="str">
        <x:v>P2</x:v>
      </x:c>
      <x:c r="K102" s="14" t="str">
        <x:v>Chưa bắt đầu</x:v>
      </x:c>
      <x:c r="L102" s="14" t="str"/>
      <x:c r="M102" s="14" t="str">
        <x:v>SMS manual; quy trình nhận diện mối nguy, đánh giá rủi ro, quản lý thay đổi, đào tạo/truyền thông; hồ sơ SMS.; SMS manual; quy trình SMS; hồ sơ đánh giá rủi ro, hành động, đào tạo, truyền thông, thay đổi, họp an toàn.; SMS Manual; quy trình/thủ tục SMS; ma trận trách nhiệm; kiểm soát phiên bản.</x:v>
      </x:c>
      <x:c r="N102" s="14" t="str">
        <x:v>Tổng 3 nhiệm vụ liên quan.</x:v>
      </x:c>
    </x:row>
    <x:row r="103">
      <x:c r="A103" s="14" t="str">
        <x:v>PROC-0102</x:v>
      </x:c>
      <x:c r="B103" s="14" t="str">
        <x:v>VATM-0184; VATM-0184</x:v>
      </x:c>
      <x:c r="C103" s="14" t="str">
        <x:v>An toàn hàng không / SMS</x:v>
      </x:c>
      <x:c r="D103" s="14" t="str">
        <x:v>Chính sách, mục tiêu và văn hóa an toàn</x:v>
      </x:c>
      <x:c r="E103" s="14" t="str">
        <x:v>quy trình nhận diện mối nguy, đánh giá rủi ro, quản lý thay đổi, đào tạo/truyền thông</x:v>
      </x:c>
      <x:c r="F103" s="14" t="str">
        <x:v>Quy trình/SOP</x:v>
      </x:c>
      <x:c r="G103" s="14" t="str">
        <x:v>Ban An toàn - Chất lượng</x:v>
      </x:c>
      <x:c r="H103" s="14" t="str">
        <x:v>Các Công ty Quản lý bay khu vực Bắc/Trung/Nam; Ban An toàn - Chất lượng</x:v>
      </x:c>
      <x:c r="I103" s="14" t="str">
        <x:v>Chương trình Điều 9; Phụ lục I</x:v>
      </x:c>
      <x:c r="J103" s="14" t="str">
        <x:v>P2</x:v>
      </x:c>
      <x:c r="K103" s="14" t="str">
        <x:v>Chưa bắt đầu</x:v>
      </x:c>
      <x:c r="L103" s="14" t="str"/>
      <x:c r="M103" s="14" t="str">
        <x:v>SMS manual; quy trình nhận diện mối nguy, đánh giá rủi ro, quản lý thay đổi, đào tạo/truyền thông; hồ sơ SMS.</x:v>
      </x:c>
      <x:c r="N103" s="14" t="str">
        <x:v>Tổng 2 nhiệm vụ liên quan.</x:v>
      </x:c>
    </x:row>
    <x:row r="104">
      <x:c r="A104" s="14" t="str">
        <x:v>PROC-0103</x:v>
      </x:c>
      <x:c r="B104" s="14" t="str">
        <x:v>VATM-0184</x:v>
      </x:c>
      <x:c r="C104" s="14" t="str">
        <x:v>An toàn hàng không / SMS</x:v>
      </x:c>
      <x:c r="D104" s="14" t="str">
        <x:v>Chính sách, mục tiêu và văn hóa an toàn</x:v>
      </x:c>
      <x:c r="E104" s="14" t="str">
        <x:v>hồ sơ SMS. SMS manual</x:v>
      </x:c>
      <x:c r="F104" s="14" t="str">
        <x:v>Khác</x:v>
      </x:c>
      <x:c r="G104" s="14" t="str">
        <x:v>Ban An toàn - Chất lượng</x:v>
      </x:c>
      <x:c r="H104" s="14" t="str">
        <x:v>Các Công ty Quản lý bay khu vực Bắc/Trung/Nam; Ban An toàn - Chất lượng</x:v>
      </x:c>
      <x:c r="I104" s="14" t="str">
        <x:v>Chương trình Điều 9; Phụ lục I</x:v>
      </x:c>
      <x:c r="J104" s="14" t="str">
        <x:v>P2</x:v>
      </x:c>
      <x:c r="K104" s="14" t="str">
        <x:v>Chưa bắt đầu</x:v>
      </x:c>
      <x:c r="L104" s="14" t="str"/>
      <x:c r="M104" s="14" t="str">
        <x:v>SMS manual; quy trình nhận diện mối nguy, đánh giá rủi ro, quản lý thay đổi, đào tạo/truyền thông; hồ sơ SMS.</x:v>
      </x:c>
      <x:c r="N104" s="14" t="str">
        <x:v>Tổng 1 nhiệm vụ liên quan.</x:v>
      </x:c>
    </x:row>
    <x:row r="105">
      <x:c r="A105" s="14" t="str">
        <x:v>PROC-0104</x:v>
      </x:c>
      <x:c r="B105" s="14" t="str">
        <x:v>VATM-0184</x:v>
      </x:c>
      <x:c r="C105" s="14" t="str">
        <x:v>An toàn hàng không / SMS</x:v>
      </x:c>
      <x:c r="D105" s="14" t="str">
        <x:v>Chính sách, mục tiêu và văn hóa an toàn</x:v>
      </x:c>
      <x:c r="E105" s="14" t="str">
        <x:v>các đơn vị khai thác dịch vụ cập nhật quy trình tại cơ sở</x:v>
      </x:c>
      <x:c r="F105" s="14" t="str">
        <x:v>Quy trình/SOP</x:v>
      </x:c>
      <x:c r="G105" s="14" t="str">
        <x:v>Ban An toàn - Chất lượng</x:v>
      </x:c>
      <x:c r="H105" s="14" t="str">
        <x:v>Các Công ty Quản lý bay khu vực Bắc/Trung/Nam; Ban An toàn - Chất lượng</x:v>
      </x:c>
      <x:c r="I105" s="14" t="str">
        <x:v>Chương trình Điều 9; Phụ lục I</x:v>
      </x:c>
      <x:c r="J105" s="14" t="str">
        <x:v>P2</x:v>
      </x:c>
      <x:c r="K105" s="14" t="str">
        <x:v>Chưa bắt đầu</x:v>
      </x:c>
      <x:c r="L105" s="14" t="str"/>
      <x:c r="M105" s="14" t="str">
        <x:v>SMS manual; quy trình nhận diện mối nguy, đánh giá rủi ro, quản lý thay đổi, đào tạo/truyền thông; hồ sơ SMS.</x:v>
      </x:c>
      <x:c r="N105" s="14" t="str">
        <x:v>Tổng 1 nhiệm vụ liên quan.</x:v>
      </x:c>
    </x:row>
    <x:row r="106">
      <x:c r="A106" s="14" t="str">
        <x:v>PROC-0105</x:v>
      </x:c>
      <x:c r="B106" s="14" t="str">
        <x:v>VATM-0188; VATM-0188</x:v>
      </x:c>
      <x:c r="C106" s="14" t="str">
        <x:v>An toàn hàng không / SMS</x:v>
      </x:c>
      <x:c r="D106" s="14" t="str">
        <x:v>Chính sách, mục tiêu và văn hóa an toàn</x:v>
      </x:c>
      <x:c r="E106" s="14" t="str">
        <x:v>quy trình SMS</x:v>
      </x:c>
      <x:c r="F106" s="14" t="str">
        <x:v>Quy trình/SOP</x:v>
      </x:c>
      <x:c r="G106" s="14" t="str">
        <x:v>Ban An toàn - Chất lượng</x:v>
      </x:c>
      <x:c r="H106" s="14" t="str">
        <x:v>Các Công ty Quản lý bay khu vực Bắc/Trung/Nam; Ban An toàn - Chất lượng</x:v>
      </x:c>
      <x:c r="I106" s="14" t="str">
        <x:v>Phụ lục I Điều 5</x:v>
      </x:c>
      <x:c r="J106" s="14" t="str">
        <x:v>P2</x:v>
      </x:c>
      <x:c r="K106" s="14" t="str">
        <x:v>Chưa bắt đầu</x:v>
      </x:c>
      <x:c r="L106" s="14" t="str"/>
      <x:c r="M106" s="14" t="str">
        <x:v>SMS manual; quy trình SMS; hồ sơ đánh giá rủi ro, hành động, đào tạo, truyền thông, thay đổi, họp an toàn.</x:v>
      </x:c>
      <x:c r="N106" s="14" t="str">
        <x:v>Tổng 2 nhiệm vụ liên quan.</x:v>
      </x:c>
    </x:row>
    <x:row r="107">
      <x:c r="A107" s="14" t="str">
        <x:v>PROC-0106</x:v>
      </x:c>
      <x:c r="B107" s="14" t="str">
        <x:v>VATM-0188</x:v>
      </x:c>
      <x:c r="C107" s="14" t="str">
        <x:v>An toàn hàng không / SMS</x:v>
      </x:c>
      <x:c r="D107" s="14" t="str">
        <x:v>Chính sách, mục tiêu và văn hóa an toàn</x:v>
      </x:c>
      <x:c r="E107" s="14" t="str">
        <x:v>hồ sơ đánh giá rủi ro, hành động, đào tạo, truyền thông, thay đổi, họp an toàn. SMS manual</x:v>
      </x:c>
      <x:c r="F107" s="14" t="str">
        <x:v>Khác</x:v>
      </x:c>
      <x:c r="G107" s="14" t="str">
        <x:v>Ban An toàn - Chất lượng</x:v>
      </x:c>
      <x:c r="H107" s="14" t="str">
        <x:v>Các Công ty Quản lý bay khu vực Bắc/Trung/Nam; Ban An toàn - Chất lượng</x:v>
      </x:c>
      <x:c r="I107" s="14" t="str">
        <x:v>Phụ lục I Điều 5</x:v>
      </x:c>
      <x:c r="J107" s="14" t="str">
        <x:v>P2</x:v>
      </x:c>
      <x:c r="K107" s="14" t="str">
        <x:v>Chưa bắt đầu</x:v>
      </x:c>
      <x:c r="L107" s="14" t="str"/>
      <x:c r="M107" s="14" t="str">
        <x:v>SMS manual; quy trình SMS; hồ sơ đánh giá rủi ro, hành động, đào tạo, truyền thông, thay đổi, họp an toàn.</x:v>
      </x:c>
      <x:c r="N107" s="14" t="str">
        <x:v>Tổng 1 nhiệm vụ liên quan.</x:v>
      </x:c>
    </x:row>
    <x:row r="108">
      <x:c r="A108" s="14" t="str">
        <x:v>PROC-0107</x:v>
      </x:c>
      <x:c r="B108" s="14" t="str">
        <x:v>VATM-0190</x:v>
      </x:c>
      <x:c r="C108" s="14" t="str">
        <x:v>An toàn hàng không / SMS</x:v>
      </x:c>
      <x:c r="D108" s="14" t="str">
        <x:v>Quản lý rủi ro và thay đổi</x:v>
      </x:c>
      <x:c r="E108" s="14" t="str">
        <x:v>xác nhận sau triển khai. Áp dụng cho thay đổi vùng trời, phương thức bay, tần số, hệ thống CNS/ATM, tổ chức trực, nhân lực, dữ liệu AIS/MET và quy trình hiệp đồng</x:v>
      </x:c>
      <x:c r="F108" s="14" t="str">
        <x:v>Quy trình/SOP</x:v>
      </x:c>
      <x:c r="G108" s="14" t="str">
        <x:v>Ban An toàn - Chất lượng</x:v>
      </x:c>
      <x:c r="H108" s="14" t="str">
        <x:v>Các Công ty Quản lý bay khu vực Bắc/Trung/Nam; Ban An toàn - Chất lượng</x:v>
      </x:c>
      <x:c r="I108" s="14" t="str">
        <x:v>Phụ lục I Điều 9</x:v>
      </x:c>
      <x:c r="J108" s="14" t="str">
        <x:v>P2</x:v>
      </x:c>
      <x:c r="K108" s="14" t="str">
        <x:v>Chưa bắt đầu</x:v>
      </x:c>
      <x:c r="L108" s="14" t="str"/>
      <x:c r="M108" s="14" t="str">
        <x:v>Change safety assessment; hồ sơ phê duyệt thay đổi; kế hoạch giảm thiểu; xác nhận sau triển khai.</x:v>
      </x:c>
      <x:c r="N108" s="14" t="str">
        <x:v>Tổng 1 nhiệm vụ liên quan.</x:v>
      </x:c>
    </x:row>
    <x:row r="109">
      <x:c r="A109" s="14" t="str">
        <x:v>PROC-0108</x:v>
      </x:c>
      <x:c r="B109" s="14" t="str">
        <x:v>VATM-0192</x:v>
      </x:c>
      <x:c r="C109" s="14" t="str">
        <x:v>An toàn hàng không / SMS</x:v>
      </x:c>
      <x:c r="D109" s="14" t="str">
        <x:v>Bảo đảm an toàn, giám sát và audit</x:v>
      </x:c>
      <x:c r="E109" s="14" t="str">
        <x:v>hành động cải tiến. Ưu tiên cải tiến các quy trình có điểm không phù hợp lặp lại hoặc SPI xấu đi</x:v>
      </x:c>
      <x:c r="F109" s="14" t="str">
        <x:v>Quy trình/SOP</x:v>
      </x:c>
      <x:c r="G109" s="14" t="str">
        <x:v>Ban An toàn - Chất lượng</x:v>
      </x:c>
      <x:c r="H109" s="14" t="str">
        <x:v>Các Công ty Quản lý bay khu vực Bắc/Trung/Nam; Ban An toàn - Chất lượng</x:v>
      </x:c>
      <x:c r="I109" s="14" t="str">
        <x:v>Phụ lục I Điều 10</x:v>
      </x:c>
      <x:c r="J109" s="14" t="str">
        <x:v>P2</x:v>
      </x:c>
      <x:c r="K109" s="14" t="str">
        <x:v>Chưa bắt đầu</x:v>
      </x:c>
      <x:c r="L109" s="14" t="str"/>
      <x:c r="M109" s="14" t="str">
        <x:v>Kế hoạch cải tiến SMS; kết quả đánh giá nội bộ; bài học kinh nghiệm; hành động cải tiến.</x:v>
      </x:c>
      <x:c r="N109" s="14" t="str">
        <x:v>Tổng 1 nhiệm vụ liên quan.</x:v>
      </x:c>
    </x:row>
    <x:row r="110">
      <x:c r="A110" s="14" t="str">
        <x:v>PROC-0109</x:v>
      </x:c>
      <x:c r="B110" s="14" t="str">
        <x:v>VATM-0193; VATM-0193; VATM-0227; VATM-0502; VATM-0619</x:v>
      </x:c>
      <x:c r="C110" s="14" t="str">
        <x:v>An toàn hàng không / SMS</x:v>
      </x:c>
      <x:c r="D110" s="14" t="str">
        <x:v>Khung SMS và quản trị an toàn</x:v>
      </x:c>
      <x:c r="E110" s="14" t="str">
        <x:v>chương trình đào tạo</x:v>
      </x:c>
      <x:c r="F110" s="14" t="str">
        <x:v>Khác</x:v>
      </x:c>
      <x:c r="G110" s="14" t="str">
        <x:v>Ban An toàn - Chất lượng</x:v>
      </x:c>
      <x:c r="H110" s="14" t="str">
        <x:v>Các Công ty Quản lý bay khu vực Bắc/Trung/Nam; Ban An toàn - Chất lượng</x:v>
      </x:c>
      <x:c r="I110" s="14" t="str">
        <x:v>Chương trình Điều 14 khoản 2; Phụ lục I Điều 11; Điều 11 khoản 1; Toàn bộ; Điều 88; Điều 47</x:v>
      </x:c>
      <x:c r="J110" s="14" t="str">
        <x:v>P2</x:v>
      </x:c>
      <x:c r="K110" s="14" t="str">
        <x:v>Chưa bắt đầu</x:v>
      </x:c>
      <x:c r="L110" s="14" t="str"/>
      <x:c r="M110" s="14" t="str">
        <x:v>Ma trận năng lực SMS; chương trình đào tạo; hồ sơ hoàn thành; đánh giá sau đào tạo.; Chương trình đào tạo; ma trận năng lực; hồ sơ đào tạo; kết quả đánh giá.; Chương trình đào tạo; tài liệu tóm tắt theo vai trò; bài kiểm tra; 100% nhân sự trọng yếu hoàn thành đào tạo trước khi áp dụng SOP mới; Tối thiểu 08 module theo nhóm nghiệp vụ; ...</x:v>
      </x:c>
      <x:c r="N110" s="14" t="str">
        <x:v>Tổng 5 nhiệm vụ liên quan.</x:v>
      </x:c>
    </x:row>
    <x:row r="111">
      <x:c r="A111" s="14" t="str">
        <x:v>PROC-0110</x:v>
      </x:c>
      <x:c r="B111" s="14" t="str">
        <x:v>VATM-0195; VATM-0195</x:v>
      </x:c>
      <x:c r="C111" s="14" t="str">
        <x:v>An toàn hàng không / SMS</x:v>
      </x:c>
      <x:c r="D111" s="14" t="str">
        <x:v>Bảo đảm an toàn, giám sát và audit</x:v>
      </x:c>
      <x:c r="E111" s="14" t="str">
        <x:v>quy trình cung cấp dữ liệu</x:v>
      </x:c>
      <x:c r="F111" s="14" t="str">
        <x:v>Quy trình/SOP</x:v>
      </x:c>
      <x:c r="G111" s="14" t="str">
        <x:v>Ban An toàn - Chất lượng</x:v>
      </x:c>
      <x:c r="H111" s="14" t="str">
        <x:v>Các Công ty Quản lý bay khu vực Bắc/Trung/Nam; Ban An toàn - Chất lượng</x:v>
      </x:c>
      <x:c r="I111" s="14" t="str">
        <x:v>Chương trình Điều 15 khoản 4, khoản 6</x:v>
      </x:c>
      <x:c r="J111" s="14" t="str">
        <x:v>P2</x:v>
      </x:c>
      <x:c r="K111" s="14" t="str">
        <x:v>Chưa bắt đầu</x:v>
      </x:c>
      <x:c r="L111" s="14" t="str"/>
      <x:c r="M111" s="14" t="str">
        <x:v>Quy định quản lý dữ liệu ghi âm/giám sát; phân quyền; log truy cập; quy trình cung cấp dữ liệu; hồ sơ yêu cầu/phê duyệt.</x:v>
      </x:c>
      <x:c r="N111" s="14" t="str">
        <x:v>Tổng 2 nhiệm vụ liên quan.</x:v>
      </x:c>
    </x:row>
    <x:row r="112">
      <x:c r="A112" s="14" t="str">
        <x:v>PROC-0111</x:v>
      </x:c>
      <x:c r="B112" s="14" t="str">
        <x:v>VATM-0196</x:v>
      </x:c>
      <x:c r="C112" s="14" t="str">
        <x:v>An toàn hàng không / SMS</x:v>
      </x:c>
      <x:c r="D112" s="14" t="str">
        <x:v>Báo cáo MOR, sự cố và điều tra</x:v>
      </x:c>
      <x:c r="E112" s="14" t="str">
        <x:v>Quy trình MOR/VOR/giảng bình/báo cáo định kỳ</x:v>
      </x:c>
      <x:c r="F112" s="14" t="str">
        <x:v>Quy trình/SOP</x:v>
      </x:c>
      <x:c r="G112" s="14" t="str">
        <x:v>Ban An toàn - Chất lượng</x:v>
      </x:c>
      <x:c r="H112" s="14" t="str">
        <x:v>Các Công ty Quản lý bay khu vực Bắc/Trung/Nam; Ban An toàn - Chất lượng</x:v>
      </x:c>
      <x:c r="I112" s="14" t="str">
        <x:v>Chương trình Điều 18 khoản 1-4</x:v>
      </x:c>
      <x:c r="J112" s="14" t="str">
        <x:v>P2</x:v>
      </x:c>
      <x:c r="K112" s="14" t="str">
        <x:v>Chưa bắt đầu</x:v>
      </x:c>
      <x:c r="L112" s="14" t="str"/>
      <x:c r="M112" s="14" t="str">
        <x:v>Quy trình MOR/VOR/giảng bình/báo cáo định kỳ; cơ sở dữ liệu báo cáo; phân quyền xử lý; mẫu biểu.</x:v>
      </x:c>
      <x:c r="N112" s="14" t="str">
        <x:v>Tổng 1 nhiệm vụ liên quan.</x:v>
      </x:c>
    </x:row>
    <x:row r="113">
      <x:c r="A113" s="14" t="str">
        <x:v>PROC-0112</x:v>
      </x:c>
      <x:c r="B113" s="14" t="str">
        <x:v>VATM-0196</x:v>
      </x:c>
      <x:c r="C113" s="14" t="str">
        <x:v>An toàn hàng không / SMS</x:v>
      </x:c>
      <x:c r="D113" s="14" t="str">
        <x:v>Báo cáo MOR, sự cố và điều tra</x:v>
      </x:c>
      <x:c r="E113" s="14" t="str">
        <x:v>mẫu biểu. Quy trình MOR/VOR/giảng bình/báo cáo định kỳ</x:v>
      </x:c>
      <x:c r="F113" s="14" t="str">
        <x:v>Quy trình/SOP</x:v>
      </x:c>
      <x:c r="G113" s="14" t="str">
        <x:v>Ban An toàn - Chất lượng</x:v>
      </x:c>
      <x:c r="H113" s="14" t="str">
        <x:v>Các Công ty Quản lý bay khu vực Bắc/Trung/Nam; Ban An toàn - Chất lượng</x:v>
      </x:c>
      <x:c r="I113" s="14" t="str">
        <x:v>Chương trình Điều 18 khoản 1-4</x:v>
      </x:c>
      <x:c r="J113" s="14" t="str">
        <x:v>P2</x:v>
      </x:c>
      <x:c r="K113" s="14" t="str">
        <x:v>Chưa bắt đầu</x:v>
      </x:c>
      <x:c r="L113" s="14" t="str"/>
      <x:c r="M113" s="14" t="str">
        <x:v>Quy trình MOR/VOR/giảng bình/báo cáo định kỳ; cơ sở dữ liệu báo cáo; phân quyền xử lý; mẫu biểu.</x:v>
      </x:c>
      <x:c r="N113" s="14" t="str">
        <x:v>Tổng 1 nhiệm vụ liên quan.</x:v>
      </x:c>
    </x:row>
    <x:row r="114">
      <x:c r="A114" s="14" t="str">
        <x:v>PROC-0113</x:v>
      </x:c>
      <x:c r="B114" s="14" t="str">
        <x:v>VATM-0203</x:v>
      </x:c>
      <x:c r="C114" s="14" t="str">
        <x:v>An toàn hàng không / SMS</x:v>
      </x:c>
      <x:c r="D114" s="14" t="str">
        <x:v>Khung SMS và quản trị an toàn</x:v>
      </x:c>
      <x:c r="E114" s="14" t="str">
        <x:v>Chính sách an toàn</x:v>
      </x:c>
      <x:c r="F114" s="14" t="str">
        <x:v>Khác</x:v>
      </x:c>
      <x:c r="G114" s="14" t="str">
        <x:v>Ban An toàn - Chất lượng</x:v>
      </x:c>
      <x:c r="H114" s="14" t="str">
        <x:v>Các Công ty Quản lý bay khu vực Bắc/Trung/Nam; Ban An toàn - Chất lượng</x:v>
      </x:c>
      <x:c r="I114" s="14" t="str">
        <x:v>Điều 1 khoản 1(a)</x:v>
      </x:c>
      <x:c r="J114" s="14" t="str">
        <x:v>P2</x:v>
      </x:c>
      <x:c r="K114" s="14" t="str">
        <x:v>Chưa bắt đầu</x:v>
      </x:c>
      <x:c r="L114" s="14" t="str"/>
      <x:c r="M114" s="14" t="str">
        <x:v>Chính sách an toàn; thông điệp/cam kết của lãnh đạo; chương trình văn hóa an toàn.</x:v>
      </x:c>
      <x:c r="N114" s="14" t="str">
        <x:v>Tổng 1 nhiệm vụ liên quan.</x:v>
      </x:c>
    </x:row>
    <x:row r="115">
      <x:c r="A115" s="14" t="str">
        <x:v>PROC-0114</x:v>
      </x:c>
      <x:c r="B115" s="14" t="str">
        <x:v>VATM-0203</x:v>
      </x:c>
      <x:c r="C115" s="14" t="str">
        <x:v>An toàn hàng không / SMS</x:v>
      </x:c>
      <x:c r="D115" s="14" t="str">
        <x:v>Khung SMS và quản trị an toàn</x:v>
      </x:c>
      <x:c r="E115" s="14" t="str">
        <x:v>chương trình văn hóa an toàn. Chính sách an toàn</x:v>
      </x:c>
      <x:c r="F115" s="14" t="str">
        <x:v>Khác</x:v>
      </x:c>
      <x:c r="G115" s="14" t="str">
        <x:v>Ban An toàn - Chất lượng</x:v>
      </x:c>
      <x:c r="H115" s="14" t="str">
        <x:v>Các Công ty Quản lý bay khu vực Bắc/Trung/Nam; Ban An toàn - Chất lượng</x:v>
      </x:c>
      <x:c r="I115" s="14" t="str">
        <x:v>Điều 1 khoản 1(a)</x:v>
      </x:c>
      <x:c r="J115" s="14" t="str">
        <x:v>P2</x:v>
      </x:c>
      <x:c r="K115" s="14" t="str">
        <x:v>Chưa bắt đầu</x:v>
      </x:c>
      <x:c r="L115" s="14" t="str"/>
      <x:c r="M115" s="14" t="str">
        <x:v>Chính sách an toàn; thông điệp/cam kết của lãnh đạo; chương trình văn hóa an toàn.</x:v>
      </x:c>
      <x:c r="N115" s="14" t="str">
        <x:v>Tổng 1 nhiệm vụ liên quan.</x:v>
      </x:c>
    </x:row>
    <x:row r="116">
      <x:c r="A116" s="14" t="str">
        <x:v>PROC-0115</x:v>
      </x:c>
      <x:c r="B116" s="14" t="str">
        <x:v>VATM-0203</x:v>
      </x:c>
      <x:c r="C116" s="14" t="str">
        <x:v>An toàn hàng không / SMS</x:v>
      </x:c>
      <x:c r="D116" s="14" t="str">
        <x:v>Khung SMS và quản trị an toàn</x:v>
      </x:c>
      <x:c r="E116" s="14" t="str">
        <x:v>chương trình văn hóa an toàn</x:v>
      </x:c>
      <x:c r="F116" s="14" t="str">
        <x:v>Khác</x:v>
      </x:c>
      <x:c r="G116" s="14" t="str">
        <x:v>Ban An toàn - Chất lượng</x:v>
      </x:c>
      <x:c r="H116" s="14" t="str">
        <x:v>Các Công ty Quản lý bay khu vực Bắc/Trung/Nam; Ban An toàn - Chất lượng</x:v>
      </x:c>
      <x:c r="I116" s="14" t="str">
        <x:v>Điều 1 khoản 1(a)</x:v>
      </x:c>
      <x:c r="J116" s="14" t="str">
        <x:v>P2</x:v>
      </x:c>
      <x:c r="K116" s="14" t="str">
        <x:v>Chưa bắt đầu</x:v>
      </x:c>
      <x:c r="L116" s="14" t="str"/>
      <x:c r="M116" s="14" t="str">
        <x:v>Chính sách an toàn; thông điệp/cam kết của lãnh đạo; chương trình văn hóa an toàn.</x:v>
      </x:c>
      <x:c r="N116" s="14" t="str">
        <x:v>Tổng 1 nhiệm vụ liên quan.</x:v>
      </x:c>
    </x:row>
    <x:row r="117">
      <x:c r="A117" s="14" t="str">
        <x:v>PROC-0116</x:v>
      </x:c>
      <x:c r="B117" s="14" t="str">
        <x:v>VATM-0205</x:v>
      </x:c>
      <x:c r="C117" s="14" t="str">
        <x:v>An toàn hàng không / SMS</x:v>
      </x:c>
      <x:c r="D117" s="14" t="str">
        <x:v>Khung SMS và quản trị an toàn</x:v>
      </x:c>
      <x:c r="E117" s="14" t="str">
        <x:v>Quy trình báo cáo bắt buộc/tự nguyện/giảng bình/định kỳ</x:v>
      </x:c>
      <x:c r="F117" s="14" t="str">
        <x:v>Quy trình/SOP</x:v>
      </x:c>
      <x:c r="G117" s="14" t="str">
        <x:v>Ban An toàn - Chất lượng</x:v>
      </x:c>
      <x:c r="H117" s="14" t="str">
        <x:v>Các Công ty Quản lý bay khu vực Bắc/Trung/Nam; Ban An toàn - Chất lượng</x:v>
      </x:c>
      <x:c r="I117" s="14" t="str">
        <x:v>Điều 1 khoản 1(c)</x:v>
      </x:c>
      <x:c r="J117" s="14" t="str">
        <x:v>P2</x:v>
      </x:c>
      <x:c r="K117" s="14" t="str">
        <x:v>Chưa bắt đầu</x:v>
      </x:c>
      <x:c r="L117" s="14" t="str"/>
      <x:c r="M117" s="14" t="str">
        <x:v>Quy trình báo cáo bắt buộc/tự nguyện/giảng bình/định kỳ; kênh tiếp nhận.</x:v>
      </x:c>
      <x:c r="N117" s="14" t="str">
        <x:v>Tổng 1 nhiệm vụ liên quan.</x:v>
      </x:c>
    </x:row>
    <x:row r="118">
      <x:c r="A118" s="14" t="str">
        <x:v>PROC-0117</x:v>
      </x:c>
      <x:c r="B118" s="14" t="str">
        <x:v>VATM-0205</x:v>
      </x:c>
      <x:c r="C118" s="14" t="str">
        <x:v>An toàn hàng không / SMS</x:v>
      </x:c>
      <x:c r="D118" s="14" t="str">
        <x:v>Khung SMS và quản trị an toàn</x:v>
      </x:c>
      <x:c r="E118" s="14" t="str">
        <x:v>kênh tiếp nhận. Quy trình báo cáo bắt buộc/tự nguyện/giảng bình/định kỳ</x:v>
      </x:c>
      <x:c r="F118" s="14" t="str">
        <x:v>Quy trình/SOP</x:v>
      </x:c>
      <x:c r="G118" s="14" t="str">
        <x:v>Ban An toàn - Chất lượng</x:v>
      </x:c>
      <x:c r="H118" s="14" t="str">
        <x:v>Các Công ty Quản lý bay khu vực Bắc/Trung/Nam; Ban An toàn - Chất lượng</x:v>
      </x:c>
      <x:c r="I118" s="14" t="str">
        <x:v>Điều 1 khoản 1(c)</x:v>
      </x:c>
      <x:c r="J118" s="14" t="str">
        <x:v>P2</x:v>
      </x:c>
      <x:c r="K118" s="14" t="str">
        <x:v>Chưa bắt đầu</x:v>
      </x:c>
      <x:c r="L118" s="14" t="str"/>
      <x:c r="M118" s="14" t="str">
        <x:v>Quy trình báo cáo bắt buộc/tự nguyện/giảng bình/định kỳ; kênh tiếp nhận.</x:v>
      </x:c>
      <x:c r="N118" s="14" t="str">
        <x:v>Tổng 1 nhiệm vụ liên quan.</x:v>
      </x:c>
    </x:row>
    <x:row r="119">
      <x:c r="A119" s="14" t="str">
        <x:v>PROC-0118</x:v>
      </x:c>
      <x:c r="B119" s="14" t="str">
        <x:v>VATM-0214</x:v>
      </x:c>
      <x:c r="C119" s="14" t="str">
        <x:v>An toàn hàng không / SMS</x:v>
      </x:c>
      <x:c r="D119" s="14" t="str">
        <x:v>Khung SMS và quản trị an toàn</x:v>
      </x:c>
      <x:c r="E119" s="14" t="str">
        <x:v>quy trình phê duyệt rủi ro. Ma trận chấp nhận rủi ro</x:v>
      </x:c>
      <x:c r="F119" s="14" t="str">
        <x:v>Quy trình/SOP</x:v>
      </x:c>
      <x:c r="G119" s="14" t="str">
        <x:v>Ban An toàn - Chất lượng</x:v>
      </x:c>
      <x:c r="H119" s="14" t="str">
        <x:v>Các Công ty Quản lý bay khu vực Bắc/Trung/Nam; Ban An toàn - Chất lượng</x:v>
      </x:c>
      <x:c r="I119" s="14" t="str">
        <x:v>Điều 2 khoản 3</x:v>
      </x:c>
      <x:c r="J119" s="14" t="str">
        <x:v>P2</x:v>
      </x:c>
      <x:c r="K119" s="14" t="str">
        <x:v>Chưa bắt đầu</x:v>
      </x:c>
      <x:c r="L119" s="14" t="str"/>
      <x:c r="M119" s="14" t="str">
        <x:v>Ma trận chấp nhận rủi ro; quy trình phê duyệt rủi ro.</x:v>
      </x:c>
      <x:c r="N119" s="14" t="str">
        <x:v>Tổng 1 nhiệm vụ liên quan.</x:v>
      </x:c>
    </x:row>
    <x:row r="120">
      <x:c r="A120" s="14" t="str">
        <x:v>PROC-0119</x:v>
      </x:c>
      <x:c r="B120" s="14" t="str">
        <x:v>VATM-0214</x:v>
      </x:c>
      <x:c r="C120" s="14" t="str">
        <x:v>An toàn hàng không / SMS</x:v>
      </x:c>
      <x:c r="D120" s="14" t="str">
        <x:v>Khung SMS và quản trị an toàn</x:v>
      </x:c>
      <x:c r="E120" s="14" t="str">
        <x:v>quy trình phê duyệt rủi ro</x:v>
      </x:c>
      <x:c r="F120" s="14" t="str">
        <x:v>Quy trình/SOP</x:v>
      </x:c>
      <x:c r="G120" s="14" t="str">
        <x:v>Ban An toàn - Chất lượng</x:v>
      </x:c>
      <x:c r="H120" s="14" t="str">
        <x:v>Các Công ty Quản lý bay khu vực Bắc/Trung/Nam; Ban An toàn - Chất lượng</x:v>
      </x:c>
      <x:c r="I120" s="14" t="str">
        <x:v>Điều 2 khoản 3</x:v>
      </x:c>
      <x:c r="J120" s="14" t="str">
        <x:v>P2</x:v>
      </x:c>
      <x:c r="K120" s="14" t="str">
        <x:v>Chưa bắt đầu</x:v>
      </x:c>
      <x:c r="L120" s="14" t="str"/>
      <x:c r="M120" s="14" t="str">
        <x:v>Ma trận chấp nhận rủi ro; quy trình phê duyệt rủi ro.</x:v>
      </x:c>
      <x:c r="N120" s="14" t="str">
        <x:v>Tổng 1 nhiệm vụ liên quan.</x:v>
      </x:c>
    </x:row>
    <x:row r="121">
      <x:c r="A121" s="14" t="str">
        <x:v>PROC-0120</x:v>
      </x:c>
      <x:c r="B121" s="14" t="str">
        <x:v>VATM-0218; VATM-0218</x:v>
      </x:c>
      <x:c r="C121" s="14" t="str">
        <x:v>An toàn hàng không / SMS</x:v>
      </x:c>
      <x:c r="D121" s="14" t="str">
        <x:v>Khung SMS và quản trị an toàn</x:v>
      </x:c>
      <x:c r="E121" s="14" t="str">
        <x:v>quy trình/thủ tục SMS</x:v>
      </x:c>
      <x:c r="F121" s="14" t="str">
        <x:v>Quy trình/SOP</x:v>
      </x:c>
      <x:c r="G121" s="14" t="str">
        <x:v>Ban An toàn - Chất lượng</x:v>
      </x:c>
      <x:c r="H121" s="14" t="str">
        <x:v>Các Công ty Quản lý bay khu vực Bắc/Trung/Nam; Ban An toàn - Chất lượng</x:v>
      </x:c>
      <x:c r="I121" s="14" t="str">
        <x:v>Điều 5 khoản 1(a)-(d)</x:v>
      </x:c>
      <x:c r="J121" s="14" t="str">
        <x:v>P2</x:v>
      </x:c>
      <x:c r="K121" s="14" t="str">
        <x:v>Chưa bắt đầu</x:v>
      </x:c>
      <x:c r="L121" s="14" t="str"/>
      <x:c r="M121" s="14" t="str">
        <x:v>SMS Manual; quy trình/thủ tục SMS; ma trận trách nhiệm; kiểm soát phiên bản.</x:v>
      </x:c>
      <x:c r="N121" s="14" t="str">
        <x:v>Tổng 2 nhiệm vụ liên quan.</x:v>
      </x:c>
    </x:row>
    <x:row r="122">
      <x:c r="A122" s="14" t="str">
        <x:v>PROC-0121</x:v>
      </x:c>
      <x:c r="B122" s="14" t="str">
        <x:v>VATM-0218</x:v>
      </x:c>
      <x:c r="C122" s="14" t="str">
        <x:v>An toàn hàng không / SMS</x:v>
      </x:c>
      <x:c r="D122" s="14" t="str">
        <x:v>Khung SMS và quản trị an toàn</x:v>
      </x:c>
      <x:c r="E122" s="14" t="str">
        <x:v>kiểm soát phiên bản. SMS Manual</x:v>
      </x:c>
      <x:c r="F122" s="14" t="str">
        <x:v>Khác</x:v>
      </x:c>
      <x:c r="G122" s="14" t="str">
        <x:v>Ban An toàn - Chất lượng</x:v>
      </x:c>
      <x:c r="H122" s="14" t="str">
        <x:v>Các Công ty Quản lý bay khu vực Bắc/Trung/Nam; Ban An toàn - Chất lượng</x:v>
      </x:c>
      <x:c r="I122" s="14" t="str">
        <x:v>Điều 5 khoản 1(a)-(d)</x:v>
      </x:c>
      <x:c r="J122" s="14" t="str">
        <x:v>P2</x:v>
      </x:c>
      <x:c r="K122" s="14" t="str">
        <x:v>Chưa bắt đầu</x:v>
      </x:c>
      <x:c r="L122" s="14" t="str"/>
      <x:c r="M122" s="14" t="str">
        <x:v>SMS Manual; quy trình/thủ tục SMS; ma trận trách nhiệm; kiểm soát phiên bản.</x:v>
      </x:c>
      <x:c r="N122" s="14" t="str">
        <x:v>Tổng 1 nhiệm vụ liên quan.</x:v>
      </x:c>
    </x:row>
    <x:row r="123">
      <x:c r="A123" s="14" t="str">
        <x:v>PROC-0122</x:v>
      </x:c>
      <x:c r="B123" s="14" t="str">
        <x:v>VATM-0220</x:v>
      </x:c>
      <x:c r="C123" s="14" t="str">
        <x:v>An toàn hàng không / SMS</x:v>
      </x:c>
      <x:c r="D123" s="14" t="str">
        <x:v>Khung SMS và quản trị an toàn</x:v>
      </x:c>
      <x:c r="E123" s="14" t="str">
        <x:v>Quy trình hazard identification</x:v>
      </x:c>
      <x:c r="F123" s="14" t="str">
        <x:v>Quy trình/SOP</x:v>
      </x:c>
      <x:c r="G123" s="14" t="str">
        <x:v>Ban An toàn - Chất lượng</x:v>
      </x:c>
      <x:c r="H123" s="14" t="str">
        <x:v>Các Công ty Quản lý bay khu vực Bắc/Trung/Nam; Ban An toàn - Chất lượng</x:v>
      </x:c>
      <x:c r="I123" s="14" t="str">
        <x:v>Điều 6 khoản 1</x:v>
      </x:c>
      <x:c r="J123" s="14" t="str">
        <x:v>P2</x:v>
      </x:c>
      <x:c r="K123" s="14" t="str">
        <x:v>Chưa bắt đầu</x:v>
      </x:c>
      <x:c r="L123" s="14" t="str"/>
      <x:c r="M123" s="14" t="str">
        <x:v>Quy trình hazard identification; hazard register; danh mục giao diện nội bộ/bên ngoài.</x:v>
      </x:c>
      <x:c r="N123" s="14" t="str">
        <x:v>Tổng 1 nhiệm vụ liên quan.</x:v>
      </x:c>
    </x:row>
    <x:row r="124">
      <x:c r="A124" s="14" t="str">
        <x:v>PROC-0123</x:v>
      </x:c>
      <x:c r="B124" s="14" t="str">
        <x:v>VATM-0220</x:v>
      </x:c>
      <x:c r="C124" s="14" t="str">
        <x:v>An toàn hàng không / SMS</x:v>
      </x:c>
      <x:c r="D124" s="14" t="str">
        <x:v>Khung SMS và quản trị an toàn</x:v>
      </x:c>
      <x:c r="E124" s="14" t="str">
        <x:v>danh mục giao diện nội bộ/bên ngoài. Quy trình hazard identification</x:v>
      </x:c>
      <x:c r="F124" s="14" t="str">
        <x:v>Quy trình/SOP</x:v>
      </x:c>
      <x:c r="G124" s="14" t="str">
        <x:v>Ban An toàn - Chất lượng</x:v>
      </x:c>
      <x:c r="H124" s="14" t="str">
        <x:v>Các Công ty Quản lý bay khu vực Bắc/Trung/Nam; Ban An toàn - Chất lượng</x:v>
      </x:c>
      <x:c r="I124" s="14" t="str">
        <x:v>Điều 6 khoản 1</x:v>
      </x:c>
      <x:c r="J124" s="14" t="str">
        <x:v>P2</x:v>
      </x:c>
      <x:c r="K124" s="14" t="str">
        <x:v>Chưa bắt đầu</x:v>
      </x:c>
      <x:c r="L124" s="14" t="str"/>
      <x:c r="M124" s="14" t="str">
        <x:v>Quy trình hazard identification; hazard register; danh mục giao diện nội bộ/bên ngoài.</x:v>
      </x:c>
      <x:c r="N124" s="14" t="str">
        <x:v>Tổng 1 nhiệm vụ liên quan.</x:v>
      </x:c>
    </x:row>
    <x:row r="125">
      <x:c r="A125" s="14" t="str">
        <x:v>PROC-0124</x:v>
      </x:c>
      <x:c r="B125" s="14" t="str">
        <x:v>VATM-0223</x:v>
      </x:c>
      <x:c r="C125" s="14" t="str">
        <x:v>An toàn hàng không / SMS</x:v>
      </x:c>
      <x:c r="D125" s="14" t="str">
        <x:v>Khung SMS và quản trị an toàn</x:v>
      </x:c>
      <x:c r="E125" s="14" t="str">
        <x:v>Chương trình giám sát an toàn</x:v>
      </x:c>
      <x:c r="F125" s="14" t="str">
        <x:v>Khác</x:v>
      </x:c>
      <x:c r="G125" s="14" t="str">
        <x:v>Ban An toàn - Chất lượng</x:v>
      </x:c>
      <x:c r="H125" s="14" t="str">
        <x:v>Các Công ty Quản lý bay khu vực Bắc/Trung/Nam; Ban An toàn - Chất lượng</x:v>
      </x:c>
      <x:c r="I125" s="14" t="str">
        <x:v>Điều 8 khoản 1</x:v>
      </x:c>
      <x:c r="J125" s="14" t="str">
        <x:v>P2</x:v>
      </x:c>
      <x:c r="K125" s="14" t="str">
        <x:v>Chưa bắt đầu</x:v>
      </x:c>
      <x:c r="L125" s="14" t="str"/>
      <x:c r="M125" s="14" t="str">
        <x:v>Chương trình giám sát an toàn; dashboard; audit/inspection; safety review; đánh giá hiệu quả CAPA.</x:v>
      </x:c>
      <x:c r="N125" s="14" t="str">
        <x:v>Tổng 1 nhiệm vụ liên quan.</x:v>
      </x:c>
    </x:row>
    <x:row r="126">
      <x:c r="A126" s="14" t="str">
        <x:v>PROC-0125</x:v>
      </x:c>
      <x:c r="B126" s="14" t="str">
        <x:v>VATM-0223</x:v>
      </x:c>
      <x:c r="C126" s="14" t="str">
        <x:v>An toàn hàng không / SMS</x:v>
      </x:c>
      <x:c r="D126" s="14" t="str">
        <x:v>Khung SMS và quản trị an toàn</x:v>
      </x:c>
      <x:c r="E126" s="14" t="str">
        <x:v>đánh giá hiệu quả CAPA. Chương trình giám sát an toàn</x:v>
      </x:c>
      <x:c r="F126" s="14" t="str">
        <x:v>Khác</x:v>
      </x:c>
      <x:c r="G126" s="14" t="str">
        <x:v>Ban An toàn - Chất lượng</x:v>
      </x:c>
      <x:c r="H126" s="14" t="str">
        <x:v>Các Công ty Quản lý bay khu vực Bắc/Trung/Nam; Ban An toàn - Chất lượng</x:v>
      </x:c>
      <x:c r="I126" s="14" t="str">
        <x:v>Điều 8 khoản 1</x:v>
      </x:c>
      <x:c r="J126" s="14" t="str">
        <x:v>P2</x:v>
      </x:c>
      <x:c r="K126" s="14" t="str">
        <x:v>Chưa bắt đầu</x:v>
      </x:c>
      <x:c r="L126" s="14" t="str"/>
      <x:c r="M126" s="14" t="str">
        <x:v>Chương trình giám sát an toàn; dashboard; audit/inspection; safety review; đánh giá hiệu quả CAPA.</x:v>
      </x:c>
      <x:c r="N126" s="14" t="str">
        <x:v>Tổng 1 nhiệm vụ liên quan.</x:v>
      </x:c>
    </x:row>
    <x:row r="127">
      <x:c r="A127" s="14" t="str">
        <x:v>PROC-0126</x:v>
      </x:c>
      <x:c r="B127" s="14" t="str">
        <x:v>VATM-0227</x:v>
      </x:c>
      <x:c r="C127" s="14" t="str">
        <x:v>An toàn hàng không / SMS</x:v>
      </x:c>
      <x:c r="D127" s="14" t="str">
        <x:v>Khung SMS và quản trị an toàn</x:v>
      </x:c>
      <x:c r="E127" s="14" t="str">
        <x:v>kết quả đánh giá. Chương trình đào tạo</x:v>
      </x:c>
      <x:c r="F127" s="14" t="str">
        <x:v>Khác</x:v>
      </x:c>
      <x:c r="G127" s="14" t="str">
        <x:v>Ban An toàn - Chất lượng</x:v>
      </x:c>
      <x:c r="H127" s="14" t="str">
        <x:v>Các Công ty Quản lý bay khu vực Bắc/Trung/Nam; Ban An toàn - Chất lượng</x:v>
      </x:c>
      <x:c r="I127" s="14" t="str">
        <x:v>Điều 11 khoản 1</x:v>
      </x:c>
      <x:c r="J127" s="14" t="str">
        <x:v>P2</x:v>
      </x:c>
      <x:c r="K127" s="14" t="str">
        <x:v>Chưa bắt đầu</x:v>
      </x:c>
      <x:c r="L127" s="14" t="str"/>
      <x:c r="M127" s="14" t="str">
        <x:v>Chương trình đào tạo; ma trận năng lực; hồ sơ đào tạo; kết quả đánh giá.</x:v>
      </x:c>
      <x:c r="N127" s="14" t="str">
        <x:v>Tổng 1 nhiệm vụ liên quan.</x:v>
      </x:c>
    </x:row>
    <x:row r="128">
      <x:c r="A128" s="14" t="str">
        <x:v>PROC-0127</x:v>
      </x:c>
      <x:c r="B128" s="14" t="str">
        <x:v>VATM-0383</x:v>
      </x:c>
      <x:c r="C128" s="14" t="str">
        <x:v>An ninh hàng không</x:v>
      </x:c>
      <x:c r="D128" s="14" t="str">
        <x:v>Quản trị, phối hợp và giám sát ANHK</x:v>
      </x:c>
      <x:c r="E128" s="14" t="str">
        <x:v>Quy trình báo cáo sự cố an ninh ANS</x:v>
      </x:c>
      <x:c r="F128" s="14" t="str">
        <x:v>Quy trình/SOP</x:v>
      </x:c>
      <x:c r="G128" s="14" t="str">
        <x:v>Ban An ninh hàng không; Ban An toàn - Chất lượng; Các Công ty Quản lý bay khu vực Bắc/Trung/Nam</x:v>
      </x:c>
      <x:c r="H128" s="14" t="str">
        <x:v>Ban Không lưu; Các Công ty Quản lý bay khu vực Bắc/Trung/Nam; Ban An ninh hàng không</x:v>
      </x:c>
      <x:c r="I128" s="14" t="str">
        <x:v>Điều 3 khoản 4,5,7</x:v>
      </x:c>
      <x:c r="J128" s="14" t="str">
        <x:v>P1</x:v>
      </x:c>
      <x:c r="K128" s="14" t="str">
        <x:v>Chưa bắt đầu</x:v>
      </x:c>
      <x:c r="L128" s="14" t="str"/>
      <x:c r="M128" s="14" t="str">
        <x:v>Nhật ký trực, báo cáo sự cố, biên bản giảng bình, hồ sơ khắc phục</x:v>
      </x:c>
      <x:c r="N128" s="14" t="str">
        <x:v>Tổng 1 nhiệm vụ liên quan.</x:v>
      </x:c>
    </x:row>
    <x:row r="129">
      <x:c r="A129" s="14" t="str">
        <x:v>PROC-0128</x:v>
      </x:c>
      <x:c r="B129" s="14" t="str">
        <x:v>VATM-0383</x:v>
      </x:c>
      <x:c r="C129" s="14" t="str">
        <x:v>An ninh hàng không</x:v>
      </x:c>
      <x:c r="D129" s="14" t="str">
        <x:v>Quản trị, phối hợp và giám sát ANHK</x:v>
      </x:c>
      <x:c r="E129" s="14" t="str">
        <x:v>quy trình giảng bình an ninh</x:v>
      </x:c>
      <x:c r="F129" s="14" t="str">
        <x:v>Quy trình/SOP</x:v>
      </x:c>
      <x:c r="G129" s="14" t="str">
        <x:v>Ban An ninh hàng không; Ban An toàn - Chất lượng; Các Công ty Quản lý bay khu vực Bắc/Trung/Nam</x:v>
      </x:c>
      <x:c r="H129" s="14" t="str">
        <x:v>Ban Không lưu; Các Công ty Quản lý bay khu vực Bắc/Trung/Nam; Ban An ninh hàng không</x:v>
      </x:c>
      <x:c r="I129" s="14" t="str">
        <x:v>Điều 3 khoản 4,5,7</x:v>
      </x:c>
      <x:c r="J129" s="14" t="str">
        <x:v>P1</x:v>
      </x:c>
      <x:c r="K129" s="14" t="str">
        <x:v>Chưa bắt đầu</x:v>
      </x:c>
      <x:c r="L129" s="14" t="str"/>
      <x:c r="M129" s="14" t="str">
        <x:v>Nhật ký trực, báo cáo sự cố, biên bản giảng bình, hồ sơ khắc phục</x:v>
      </x:c>
      <x:c r="N129" s="14" t="str">
        <x:v>Tổng 1 nhiệm vụ liên quan.</x:v>
      </x:c>
    </x:row>
    <x:row r="130">
      <x:c r="A130" s="14" t="str">
        <x:v>PROC-0129</x:v>
      </x:c>
      <x:c r="B130" s="14" t="str">
        <x:v>VATM-0383</x:v>
      </x:c>
      <x:c r="C130" s="14" t="str">
        <x:v>An ninh hàng không</x:v>
      </x:c>
      <x:c r="D130" s="14" t="str">
        <x:v>Quản trị, phối hợp và giám sát ANHK</x:v>
      </x:c>
      <x:c r="E130" s="14" t="str">
        <x:v>Mẫu báo cáo sự cố an ninh ANS</x:v>
      </x:c>
      <x:c r="F130" s="14" t="str">
        <x:v>Biểu mẫu/Checklist</x:v>
      </x:c>
      <x:c r="G130" s="14" t="str">
        <x:v>Ban An ninh hàng không; Ban An toàn - Chất lượng; Các Công ty Quản lý bay khu vực Bắc/Trung/Nam</x:v>
      </x:c>
      <x:c r="H130" s="14" t="str">
        <x:v>Ban Không lưu; Các Công ty Quản lý bay khu vực Bắc/Trung/Nam; Ban An ninh hàng không</x:v>
      </x:c>
      <x:c r="I130" s="14" t="str">
        <x:v>Điều 3 khoản 4,5,7</x:v>
      </x:c>
      <x:c r="J130" s="14" t="str">
        <x:v>P1</x:v>
      </x:c>
      <x:c r="K130" s="14" t="str">
        <x:v>Chưa bắt đầu</x:v>
      </x:c>
      <x:c r="L130" s="14" t="str"/>
      <x:c r="M130" s="14" t="str">
        <x:v>Nhật ký trực, báo cáo sự cố, biên bản giảng bình, hồ sơ khắc phục</x:v>
      </x:c>
      <x:c r="N130" s="14" t="str">
        <x:v>Tổng 1 nhiệm vụ liên quan.</x:v>
      </x:c>
    </x:row>
    <x:row r="131">
      <x:c r="A131" s="14" t="str">
        <x:v>PROC-0130</x:v>
      </x:c>
      <x:c r="B131" s="14" t="str">
        <x:v>VATM-0383</x:v>
      </x:c>
      <x:c r="C131" s="14" t="str">
        <x:v>An ninh hàng không</x:v>
      </x:c>
      <x:c r="D131" s="14" t="str">
        <x:v>Quản trị, phối hợp và giám sát ANHK</x:v>
      </x:c>
      <x:c r="E131" s="14" t="str">
        <x:v>checklist giảng bình</x:v>
      </x:c>
      <x:c r="F131" s="14" t="str">
        <x:v>Biểu mẫu/Checklist</x:v>
      </x:c>
      <x:c r="G131" s="14" t="str">
        <x:v>Ban An ninh hàng không; Ban An toàn - Chất lượng; Các Công ty Quản lý bay khu vực Bắc/Trung/Nam</x:v>
      </x:c>
      <x:c r="H131" s="14" t="str">
        <x:v>Ban Không lưu; Các Công ty Quản lý bay khu vực Bắc/Trung/Nam; Ban An ninh hàng không</x:v>
      </x:c>
      <x:c r="I131" s="14" t="str">
        <x:v>Điều 3 khoản 4,5,7</x:v>
      </x:c>
      <x:c r="J131" s="14" t="str">
        <x:v>P1</x:v>
      </x:c>
      <x:c r="K131" s="14" t="str">
        <x:v>Chưa bắt đầu</x:v>
      </x:c>
      <x:c r="L131" s="14" t="str"/>
      <x:c r="M131" s="14" t="str">
        <x:v>Nhật ký trực, báo cáo sự cố, biên bản giảng bình, hồ sơ khắc phục</x:v>
      </x:c>
      <x:c r="N131" s="14" t="str">
        <x:v>Tổng 1 nhiệm vụ liên quan.</x:v>
      </x:c>
    </x:row>
    <x:row r="132">
      <x:c r="A132" s="14" t="str">
        <x:v>PROC-0131</x:v>
      </x:c>
      <x:c r="B132" s="14" t="str">
        <x:v>VATM-0384</x:v>
      </x:c>
      <x:c r="C132" s="14" t="str">
        <x:v>An ninh hàng không</x:v>
      </x:c>
      <x:c r="D132" s="14" t="str">
        <x:v>An ninh hệ thống CNS/ATM/CNTT</x:v>
      </x:c>
      <x:c r="E132" s="14" t="str">
        <x:v>Quy chế bảo vệ mục tiêu ANS</x:v>
      </x:c>
      <x:c r="F132" s="14" t="str">
        <x:v>Quy trình/SOP</x:v>
      </x:c>
      <x:c r="G132" s="14" t="str">
        <x:v>Ban An ninh hàng không; Ban An toàn - Chất lượng</x:v>
      </x:c>
      <x:c r="H132" s="14" t="str">
        <x:v>Ban Không lưu; Các Công ty Quản lý bay khu vực Bắc/Trung/Nam; Ban An ninh hàng không</x:v>
      </x:c>
      <x:c r="I132" s="14" t="str">
        <x:v>Điều 5 khoản 2</x:v>
      </x:c>
      <x:c r="J132" s="14" t="str">
        <x:v>P1</x:v>
      </x:c>
      <x:c r="K132" s="14" t="str">
        <x:v>Chưa bắt đầu</x:v>
      </x:c>
      <x:c r="L132" s="14" t="str"/>
      <x:c r="M132" s="14" t="str">
        <x:v>Kế hoạch bảo vệ; phân công ca trực; nhật ký tuần tra/kiểm soát</x:v>
      </x:c>
      <x:c r="N132" s="14" t="str">
        <x:v>Tổng 1 nhiệm vụ liên quan.</x:v>
      </x:c>
    </x:row>
    <x:row r="133">
      <x:c r="A133" s="14" t="str">
        <x:v>PROC-0132</x:v>
      </x:c>
      <x:c r="B133" s="14" t="str">
        <x:v>VATM-0384</x:v>
      </x:c>
      <x:c r="C133" s="14" t="str">
        <x:v>An ninh hàng không</x:v>
      </x:c>
      <x:c r="D133" s="14" t="str">
        <x:v>An ninh hệ thống CNS/ATM/CNTT</x:v>
      </x:c>
      <x:c r="E133" s="14" t="str">
        <x:v>Danh mục mục tiêu trọng yếu ANS</x:v>
      </x:c>
      <x:c r="F133" s="14" t="str">
        <x:v>Khác</x:v>
      </x:c>
      <x:c r="G133" s="14" t="str">
        <x:v>Ban An ninh hàng không; Ban An toàn - Chất lượng</x:v>
      </x:c>
      <x:c r="H133" s="14" t="str">
        <x:v>Ban Không lưu; Các Công ty Quản lý bay khu vực Bắc/Trung/Nam; Ban An ninh hàng không</x:v>
      </x:c>
      <x:c r="I133" s="14" t="str">
        <x:v>Điều 5 khoản 2</x:v>
      </x:c>
      <x:c r="J133" s="14" t="str">
        <x:v>P1</x:v>
      </x:c>
      <x:c r="K133" s="14" t="str">
        <x:v>Chưa bắt đầu</x:v>
      </x:c>
      <x:c r="L133" s="14" t="str"/>
      <x:c r="M133" s="14" t="str">
        <x:v>Kế hoạch bảo vệ; phân công ca trực; nhật ký tuần tra/kiểm soát</x:v>
      </x:c>
      <x:c r="N133" s="14" t="str">
        <x:v>Tổng 1 nhiệm vụ liên quan.</x:v>
      </x:c>
    </x:row>
    <x:row r="134">
      <x:c r="A134" s="14" t="str">
        <x:v>PROC-0133</x:v>
      </x:c>
      <x:c r="B134" s="14" t="str">
        <x:v>VATM-0385</x:v>
      </x:c>
      <x:c r="C134" s="14" t="str">
        <x:v>An ninh hàng không</x:v>
      </x:c>
      <x:c r="D134" s="14" t="str">
        <x:v>Khu vực hạn chế/kiểm soát ra vào</x:v>
      </x:c>
      <x:c r="E134" s="14" t="str">
        <x:v>Quy trình xây dựng, phê duyệt và kiểm soát chương trình an ninh VATM</x:v>
      </x:c>
      <x:c r="F134" s="14" t="str">
        <x:v>Quy trình/SOP</x:v>
      </x:c>
      <x:c r="G134" s="14" t="str">
        <x:v>Ban An ninh hàng không; Ban An toàn - Chất lượng</x:v>
      </x:c>
      <x:c r="H134" s="14" t="str">
        <x:v>Ban An toàn - Chất lượng; Ban An ninh hàng không; Các Công ty Quản lý bay khu vực Bắc/Trung/Nam</x:v>
      </x:c>
      <x:c r="I134" s="14" t="str">
        <x:v>Điều 6 khoản 2</x:v>
      </x:c>
      <x:c r="J134" s="14" t="str">
        <x:v>P1</x:v>
      </x:c>
      <x:c r="K134" s="14" t="str">
        <x:v>Chưa bắt đầu</x:v>
      </x:c>
      <x:c r="L134" s="14" t="str"/>
      <x:c r="M134" s="14" t="str">
        <x:v>Chương trình được phê duyệt; quyết định ban hành; hồ sơ gửi phê duyệt</x:v>
      </x:c>
      <x:c r="N134" s="14" t="str">
        <x:v>Tổng 1 nhiệm vụ liên quan.</x:v>
      </x:c>
    </x:row>
    <x:row r="135">
      <x:c r="A135" s="14" t="str">
        <x:v>PROC-0134</x:v>
      </x:c>
      <x:c r="B135" s="14" t="str">
        <x:v>VATM-0385</x:v>
      </x:c>
      <x:c r="C135" s="14" t="str">
        <x:v>An ninh hàng không</x:v>
      </x:c>
      <x:c r="D135" s="14" t="str">
        <x:v>Khu vực hạn chế/kiểm soát ra vào</x:v>
      </x:c>
      <x:c r="E135" s="14" t="str">
        <x:v>Mẫu đề cương Chương trình an ninh VATM</x:v>
      </x:c>
      <x:c r="F135" s="14" t="str">
        <x:v>Biểu mẫu/Checklist</x:v>
      </x:c>
      <x:c r="G135" s="14" t="str">
        <x:v>Ban An ninh hàng không; Ban An toàn - Chất lượng</x:v>
      </x:c>
      <x:c r="H135" s="14" t="str">
        <x:v>Ban An toàn - Chất lượng; Ban An ninh hàng không; Các Công ty Quản lý bay khu vực Bắc/Trung/Nam</x:v>
      </x:c>
      <x:c r="I135" s="14" t="str">
        <x:v>Điều 6 khoản 2</x:v>
      </x:c>
      <x:c r="J135" s="14" t="str">
        <x:v>P1</x:v>
      </x:c>
      <x:c r="K135" s="14" t="str">
        <x:v>Chưa bắt đầu</x:v>
      </x:c>
      <x:c r="L135" s="14" t="str"/>
      <x:c r="M135" s="14" t="str">
        <x:v>Chương trình được phê duyệt; quyết định ban hành; hồ sơ gửi phê duyệt</x:v>
      </x:c>
      <x:c r="N135" s="14" t="str">
        <x:v>Tổng 1 nhiệm vụ liên quan.</x:v>
      </x:c>
    </x:row>
    <x:row r="136">
      <x:c r="A136" s="14" t="str">
        <x:v>PROC-0135</x:v>
      </x:c>
      <x:c r="B136" s="14" t="str">
        <x:v>VATM-0385</x:v>
      </x:c>
      <x:c r="C136" s="14" t="str">
        <x:v>An ninh hàng không</x:v>
      </x:c>
      <x:c r="D136" s="14" t="str">
        <x:v>Khu vực hạn chế/kiểm soát ra vào</x:v>
      </x:c>
      <x:c r="E136" s="14" t="str">
        <x:v>ma trận trách nhiệm thực hiện</x:v>
      </x:c>
      <x:c r="F136" s="14" t="str">
        <x:v>Khác</x:v>
      </x:c>
      <x:c r="G136" s="14" t="str">
        <x:v>Ban An ninh hàng không; Ban An toàn - Chất lượng</x:v>
      </x:c>
      <x:c r="H136" s="14" t="str">
        <x:v>Ban An toàn - Chất lượng; Ban An ninh hàng không; Các Công ty Quản lý bay khu vực Bắc/Trung/Nam</x:v>
      </x:c>
      <x:c r="I136" s="14" t="str">
        <x:v>Điều 6 khoản 2</x:v>
      </x:c>
      <x:c r="J136" s="14" t="str">
        <x:v>P1</x:v>
      </x:c>
      <x:c r="K136" s="14" t="str">
        <x:v>Chưa bắt đầu</x:v>
      </x:c>
      <x:c r="L136" s="14" t="str"/>
      <x:c r="M136" s="14" t="str">
        <x:v>Chương trình được phê duyệt; quyết định ban hành; hồ sơ gửi phê duyệt</x:v>
      </x:c>
      <x:c r="N136" s="14" t="str">
        <x:v>Tổng 1 nhiệm vụ liên quan.</x:v>
      </x:c>
    </x:row>
    <x:row r="137">
      <x:c r="A137" s="14" t="str">
        <x:v>PROC-0136</x:v>
      </x:c>
      <x:c r="B137" s="14" t="str">
        <x:v>VATM-0386</x:v>
      </x:c>
      <x:c r="C137" s="14" t="str">
        <x:v>An ninh hàng không</x:v>
      </x:c>
      <x:c r="D137" s="14" t="str">
        <x:v>Khu vực hạn chế/kiểm soát ra vào</x:v>
      </x:c>
      <x:c r="E137" s="14" t="str">
        <x:v>SOP kiểm soát khu vực hạn chế ANS</x:v>
      </x:c>
      <x:c r="F137" s="14" t="str">
        <x:v>Quy trình/SOP</x:v>
      </x:c>
      <x:c r="G137" s="14" t="str">
        <x:v>Ban An ninh hàng không; Ban Kỹ thuật - CNS/IT/Môi trường; Trung tâm Quản lý luồng không lưu; Các Công ty Quản lý bay khu vực Bắc/Trung/Nam</x:v>
      </x:c>
      <x:c r="H137" s="14" t="str">
        <x:v>Các Công ty Quản lý bay khu vực Bắc/Trung/Nam; Ban An ninh hàng không</x:v>
      </x:c>
      <x:c r="I137" s="14" t="str">
        <x:v>Điều 7 khoản 1 điểm m,n; khoản 3-6</x:v>
      </x:c>
      <x:c r="J137" s="14" t="str">
        <x:v>P1</x:v>
      </x:c>
      <x:c r="K137" s="14" t="str">
        <x:v>Chưa bắt đầu</x:v>
      </x:c>
      <x:c r="L137" s="14" t="str"/>
      <x:c r="M137" s="14" t="str">
        <x:v>Sơ đồ khu vực hạn chế; danh sách cấp quyền; nhật ký ra/vào; biên bản phối hợp</x:v>
      </x:c>
      <x:c r="N137" s="14" t="str">
        <x:v>Tổng 1 nhiệm vụ liên quan.</x:v>
      </x:c>
    </x:row>
    <x:row r="138">
      <x:c r="A138" s="14" t="str">
        <x:v>PROC-0137</x:v>
      </x:c>
      <x:c r="B138" s="14" t="str">
        <x:v>VATM-0386</x:v>
      </x:c>
      <x:c r="C138" s="14" t="str">
        <x:v>An ninh hàng không</x:v>
      </x:c>
      <x:c r="D138" s="14" t="str">
        <x:v>Khu vực hạn chế/kiểm soát ra vào</x:v>
      </x:c>
      <x:c r="E138" s="14" t="str">
        <x:v>SOP thẻ/giấy phép nội bộ</x:v>
      </x:c>
      <x:c r="F138" s="14" t="str">
        <x:v>Quy trình/SOP</x:v>
      </x:c>
      <x:c r="G138" s="14" t="str">
        <x:v>Ban An ninh hàng không; Ban Kỹ thuật - CNS/IT/Môi trường; Trung tâm Quản lý luồng không lưu; Các Công ty Quản lý bay khu vực Bắc/Trung/Nam</x:v>
      </x:c>
      <x:c r="H138" s="14" t="str">
        <x:v>Các Công ty Quản lý bay khu vực Bắc/Trung/Nam; Ban An ninh hàng không</x:v>
      </x:c>
      <x:c r="I138" s="14" t="str">
        <x:v>Điều 7 khoản 1 điểm m,n; khoản 3-6</x:v>
      </x:c>
      <x:c r="J138" s="14" t="str">
        <x:v>P1</x:v>
      </x:c>
      <x:c r="K138" s="14" t="str">
        <x:v>Chưa bắt đầu</x:v>
      </x:c>
      <x:c r="L138" s="14" t="str"/>
      <x:c r="M138" s="14" t="str">
        <x:v>Sơ đồ khu vực hạn chế; danh sách cấp quyền; nhật ký ra/vào; biên bản phối hợp</x:v>
      </x:c>
      <x:c r="N138" s="14" t="str">
        <x:v>Tổng 1 nhiệm vụ liên quan.</x:v>
      </x:c>
    </x:row>
    <x:row r="139">
      <x:c r="A139" s="14" t="str">
        <x:v>PROC-0138</x:v>
      </x:c>
      <x:c r="B139" s="14" t="str">
        <x:v>VATM-0386</x:v>
      </x:c>
      <x:c r="C139" s="14" t="str">
        <x:v>An ninh hàng không</x:v>
      </x:c>
      <x:c r="D139" s="14" t="str">
        <x:v>Khu vực hạn chế/kiểm soát ra vào</x:v>
      </x:c>
      <x:c r="E139" s="14" t="str">
        <x:v>Sơ đồ khu vực hạn chế</x:v>
      </x:c>
      <x:c r="F139" s="14" t="str">
        <x:v>Khác</x:v>
      </x:c>
      <x:c r="G139" s="14" t="str">
        <x:v>Ban An ninh hàng không; Ban Kỹ thuật - CNS/IT/Môi trường; Trung tâm Quản lý luồng không lưu; Các Công ty Quản lý bay khu vực Bắc/Trung/Nam</x:v>
      </x:c>
      <x:c r="H139" s="14" t="str">
        <x:v>Các Công ty Quản lý bay khu vực Bắc/Trung/Nam; Ban An ninh hàng không</x:v>
      </x:c>
      <x:c r="I139" s="14" t="str">
        <x:v>Điều 7 khoản 1 điểm m,n; khoản 3-6</x:v>
      </x:c>
      <x:c r="J139" s="14" t="str">
        <x:v>P1</x:v>
      </x:c>
      <x:c r="K139" s="14" t="str">
        <x:v>Chưa bắt đầu</x:v>
      </x:c>
      <x:c r="L139" s="14" t="str"/>
      <x:c r="M139" s="14" t="str">
        <x:v>Sơ đồ khu vực hạn chế; danh sách cấp quyền; nhật ký ra/vào; biên bản phối hợp</x:v>
      </x:c>
      <x:c r="N139" s="14" t="str">
        <x:v>Tổng 1 nhiệm vụ liên quan.</x:v>
      </x:c>
    </x:row>
    <x:row r="140">
      <x:c r="A140" s="14" t="str">
        <x:v>PROC-0139</x:v>
      </x:c>
      <x:c r="B140" s="14" t="str">
        <x:v>VATM-0386</x:v>
      </x:c>
      <x:c r="C140" s="14" t="str">
        <x:v>An ninh hàng không</x:v>
      </x:c>
      <x:c r="D140" s="14" t="str">
        <x:v>Khu vực hạn chế/kiểm soát ra vào</x:v>
      </x:c>
      <x:c r="E140" s="14" t="str">
        <x:v>mẫu phiếu cấp quyền vào cơ sở ANS</x:v>
      </x:c>
      <x:c r="F140" s="14" t="str">
        <x:v>Biểu mẫu/Checklist</x:v>
      </x:c>
      <x:c r="G140" s="14" t="str">
        <x:v>Ban An ninh hàng không; Ban Kỹ thuật - CNS/IT/Môi trường; Trung tâm Quản lý luồng không lưu; Các Công ty Quản lý bay khu vực Bắc/Trung/Nam</x:v>
      </x:c>
      <x:c r="H140" s="14" t="str">
        <x:v>Các Công ty Quản lý bay khu vực Bắc/Trung/Nam; Ban An ninh hàng không</x:v>
      </x:c>
      <x:c r="I140" s="14" t="str">
        <x:v>Điều 7 khoản 1 điểm m,n; khoản 3-6</x:v>
      </x:c>
      <x:c r="J140" s="14" t="str">
        <x:v>P1</x:v>
      </x:c>
      <x:c r="K140" s="14" t="str">
        <x:v>Chưa bắt đầu</x:v>
      </x:c>
      <x:c r="L140" s="14" t="str"/>
      <x:c r="M140" s="14" t="str">
        <x:v>Sơ đồ khu vực hạn chế; danh sách cấp quyền; nhật ký ra/vào; biên bản phối hợp</x:v>
      </x:c>
      <x:c r="N140" s="14" t="str">
        <x:v>Tổng 1 nhiệm vụ liên quan.</x:v>
      </x:c>
    </x:row>
    <x:row r="141">
      <x:c r="A141" s="14" t="str">
        <x:v>PROC-0140</x:v>
      </x:c>
      <x:c r="B141" s="14" t="str">
        <x:v>VATM-0387</x:v>
      </x:c>
      <x:c r="C141" s="14" t="str">
        <x:v>An ninh hàng không</x:v>
      </x:c>
      <x:c r="D141" s="14" t="str">
        <x:v>Khu vực hạn chế/kiểm soát ra vào</x:v>
      </x:c>
      <x:c r="E141" s="14" t="str">
        <x:v>Quy trình bảo vệ hiện trường an ninh tại cơ sở ANS</x:v>
      </x:c>
      <x:c r="F141" s="14" t="str">
        <x:v>Quy trình/SOP</x:v>
      </x:c>
      <x:c r="G141" s="14" t="str">
        <x:v>Ban An ninh hàng không; Các Công ty Quản lý bay khu vực Bắc/Trung/Nam</x:v>
      </x:c>
      <x:c r="H141" s="14" t="str">
        <x:v>Ban Không lưu; Các Công ty Quản lý bay khu vực Bắc/Trung/Nam; Ban An ninh hàng không</x:v>
      </x:c>
      <x:c r="I141" s="14" t="str">
        <x:v>Điều 7 khoản 2</x:v>
      </x:c>
      <x:c r="J141" s="14" t="str">
        <x:v>P1</x:v>
      </x:c>
      <x:c r="K141" s="14" t="str">
        <x:v>Chưa bắt đầu</x:v>
      </x:c>
      <x:c r="L141" s="14" t="str"/>
      <x:c r="M141" s="14" t="str">
        <x:v>Lệnh/biên bản thiết lập khu vực; thông báo nội bộ; nhật ký hiện trường</x:v>
      </x:c>
      <x:c r="N141" s="14" t="str">
        <x:v>Tổng 1 nhiệm vụ liên quan.</x:v>
      </x:c>
    </x:row>
    <x:row r="142">
      <x:c r="A142" s="14" t="str">
        <x:v>PROC-0141</x:v>
      </x:c>
      <x:c r="B142" s="14" t="str">
        <x:v>VATM-0387</x:v>
      </x:c>
      <x:c r="C142" s="14" t="str">
        <x:v>An ninh hàng không</x:v>
      </x:c>
      <x:c r="D142" s="14" t="str">
        <x:v>Khu vực hạn chế/kiểm soát ra vào</x:v>
      </x:c>
      <x:c r="E142" s="14" t="str">
        <x:v>Mẫu thông báo khu vực hạn chế tạm thời</x:v>
      </x:c>
      <x:c r="F142" s="14" t="str">
        <x:v>Biểu mẫu/Checklist</x:v>
      </x:c>
      <x:c r="G142" s="14" t="str">
        <x:v>Ban An ninh hàng không; Các Công ty Quản lý bay khu vực Bắc/Trung/Nam</x:v>
      </x:c>
      <x:c r="H142" s="14" t="str">
        <x:v>Ban Không lưu; Các Công ty Quản lý bay khu vực Bắc/Trung/Nam; Ban An ninh hàng không</x:v>
      </x:c>
      <x:c r="I142" s="14" t="str">
        <x:v>Điều 7 khoản 2</x:v>
      </x:c>
      <x:c r="J142" s="14" t="str">
        <x:v>P1</x:v>
      </x:c>
      <x:c r="K142" s="14" t="str">
        <x:v>Chưa bắt đầu</x:v>
      </x:c>
      <x:c r="L142" s="14" t="str"/>
      <x:c r="M142" s="14" t="str">
        <x:v>Lệnh/biên bản thiết lập khu vực; thông báo nội bộ; nhật ký hiện trường</x:v>
      </x:c>
      <x:c r="N142" s="14" t="str">
        <x:v>Tổng 1 nhiệm vụ liên quan.</x:v>
      </x:c>
    </x:row>
    <x:row r="143">
      <x:c r="A143" s="14" t="str">
        <x:v>PROC-0142</x:v>
      </x:c>
      <x:c r="B143" s="14" t="str">
        <x:v>VATM-0388</x:v>
      </x:c>
      <x:c r="C143" s="14" t="str">
        <x:v>An ninh hàng không</x:v>
      </x:c>
      <x:c r="D143" s="14" t="str">
        <x:v>Khu vực hạn chế/kiểm soát ra vào</x:v>
      </x:c>
      <x:c r="E143" s="14" t="str">
        <x:v>SOP quản lý khách/nhà thầu vào cơ sở ANS</x:v>
      </x:c>
      <x:c r="F143" s="14" t="str">
        <x:v>Quy trình/SOP</x:v>
      </x:c>
      <x:c r="G143" s="14" t="str">
        <x:v>Ban An ninh hàng không; Các Công ty Quản lý bay khu vực Bắc/Trung/Nam</x:v>
      </x:c>
      <x:c r="H143" s="14" t="str">
        <x:v>Các Công ty Quản lý bay khu vực Bắc/Trung/Nam; Ban An ninh hàng không</x:v>
      </x:c>
      <x:c r="I143" s="14" t="str">
        <x:v>Điều 7 khoản 4-5</x:v>
      </x:c>
      <x:c r="J143" s="14" t="str">
        <x:v>P1</x:v>
      </x:c>
      <x:c r="K143" s="14" t="str">
        <x:v>Chưa bắt đầu</x:v>
      </x:c>
      <x:c r="L143" s="14" t="str"/>
      <x:c r="M143" s="14" t="str">
        <x:v>Sổ ra vào, phiếu hộ tống, danh sách quyền truy cập, biên bản thu hồi</x:v>
      </x:c>
      <x:c r="N143" s="14" t="str">
        <x:v>Tổng 1 nhiệm vụ liên quan.</x:v>
      </x:c>
    </x:row>
    <x:row r="144">
      <x:c r="A144" s="14" t="str">
        <x:v>PROC-0143</x:v>
      </x:c>
      <x:c r="B144" s="14" t="str">
        <x:v>VATM-0388</x:v>
      </x:c>
      <x:c r="C144" s="14" t="str">
        <x:v>An ninh hàng không</x:v>
      </x:c>
      <x:c r="D144" s="14" t="str">
        <x:v>Khu vực hạn chế/kiểm soát ra vào</x:v>
      </x:c>
      <x:c r="E144" s="14" t="str">
        <x:v>Phiếu đăng ký/hộ tống khách</x:v>
      </x:c>
      <x:c r="F144" s="14" t="str">
        <x:v>Khác</x:v>
      </x:c>
      <x:c r="G144" s="14" t="str">
        <x:v>Ban An ninh hàng không; Các Công ty Quản lý bay khu vực Bắc/Trung/Nam</x:v>
      </x:c>
      <x:c r="H144" s="14" t="str">
        <x:v>Các Công ty Quản lý bay khu vực Bắc/Trung/Nam; Ban An ninh hàng không</x:v>
      </x:c>
      <x:c r="I144" s="14" t="str">
        <x:v>Điều 7 khoản 4-5</x:v>
      </x:c>
      <x:c r="J144" s="14" t="str">
        <x:v>P1</x:v>
      </x:c>
      <x:c r="K144" s="14" t="str">
        <x:v>Chưa bắt đầu</x:v>
      </x:c>
      <x:c r="L144" s="14" t="str"/>
      <x:c r="M144" s="14" t="str">
        <x:v>Sổ ra vào, phiếu hộ tống, danh sách quyền truy cập, biên bản thu hồi</x:v>
      </x:c>
      <x:c r="N144" s="14" t="str">
        <x:v>Tổng 1 nhiệm vụ liên quan.</x:v>
      </x:c>
    </x:row>
    <x:row r="145">
      <x:c r="A145" s="14" t="str">
        <x:v>PROC-0144</x:v>
      </x:c>
      <x:c r="B145" s="14" t="str">
        <x:v>VATM-0388</x:v>
      </x:c>
      <x:c r="C145" s="14" t="str">
        <x:v>An ninh hàng không</x:v>
      </x:c>
      <x:c r="D145" s="14" t="str">
        <x:v>Khu vực hạn chế/kiểm soát ra vào</x:v>
      </x:c>
      <x:c r="E145" s="14" t="str">
        <x:v>checklist kiểm tra phương tiện</x:v>
      </x:c>
      <x:c r="F145" s="14" t="str">
        <x:v>Biểu mẫu/Checklist</x:v>
      </x:c>
      <x:c r="G145" s="14" t="str">
        <x:v>Ban An ninh hàng không; Các Công ty Quản lý bay khu vực Bắc/Trung/Nam</x:v>
      </x:c>
      <x:c r="H145" s="14" t="str">
        <x:v>Các Công ty Quản lý bay khu vực Bắc/Trung/Nam; Ban An ninh hàng không</x:v>
      </x:c>
      <x:c r="I145" s="14" t="str">
        <x:v>Điều 7 khoản 4-5</x:v>
      </x:c>
      <x:c r="J145" s="14" t="str">
        <x:v>P1</x:v>
      </x:c>
      <x:c r="K145" s="14" t="str">
        <x:v>Chưa bắt đầu</x:v>
      </x:c>
      <x:c r="L145" s="14" t="str"/>
      <x:c r="M145" s="14" t="str">
        <x:v>Sổ ra vào, phiếu hộ tống, danh sách quyền truy cập, biên bản thu hồi</x:v>
      </x:c>
      <x:c r="N145" s="14" t="str">
        <x:v>Tổng 1 nhiệm vụ liên quan.</x:v>
      </x:c>
    </x:row>
    <x:row r="146">
      <x:c r="A146" s="14" t="str">
        <x:v>PROC-0145</x:v>
      </x:c>
      <x:c r="B146" s="14" t="str">
        <x:v>VATM-0389</x:v>
      </x:c>
      <x:c r="C146" s="14" t="str">
        <x:v>An ninh hàng không</x:v>
      </x:c>
      <x:c r="D146" s="14" t="str">
        <x:v>An ninh hệ thống CNS/ATM/CNTT</x:v>
      </x:c>
      <x:c r="E146" s="14" t="str">
        <x:v>SOP phối hợp lục soát tại cơ sở ANS</x:v>
      </x:c>
      <x:c r="F146" s="14" t="str">
        <x:v>Quy trình/SOP</x:v>
      </x:c>
      <x:c r="G146" s="14" t="str">
        <x:v>Ban An ninh hàng không; Các Công ty Quản lý bay khu vực Bắc/Trung/Nam</x:v>
      </x:c>
      <x:c r="H146" s="14" t="str">
        <x:v>Các Công ty Quản lý bay khu vực Bắc/Trung/Nam; Ban An ninh hàng không</x:v>
      </x:c>
      <x:c r="I146" s="14" t="str">
        <x:v>Điều 12-13</x:v>
      </x:c>
      <x:c r="J146" s="14" t="str">
        <x:v>P1</x:v>
      </x:c>
      <x:c r="K146" s="14" t="str">
        <x:v>Chưa bắt đầu</x:v>
      </x:c>
      <x:c r="L146" s="14" t="str"/>
      <x:c r="M146" s="14" t="str">
        <x:v>Biên bản lục soát, nhật ký ảnh hưởng dịch vụ, báo cáo sau vụ việc</x:v>
      </x:c>
      <x:c r="N146" s="14" t="str">
        <x:v>Tổng 1 nhiệm vụ liên quan.</x:v>
      </x:c>
    </x:row>
    <x:row r="147">
      <x:c r="A147" s="14" t="str">
        <x:v>PROC-0146</x:v>
      </x:c>
      <x:c r="B147" s="14" t="str">
        <x:v>VATM-0389</x:v>
      </x:c>
      <x:c r="C147" s="14" t="str">
        <x:v>An ninh hàng không</x:v>
      </x:c>
      <x:c r="D147" s="14" t="str">
        <x:v>An ninh hệ thống CNS/ATM/CNTT</x:v>
      </x:c>
      <x:c r="E147" s="14" t="str">
        <x:v>Mẫu biên bản phối hợp lục soát cơ sở ANS</x:v>
      </x:c>
      <x:c r="F147" s="14" t="str">
        <x:v>Biểu mẫu/Checklist</x:v>
      </x:c>
      <x:c r="G147" s="14" t="str">
        <x:v>Ban An ninh hàng không; Các Công ty Quản lý bay khu vực Bắc/Trung/Nam</x:v>
      </x:c>
      <x:c r="H147" s="14" t="str">
        <x:v>Các Công ty Quản lý bay khu vực Bắc/Trung/Nam; Ban An ninh hàng không</x:v>
      </x:c>
      <x:c r="I147" s="14" t="str">
        <x:v>Điều 12-13</x:v>
      </x:c>
      <x:c r="J147" s="14" t="str">
        <x:v>P1</x:v>
      </x:c>
      <x:c r="K147" s="14" t="str">
        <x:v>Chưa bắt đầu</x:v>
      </x:c>
      <x:c r="L147" s="14" t="str"/>
      <x:c r="M147" s="14" t="str">
        <x:v>Biên bản lục soát, nhật ký ảnh hưởng dịch vụ, báo cáo sau vụ việc</x:v>
      </x:c>
      <x:c r="N147" s="14" t="str">
        <x:v>Tổng 1 nhiệm vụ liên quan.</x:v>
      </x:c>
    </x:row>
    <x:row r="148">
      <x:c r="A148" s="14" t="str">
        <x:v>PROC-0147</x:v>
      </x:c>
      <x:c r="B148" s="14" t="str">
        <x:v>VATM-0390</x:v>
      </x:c>
      <x:c r="C148" s="14" t="str">
        <x:v>An ninh hàng không</x:v>
      </x:c>
      <x:c r="D148" s="14" t="str">
        <x:v>An ninh hệ thống CNS/ATM/CNTT</x:v>
      </x:c>
      <x:c r="E148" s="14" t="str">
        <x:v>SOP xử lý thông tin đe dọa chuyến bay trong ATM</x:v>
      </x:c>
      <x:c r="F148" s="14" t="str">
        <x:v>Quy trình/SOP</x:v>
      </x:c>
      <x:c r="G148" s="14" t="str">
        <x:v>Ban An ninh hàng không</x:v>
      </x:c>
      <x:c r="H148" s="14" t="str">
        <x:v>Các Công ty Quản lý bay khu vực Bắc/Trung/Nam; Ban Không lưu; Ban Kỹ thuật - CNS/IT/Môi trường; Trung tâm Khí tượng hàng không; Trung tâm Thông báo tin tức hàng không; Ban An ninh hàng không</x:v>
      </x:c>
      <x:c r="I148" s="14" t="str">
        <x:v>Điều 14 khoản 7</x:v>
      </x:c>
      <x:c r="J148" s="14" t="str">
        <x:v>P1</x:v>
      </x:c>
      <x:c r="K148" s="14" t="str">
        <x:v>Chưa bắt đầu</x:v>
      </x:c>
      <x:c r="L148" s="14" t="str"/>
      <x:c r="M148" s="14" t="str">
        <x:v>Bản ghi liên lạc, flight progress strip/nhật ký, báo cáo khẩn</x:v>
      </x:c>
      <x:c r="N148" s="14" t="str">
        <x:v>Tổng 1 nhiệm vụ liên quan.</x:v>
      </x:c>
    </x:row>
    <x:row r="149">
      <x:c r="A149" s="14" t="str">
        <x:v>PROC-0148</x:v>
      </x:c>
      <x:c r="B149" s="14" t="str">
        <x:v>VATM-0390</x:v>
      </x:c>
      <x:c r="C149" s="14" t="str">
        <x:v>An ninh hàng không</x:v>
      </x:c>
      <x:c r="D149" s="14" t="str">
        <x:v>An ninh hệ thống CNS/ATM/CNTT</x:v>
      </x:c>
      <x:c r="E149" s="14" t="str">
        <x:v>Checklist Threat Call/Threat Message</x:v>
      </x:c>
      <x:c r="F149" s="14" t="str">
        <x:v>Biểu mẫu/Checklist</x:v>
      </x:c>
      <x:c r="G149" s="14" t="str">
        <x:v>Ban An ninh hàng không</x:v>
      </x:c>
      <x:c r="H149" s="14" t="str">
        <x:v>Các Công ty Quản lý bay khu vực Bắc/Trung/Nam; Ban Không lưu; Ban Kỹ thuật - CNS/IT/Môi trường; Trung tâm Khí tượng hàng không; Trung tâm Thông báo tin tức hàng không; Ban An ninh hàng không</x:v>
      </x:c>
      <x:c r="I149" s="14" t="str">
        <x:v>Điều 14 khoản 7</x:v>
      </x:c>
      <x:c r="J149" s="14" t="str">
        <x:v>P1</x:v>
      </x:c>
      <x:c r="K149" s="14" t="str">
        <x:v>Chưa bắt đầu</x:v>
      </x:c>
      <x:c r="L149" s="14" t="str"/>
      <x:c r="M149" s="14" t="str">
        <x:v>Bản ghi liên lạc, flight progress strip/nhật ký, báo cáo khẩn</x:v>
      </x:c>
      <x:c r="N149" s="14" t="str">
        <x:v>Tổng 1 nhiệm vụ liên quan.</x:v>
      </x:c>
    </x:row>
    <x:row r="150">
      <x:c r="A150" s="14" t="str">
        <x:v>PROC-0149</x:v>
      </x:c>
      <x:c r="B150" s="14" t="str">
        <x:v>VATM-0391</x:v>
      </x:c>
      <x:c r="C150" s="14" t="str">
        <x:v>An ninh hàng không</x:v>
      </x:c>
      <x:c r="D150" s="14" t="str">
        <x:v>Khu vực hạn chế/kiểm soát ra vào</x:v>
      </x:c>
      <x:c r="E150" s="14" t="str">
        <x:v>Quy trình bảo vệ chứng cứ an ninh cơ sở điều hành bay</x:v>
      </x:c>
      <x:c r="F150" s="14" t="str">
        <x:v>Quy trình/SOP</x:v>
      </x:c>
      <x:c r="G150" s="14" t="str">
        <x:v>Ban An ninh hàng không; Văn phòng - Pháp chế; Các Công ty Quản lý bay khu vực Bắc/Trung/Nam</x:v>
      </x:c>
      <x:c r="H150" s="14" t="str">
        <x:v>Các Công ty Quản lý bay khu vực Bắc/Trung/Nam; Ban An ninh hàng không</x:v>
      </x:c>
      <x:c r="I150" s="14" t="str">
        <x:v>Điều 21 khoản 4 điểm c</x:v>
      </x:c>
      <x:c r="J150" s="14" t="str">
        <x:v>P1</x:v>
      </x:c>
      <x:c r="K150" s="14" t="str">
        <x:v>Chưa bắt đầu</x:v>
      </x:c>
      <x:c r="L150" s="14" t="str"/>
      <x:c r="M150" s="14" t="str">
        <x:v>Biên bản vụ việc, camera, nhật ký truy cập, công văn báo cáo</x:v>
      </x:c>
      <x:c r="N150" s="14" t="str">
        <x:v>Tổng 1 nhiệm vụ liên quan.</x:v>
      </x:c>
    </x:row>
    <x:row r="151">
      <x:c r="A151" s="14" t="str">
        <x:v>PROC-0150</x:v>
      </x:c>
      <x:c r="B151" s="14" t="str">
        <x:v>VATM-0391</x:v>
      </x:c>
      <x:c r="C151" s="14" t="str">
        <x:v>An ninh hàng không</x:v>
      </x:c>
      <x:c r="D151" s="14" t="str">
        <x:v>Khu vực hạn chế/kiểm soát ra vào</x:v>
      </x:c>
      <x:c r="E151" s="14" t="str">
        <x:v>Mẫu báo cáo hành vi uy hiếp an ninh tại cơ sở điều hành bay</x:v>
      </x:c>
      <x:c r="F151" s="14" t="str">
        <x:v>Biểu mẫu/Checklist</x:v>
      </x:c>
      <x:c r="G151" s="14" t="str">
        <x:v>Ban An ninh hàng không; Văn phòng - Pháp chế; Các Công ty Quản lý bay khu vực Bắc/Trung/Nam</x:v>
      </x:c>
      <x:c r="H151" s="14" t="str">
        <x:v>Các Công ty Quản lý bay khu vực Bắc/Trung/Nam; Ban An ninh hàng không</x:v>
      </x:c>
      <x:c r="I151" s="14" t="str">
        <x:v>Điều 21 khoản 4 điểm c</x:v>
      </x:c>
      <x:c r="J151" s="14" t="str">
        <x:v>P1</x:v>
      </x:c>
      <x:c r="K151" s="14" t="str">
        <x:v>Chưa bắt đầu</x:v>
      </x:c>
      <x:c r="L151" s="14" t="str"/>
      <x:c r="M151" s="14" t="str">
        <x:v>Biên bản vụ việc, camera, nhật ký truy cập, công văn báo cáo</x:v>
      </x:c>
      <x:c r="N151" s="14" t="str">
        <x:v>Tổng 1 nhiệm vụ liên quan.</x:v>
      </x:c>
    </x:row>
    <x:row r="152">
      <x:c r="A152" s="14" t="str">
        <x:v>PROC-0151</x:v>
      </x:c>
      <x:c r="B152" s="14" t="str">
        <x:v>VATM-0392</x:v>
      </x:c>
      <x:c r="C152" s="14" t="str">
        <x:v>An ninh hàng không</x:v>
      </x:c>
      <x:c r="D152" s="14" t="str">
        <x:v>Khu vực hạn chế/kiểm soát ra vào</x:v>
      </x:c>
      <x:c r="E152" s="14" t="str">
        <x:v>Quy trình đánh giá rủi ro an ninh hàng không VATM</x:v>
      </x:c>
      <x:c r="F152" s="14" t="str">
        <x:v>Quy trình/SOP</x:v>
      </x:c>
      <x:c r="G152" s="14" t="str">
        <x:v>Ban An ninh hàng không; Ban An toàn - Chất lượng</x:v>
      </x:c>
      <x:c r="H152" s="14" t="str">
        <x:v>Các Công ty Quản lý bay khu vực Bắc/Trung/Nam; Ban An ninh hàng không</x:v>
      </x:c>
      <x:c r="I152" s="14" t="str">
        <x:v>Điều 22-23</x:v>
      </x:c>
      <x:c r="J152" s="14" t="str">
        <x:v>P1</x:v>
      </x:c>
      <x:c r="K152" s="14" t="str">
        <x:v>Chưa bắt đầu</x:v>
      </x:c>
      <x:c r="L152" s="14" t="str"/>
      <x:c r="M152" s="14" t="str">
        <x:v>Ma trận rủi ro AVSEC; lệnh tăng cường; nhật ký thực hiện</x:v>
      </x:c>
      <x:c r="N152" s="14" t="str">
        <x:v>Tổng 1 nhiệm vụ liên quan.</x:v>
      </x:c>
    </x:row>
    <x:row r="153">
      <x:c r="A153" s="14" t="str">
        <x:v>PROC-0152</x:v>
      </x:c>
      <x:c r="B153" s="14" t="str">
        <x:v>VATM-0392</x:v>
      </x:c>
      <x:c r="C153" s="14" t="str">
        <x:v>An ninh hàng không</x:v>
      </x:c>
      <x:c r="D153" s="14" t="str">
        <x:v>Khu vực hạn chế/kiểm soát ra vào</x:v>
      </x:c>
      <x:c r="E153" s="14" t="str">
        <x:v>Mẫu đánh giá rủi ro AVSEC cơ sở ANS</x:v>
      </x:c>
      <x:c r="F153" s="14" t="str">
        <x:v>Biểu mẫu/Checklist</x:v>
      </x:c>
      <x:c r="G153" s="14" t="str">
        <x:v>Ban An ninh hàng không; Ban An toàn - Chất lượng</x:v>
      </x:c>
      <x:c r="H153" s="14" t="str">
        <x:v>Các Công ty Quản lý bay khu vực Bắc/Trung/Nam; Ban An ninh hàng không</x:v>
      </x:c>
      <x:c r="I153" s="14" t="str">
        <x:v>Điều 22-23</x:v>
      </x:c>
      <x:c r="J153" s="14" t="str">
        <x:v>P1</x:v>
      </x:c>
      <x:c r="K153" s="14" t="str">
        <x:v>Chưa bắt đầu</x:v>
      </x:c>
      <x:c r="L153" s="14" t="str"/>
      <x:c r="M153" s="14" t="str">
        <x:v>Ma trận rủi ro AVSEC; lệnh tăng cường; nhật ký thực hiện</x:v>
      </x:c>
      <x:c r="N153" s="14" t="str">
        <x:v>Tổng 1 nhiệm vụ liên quan.</x:v>
      </x:c>
    </x:row>
    <x:row r="154">
      <x:c r="A154" s="14" t="str">
        <x:v>PROC-0153</x:v>
      </x:c>
      <x:c r="B154" s="14" t="str">
        <x:v>VATM-0392</x:v>
      </x:c>
      <x:c r="C154" s="14" t="str">
        <x:v>An ninh hàng không</x:v>
      </x:c>
      <x:c r="D154" s="14" t="str">
        <x:v>Khu vực hạn chế/kiểm soát ra vào</x:v>
      </x:c>
      <x:c r="E154" s="14" t="str">
        <x:v>checklist cấp độ 1/2/3</x:v>
      </x:c>
      <x:c r="F154" s="14" t="str">
        <x:v>Biểu mẫu/Checklist</x:v>
      </x:c>
      <x:c r="G154" s="14" t="str">
        <x:v>Ban An ninh hàng không; Ban An toàn - Chất lượng</x:v>
      </x:c>
      <x:c r="H154" s="14" t="str">
        <x:v>Các Công ty Quản lý bay khu vực Bắc/Trung/Nam; Ban An ninh hàng không</x:v>
      </x:c>
      <x:c r="I154" s="14" t="str">
        <x:v>Điều 22-23</x:v>
      </x:c>
      <x:c r="J154" s="14" t="str">
        <x:v>P1</x:v>
      </x:c>
      <x:c r="K154" s="14" t="str">
        <x:v>Chưa bắt đầu</x:v>
      </x:c>
      <x:c r="L154" s="14" t="str"/>
      <x:c r="M154" s="14" t="str">
        <x:v>Ma trận rủi ro AVSEC; lệnh tăng cường; nhật ký thực hiện</x:v>
      </x:c>
      <x:c r="N154" s="14" t="str">
        <x:v>Tổng 1 nhiệm vụ liên quan.</x:v>
      </x:c>
    </x:row>
    <x:row r="155">
      <x:c r="A155" s="14" t="str">
        <x:v>PROC-0154</x:v>
      </x:c>
      <x:c r="B155" s="14" t="str">
        <x:v>VATM-0393</x:v>
      </x:c>
      <x:c r="C155" s="14" t="str">
        <x:v>An ninh hàng không</x:v>
      </x:c>
      <x:c r="D155" s="14" t="str">
        <x:v>Khu vực hạn chế/kiểm soát ra vào</x:v>
      </x:c>
      <x:c r="E155" s="14" t="str">
        <x:v>Quy trình kiểm soát tài liệu hạn chế AVSEC</x:v>
      </x:c>
      <x:c r="F155" s="14" t="str">
        <x:v>Quy trình/SOP</x:v>
      </x:c>
      <x:c r="G155" s="14" t="str">
        <x:v>Ban An ninh hàng không; Văn phòng - Pháp chế</x:v>
      </x:c>
      <x:c r="H155" s="14" t="str">
        <x:v>Các Công ty Quản lý bay khu vực Bắc/Trung/Nam; Ban An ninh hàng không</x:v>
      </x:c>
      <x:c r="I155" s="14" t="str">
        <x:v>Điều 24</x:v>
      </x:c>
      <x:c r="J155" s="14" t="str">
        <x:v>P1</x:v>
      </x:c>
      <x:c r="K155" s="14" t="str">
        <x:v>Chưa bắt đầu</x:v>
      </x:c>
      <x:c r="L155" s="14" t="str"/>
      <x:c r="M155" s="14" t="str">
        <x:v>Danh mục tài liệu hạn chế; log cấp phát; biên bản thu hồi/hủy</x:v>
      </x:c>
      <x:c r="N155" s="14" t="str">
        <x:v>Tổng 1 nhiệm vụ liên quan.</x:v>
      </x:c>
    </x:row>
    <x:row r="156">
      <x:c r="A156" s="14" t="str">
        <x:v>PROC-0155</x:v>
      </x:c>
      <x:c r="B156" s="14" t="str">
        <x:v>VATM-0393</x:v>
      </x:c>
      <x:c r="C156" s="14" t="str">
        <x:v>An ninh hàng không</x:v>
      </x:c>
      <x:c r="D156" s="14" t="str">
        <x:v>Khu vực hạn chế/kiểm soát ra vào</x:v>
      </x:c>
      <x:c r="E156" s="14" t="str">
        <x:v>Mẫu phiếu cấp phát/thu hồi tài liệu an ninh</x:v>
      </x:c>
      <x:c r="F156" s="14" t="str">
        <x:v>Biểu mẫu/Checklist</x:v>
      </x:c>
      <x:c r="G156" s="14" t="str">
        <x:v>Ban An ninh hàng không; Văn phòng - Pháp chế</x:v>
      </x:c>
      <x:c r="H156" s="14" t="str">
        <x:v>Các Công ty Quản lý bay khu vực Bắc/Trung/Nam; Ban An ninh hàng không</x:v>
      </x:c>
      <x:c r="I156" s="14" t="str">
        <x:v>Điều 24</x:v>
      </x:c>
      <x:c r="J156" s="14" t="str">
        <x:v>P1</x:v>
      </x:c>
      <x:c r="K156" s="14" t="str">
        <x:v>Chưa bắt đầu</x:v>
      </x:c>
      <x:c r="L156" s="14" t="str"/>
      <x:c r="M156" s="14" t="str">
        <x:v>Danh mục tài liệu hạn chế; log cấp phát; biên bản thu hồi/hủy</x:v>
      </x:c>
      <x:c r="N156" s="14" t="str">
        <x:v>Tổng 1 nhiệm vụ liên quan.</x:v>
      </x:c>
    </x:row>
    <x:row r="157">
      <x:c r="A157" s="14" t="str">
        <x:v>PROC-0156</x:v>
      </x:c>
      <x:c r="B157" s="14" t="str">
        <x:v>VATM-0394</x:v>
      </x:c>
      <x:c r="C157" s="14" t="str">
        <x:v>An ninh hàng không</x:v>
      </x:c>
      <x:c r="D157" s="14" t="str">
        <x:v>Khu vực hạn chế/kiểm soát ra vào</x:v>
      </x:c>
      <x:c r="E157" s="14" t="str">
        <x:v>Quy trình kiểm soát an ninh nội bộ nhân viên VATM</x:v>
      </x:c>
      <x:c r="F157" s="14" t="str">
        <x:v>Quy trình/SOP</x:v>
      </x:c>
      <x:c r="G157" s="14" t="str">
        <x:v>Ban An ninh hàng không; Ban Tổ chức cán bộ</x:v>
      </x:c>
      <x:c r="H157" s="14" t="str">
        <x:v>Các Công ty Quản lý bay khu vực Bắc/Trung/Nam; Ban An ninh hàng không</x:v>
      </x:c>
      <x:c r="I157" s="14" t="str">
        <x:v>Điều 25</x:v>
      </x:c>
      <x:c r="J157" s="14" t="str">
        <x:v>P1</x:v>
      </x:c>
      <x:c r="K157" s="14" t="str">
        <x:v>Chưa bắt đầu</x:v>
      </x:c>
      <x:c r="L157" s="14" t="str"/>
      <x:c r="M157" s="14" t="str">
        <x:v>Hồ sơ xác minh lý lịch, cam kết bảo mật, hồ sơ đào tạo, quyết định phân quyền</x:v>
      </x:c>
      <x:c r="N157" s="14" t="str">
        <x:v>Tổng 1 nhiệm vụ liên quan.</x:v>
      </x:c>
    </x:row>
    <x:row r="158">
      <x:c r="A158" s="14" t="str">
        <x:v>PROC-0157</x:v>
      </x:c>
      <x:c r="B158" s="14" t="str">
        <x:v>VATM-0394</x:v>
      </x:c>
      <x:c r="C158" s="14" t="str">
        <x:v>An ninh hàng không</x:v>
      </x:c>
      <x:c r="D158" s="14" t="str">
        <x:v>Khu vực hạn chế/kiểm soát ra vào</x:v>
      </x:c>
      <x:c r="E158" s="14" t="str">
        <x:v>Checklist an ninh tuyển dụng/định kỳ</x:v>
      </x:c>
      <x:c r="F158" s="14" t="str">
        <x:v>Biểu mẫu/Checklist</x:v>
      </x:c>
      <x:c r="G158" s="14" t="str">
        <x:v>Ban An ninh hàng không; Ban Tổ chức cán bộ</x:v>
      </x:c>
      <x:c r="H158" s="14" t="str">
        <x:v>Các Công ty Quản lý bay khu vực Bắc/Trung/Nam; Ban An ninh hàng không</x:v>
      </x:c>
      <x:c r="I158" s="14" t="str">
        <x:v>Điều 25</x:v>
      </x:c>
      <x:c r="J158" s="14" t="str">
        <x:v>P1</x:v>
      </x:c>
      <x:c r="K158" s="14" t="str">
        <x:v>Chưa bắt đầu</x:v>
      </x:c>
      <x:c r="L158" s="14" t="str"/>
      <x:c r="M158" s="14" t="str">
        <x:v>Hồ sơ xác minh lý lịch, cam kết bảo mật, hồ sơ đào tạo, quyết định phân quyền</x:v>
      </x:c>
      <x:c r="N158" s="14" t="str">
        <x:v>Tổng 1 nhiệm vụ liên quan.</x:v>
      </x:c>
    </x:row>
    <x:row r="159">
      <x:c r="A159" s="14" t="str">
        <x:v>PROC-0158</x:v>
      </x:c>
      <x:c r="B159" s="14" t="str">
        <x:v>VATM-0395</x:v>
      </x:c>
      <x:c r="C159" s="14" t="str">
        <x:v>An ninh hàng không</x:v>
      </x:c>
      <x:c r="D159" s="14" t="str">
        <x:v>An ninh hệ thống CNS/ATM/CNTT</x:v>
      </x:c>
      <x:c r="E159" s="14" t="str">
        <x:v>Quy trình bảo vệ hệ thống thông tin chuyên ngành ANS</x:v>
      </x:c>
      <x:c r="F159" s="14" t="str">
        <x:v>Quy trình/SOP</x:v>
      </x:c>
      <x:c r="G159" s="14" t="str">
        <x:v>Ban An ninh hàng không; Ban Kế hoạch doanh nghiệp - Chuyển đổi số; Ban Kỹ thuật - CNS/IT/Môi trường; Trung tâm Thông báo tin tức hàng không; Trung tâm Quản lý luồng không lưu</x:v>
      </x:c>
      <x:c r="H159" s="14" t="str">
        <x:v>Ban Kế hoạch doanh nghiệp - Chuyển đổi số; Ban Kỹ thuật - CNS/IT/Môi trường; Trung tâm Thông báo tin tức hàng không; Các Công ty Quản lý bay khu vực Bắc/Trung/Nam; Ban An ninh hàng không</x:v>
      </x:c>
      <x:c r="I159" s="14" t="str">
        <x:v>Điều 26 khoản 1-2 điểm a,đ,e</x:v>
      </x:c>
      <x:c r="J159" s="14" t="str">
        <x:v>P1</x:v>
      </x:c>
      <x:c r="K159" s="14" t="str">
        <x:v>Chưa bắt đầu</x:v>
      </x:c>
      <x:c r="L159" s="14" t="str"/>
      <x:c r="M159" s="14" t="str">
        <x:v>Chính sách an ninh thông tin, log, báo cáo kiểm thử, biên bản khắc phục</x:v>
      </x:c>
      <x:c r="N159" s="14" t="str">
        <x:v>Tổng 1 nhiệm vụ liên quan.</x:v>
      </x:c>
    </x:row>
    <x:row r="160">
      <x:c r="A160" s="14" t="str">
        <x:v>PROC-0159</x:v>
      </x:c>
      <x:c r="B160" s="14" t="str">
        <x:v>VATM-0395</x:v>
      </x:c>
      <x:c r="C160" s="14" t="str">
        <x:v>An ninh hàng không</x:v>
      </x:c>
      <x:c r="D160" s="14" t="str">
        <x:v>An ninh hệ thống CNS/ATM/CNTT</x:v>
      </x:c>
      <x:c r="E160" s="14" t="str">
        <x:v>Checklist bảo mật hệ thống CNS/ATM/AIS/MET</x:v>
      </x:c>
      <x:c r="F160" s="14" t="str">
        <x:v>Biểu mẫu/Checklist</x:v>
      </x:c>
      <x:c r="G160" s="14" t="str">
        <x:v>Ban An ninh hàng không; Ban Kế hoạch doanh nghiệp - Chuyển đổi số; Ban Kỹ thuật - CNS/IT/Môi trường; Trung tâm Thông báo tin tức hàng không; Trung tâm Quản lý luồng không lưu</x:v>
      </x:c>
      <x:c r="H160" s="14" t="str">
        <x:v>Ban Kế hoạch doanh nghiệp - Chuyển đổi số; Ban Kỹ thuật - CNS/IT/Môi trường; Trung tâm Thông báo tin tức hàng không; Các Công ty Quản lý bay khu vực Bắc/Trung/Nam; Ban An ninh hàng không</x:v>
      </x:c>
      <x:c r="I160" s="14" t="str">
        <x:v>Điều 26 khoản 1-2 điểm a,đ,e</x:v>
      </x:c>
      <x:c r="J160" s="14" t="str">
        <x:v>P1</x:v>
      </x:c>
      <x:c r="K160" s="14" t="str">
        <x:v>Chưa bắt đầu</x:v>
      </x:c>
      <x:c r="L160" s="14" t="str"/>
      <x:c r="M160" s="14" t="str">
        <x:v>Chính sách an ninh thông tin, log, báo cáo kiểm thử, biên bản khắc phục</x:v>
      </x:c>
      <x:c r="N160" s="14" t="str">
        <x:v>Tổng 1 nhiệm vụ liên quan.</x:v>
      </x:c>
    </x:row>
    <x:row r="161">
      <x:c r="A161" s="14" t="str">
        <x:v>PROC-0160</x:v>
      </x:c>
      <x:c r="B161" s="14" t="str">
        <x:v>VATM-0395</x:v>
      </x:c>
      <x:c r="C161" s="14" t="str">
        <x:v>An ninh hàng không</x:v>
      </x:c>
      <x:c r="D161" s="14" t="str">
        <x:v>An ninh hệ thống CNS/ATM/CNTT</x:v>
      </x:c>
      <x:c r="E161" s="14" t="str">
        <x:v>mẫu báo cáo sự cố cyber</x:v>
      </x:c>
      <x:c r="F161" s="14" t="str">
        <x:v>Biểu mẫu/Checklist</x:v>
      </x:c>
      <x:c r="G161" s="14" t="str">
        <x:v>Ban An ninh hàng không; Ban Kế hoạch doanh nghiệp - Chuyển đổi số; Ban Kỹ thuật - CNS/IT/Môi trường; Trung tâm Thông báo tin tức hàng không; Trung tâm Quản lý luồng không lưu</x:v>
      </x:c>
      <x:c r="H161" s="14" t="str">
        <x:v>Ban Kế hoạch doanh nghiệp - Chuyển đổi số; Ban Kỹ thuật - CNS/IT/Môi trường; Trung tâm Thông báo tin tức hàng không; Các Công ty Quản lý bay khu vực Bắc/Trung/Nam; Ban An ninh hàng không</x:v>
      </x:c>
      <x:c r="I161" s="14" t="str">
        <x:v>Điều 26 khoản 1-2 điểm a,đ,e</x:v>
      </x:c>
      <x:c r="J161" s="14" t="str">
        <x:v>P1</x:v>
      </x:c>
      <x:c r="K161" s="14" t="str">
        <x:v>Chưa bắt đầu</x:v>
      </x:c>
      <x:c r="L161" s="14" t="str"/>
      <x:c r="M161" s="14" t="str">
        <x:v>Chính sách an ninh thông tin, log, báo cáo kiểm thử, biên bản khắc phục</x:v>
      </x:c>
      <x:c r="N161" s="14" t="str">
        <x:v>Tổng 1 nhiệm vụ liên quan.</x:v>
      </x:c>
    </x:row>
    <x:row r="162">
      <x:c r="A162" s="14" t="str">
        <x:v>PROC-0161</x:v>
      </x:c>
      <x:c r="B162" s="14" t="str">
        <x:v>VATM-0396</x:v>
      </x:c>
      <x:c r="C162" s="14" t="str">
        <x:v>An ninh hàng không</x:v>
      </x:c>
      <x:c r="D162" s="14" t="str">
        <x:v>Chương trình/kế hoạch ANHK VATM</x:v>
      </x:c>
      <x:c r="E162" s="14" t="str">
        <x:v>Quy trình đào tạo phổ biến AVSEC nội bộ</x:v>
      </x:c>
      <x:c r="F162" s="14" t="str">
        <x:v>Quy trình/SOP</x:v>
      </x:c>
      <x:c r="G162" s="14" t="str">
        <x:v>Ban An ninh hàng không; Văn phòng - Pháp chế</x:v>
      </x:c>
      <x:c r="H162" s="14" t="str">
        <x:v>Các Công ty Quản lý bay khu vực Bắc/Trung/Nam; Ban An ninh hàng không</x:v>
      </x:c>
      <x:c r="I162" s="14" t="str">
        <x:v>Điều 27 khoản 2</x:v>
      </x:c>
      <x:c r="J162" s="14" t="str">
        <x:v>P1</x:v>
      </x:c>
      <x:c r="K162" s="14" t="str">
        <x:v>Chưa bắt đầu</x:v>
      </x:c>
      <x:c r="L162" s="14" t="str"/>
      <x:c r="M162" s="14" t="str">
        <x:v>Kế hoạch đào tạo, danh sách tham dự, bài kiểm tra, chứng nhận</x:v>
      </x:c>
      <x:c r="N162" s="14" t="str">
        <x:v>Tổng 1 nhiệm vụ liên quan.</x:v>
      </x:c>
    </x:row>
    <x:row r="163">
      <x:c r="A163" s="14" t="str">
        <x:v>PROC-0162</x:v>
      </x:c>
      <x:c r="B163" s="14" t="str">
        <x:v>VATM-0396</x:v>
      </x:c>
      <x:c r="C163" s="14" t="str">
        <x:v>An ninh hàng không</x:v>
      </x:c>
      <x:c r="D163" s="14" t="str">
        <x:v>Chương trình/kế hoạch ANHK VATM</x:v>
      </x:c>
      <x:c r="E163" s="14" t="str">
        <x:v>Bộ slide NĐ 215 cho ANSP</x:v>
      </x:c>
      <x:c r="F163" s="14" t="str">
        <x:v>Khác</x:v>
      </x:c>
      <x:c r="G163" s="14" t="str">
        <x:v>Ban An ninh hàng không; Văn phòng - Pháp chế</x:v>
      </x:c>
      <x:c r="H163" s="14" t="str">
        <x:v>Các Công ty Quản lý bay khu vực Bắc/Trung/Nam; Ban An ninh hàng không</x:v>
      </x:c>
      <x:c r="I163" s="14" t="str">
        <x:v>Điều 27 khoản 2</x:v>
      </x:c>
      <x:c r="J163" s="14" t="str">
        <x:v>P1</x:v>
      </x:c>
      <x:c r="K163" s="14" t="str">
        <x:v>Chưa bắt đầu</x:v>
      </x:c>
      <x:c r="L163" s="14" t="str"/>
      <x:c r="M163" s="14" t="str">
        <x:v>Kế hoạch đào tạo, danh sách tham dự, bài kiểm tra, chứng nhận</x:v>
      </x:c>
      <x:c r="N163" s="14" t="str">
        <x:v>Tổng 1 nhiệm vụ liên quan.</x:v>
      </x:c>
    </x:row>
    <x:row r="164">
      <x:c r="A164" s="14" t="str">
        <x:v>PROC-0163</x:v>
      </x:c>
      <x:c r="B164" s="14" t="str">
        <x:v>VATM-0396</x:v>
      </x:c>
      <x:c r="C164" s="14" t="str">
        <x:v>An ninh hàng không</x:v>
      </x:c>
      <x:c r="D164" s="14" t="str">
        <x:v>Chương trình/kế hoạch ANHK VATM</x:v>
      </x:c>
      <x:c r="E164" s="14" t="str">
        <x:v>bài test nhận thức</x:v>
      </x:c>
      <x:c r="F164" s="14" t="str">
        <x:v>Khác</x:v>
      </x:c>
      <x:c r="G164" s="14" t="str">
        <x:v>Ban An ninh hàng không; Văn phòng - Pháp chế</x:v>
      </x:c>
      <x:c r="H164" s="14" t="str">
        <x:v>Các Công ty Quản lý bay khu vực Bắc/Trung/Nam; Ban An ninh hàng không</x:v>
      </x:c>
      <x:c r="I164" s="14" t="str">
        <x:v>Điều 27 khoản 2</x:v>
      </x:c>
      <x:c r="J164" s="14" t="str">
        <x:v>P1</x:v>
      </x:c>
      <x:c r="K164" s="14" t="str">
        <x:v>Chưa bắt đầu</x:v>
      </x:c>
      <x:c r="L164" s="14" t="str"/>
      <x:c r="M164" s="14" t="str">
        <x:v>Kế hoạch đào tạo, danh sách tham dự, bài kiểm tra, chứng nhận</x:v>
      </x:c>
      <x:c r="N164" s="14" t="str">
        <x:v>Tổng 1 nhiệm vụ liên quan.</x:v>
      </x:c>
    </x:row>
    <x:row r="165">
      <x:c r="A165" s="14" t="str">
        <x:v>PROC-0164</x:v>
      </x:c>
      <x:c r="B165" s="14" t="str">
        <x:v>VATM-0397</x:v>
      </x:c>
      <x:c r="C165" s="14" t="str">
        <x:v>An ninh hàng không</x:v>
      </x:c>
      <x:c r="D165" s="14" t="str">
        <x:v>Ứng phó sự cố/diễn tập ANHK</x:v>
      </x:c>
      <x:c r="E165" s="14" t="str">
        <x:v>SOP ATC đối phó hành vi can thiệp bất hợp pháp</x:v>
      </x:c>
      <x:c r="F165" s="14" t="str">
        <x:v>Quy trình/SOP</x:v>
      </x:c>
      <x:c r="G165" s="14" t="str">
        <x:v>Ban An ninh hàng không</x:v>
      </x:c>
      <x:c r="H165" s="14" t="str">
        <x:v>Các Công ty Quản lý bay khu vực Bắc/Trung/Nam; Ban Không lưu; Ban Kỹ thuật - CNS/IT/Môi trường; Trung tâm Khí tượng hàng không; Trung tâm Thông báo tin tức hàng không; Trung tâm Quản lý luồng không lưu; Ban An ninh hàng không</x:v>
      </x:c>
      <x:c r="I165" s="14" t="str">
        <x:v>Điều 28 khoản 2</x:v>
      </x:c>
      <x:c r="J165" s="14" t="str">
        <x:v>P1</x:v>
      </x:c>
      <x:c r="K165" s="14" t="str">
        <x:v>Chưa bắt đầu</x:v>
      </x:c>
      <x:c r="L165" s="14" t="str"/>
      <x:c r="M165" s="14" t="str">
        <x:v>Bản ghi thoại, log xử lý, ATC occurrence report, flight progress data</x:v>
      </x:c>
      <x:c r="N165" s="14" t="str">
        <x:v>Tổng 1 nhiệm vụ liên quan.</x:v>
      </x:c>
    </x:row>
    <x:row r="166">
      <x:c r="A166" s="14" t="str">
        <x:v>PROC-0165</x:v>
      </x:c>
      <x:c r="B166" s="14" t="str">
        <x:v>VATM-0397</x:v>
      </x:c>
      <x:c r="C166" s="14" t="str">
        <x:v>An ninh hàng không</x:v>
      </x:c>
      <x:c r="D166" s="14" t="str">
        <x:v>Ứng phó sự cố/diễn tập ANHK</x:v>
      </x:c>
      <x:c r="E166" s="14" t="str">
        <x:v>Quick Reference Handbook AVSEC cho ATC</x:v>
      </x:c>
      <x:c r="F166" s="14" t="str">
        <x:v>Khác</x:v>
      </x:c>
      <x:c r="G166" s="14" t="str">
        <x:v>Ban An ninh hàng không</x:v>
      </x:c>
      <x:c r="H166" s="14" t="str">
        <x:v>Các Công ty Quản lý bay khu vực Bắc/Trung/Nam; Ban Không lưu; Ban Kỹ thuật - CNS/IT/Môi trường; Trung tâm Khí tượng hàng không; Trung tâm Thông báo tin tức hàng không; Trung tâm Quản lý luồng không lưu; Ban An ninh hàng không</x:v>
      </x:c>
      <x:c r="I166" s="14" t="str">
        <x:v>Điều 28 khoản 2</x:v>
      </x:c>
      <x:c r="J166" s="14" t="str">
        <x:v>P1</x:v>
      </x:c>
      <x:c r="K166" s="14" t="str">
        <x:v>Chưa bắt đầu</x:v>
      </x:c>
      <x:c r="L166" s="14" t="str"/>
      <x:c r="M166" s="14" t="str">
        <x:v>Bản ghi thoại, log xử lý, ATC occurrence report, flight progress data</x:v>
      </x:c>
      <x:c r="N166" s="14" t="str">
        <x:v>Tổng 1 nhiệm vụ liên quan.</x:v>
      </x:c>
    </x:row>
    <x:row r="167">
      <x:c r="A167" s="14" t="str">
        <x:v>PROC-0166</x:v>
      </x:c>
      <x:c r="B167" s="14" t="str">
        <x:v>VATM-0398</x:v>
      </x:c>
      <x:c r="C167" s="14" t="str">
        <x:v>An ninh hàng không</x:v>
      </x:c>
      <x:c r="D167" s="14" t="str">
        <x:v>Ứng phó sự cố/diễn tập ANHK</x:v>
      </x:c>
      <x:c r="E167" s="14" t="str">
        <x:v>Kế hoạch 4 tại chỗ an ninh cơ sở ANS</x:v>
      </x:c>
      <x:c r="F167" s="14" t="str">
        <x:v>Quyết định/Kế hoạch</x:v>
      </x:c>
      <x:c r="G167" s="14" t="str">
        <x:v>Ban An ninh hàng không; Các Công ty Quản lý bay khu vực Bắc/Trung/Nam</x:v>
      </x:c>
      <x:c r="H167" s="14" t="str">
        <x:v>Các Công ty Quản lý bay khu vực Bắc/Trung/Nam; Ban An ninh hàng không</x:v>
      </x:c>
      <x:c r="I167" s="14" t="str">
        <x:v>Điều 28 khoản 5</x:v>
      </x:c>
      <x:c r="J167" s="14" t="str">
        <x:v>P1</x:v>
      </x:c>
      <x:c r="K167" s="14" t="str">
        <x:v>Chưa bắt đầu</x:v>
      </x:c>
      <x:c r="L167" s="14" t="str"/>
      <x:c r="M167" s="14" t="str">
        <x:v>Danh mục nguồn lực 4 tại chỗ, sơ đồ liên lạc, biên bản kiểm tra</x:v>
      </x:c>
      <x:c r="N167" s="14" t="str">
        <x:v>Tổng 1 nhiệm vụ liên quan.</x:v>
      </x:c>
    </x:row>
    <x:row r="168">
      <x:c r="A168" s="14" t="str">
        <x:v>PROC-0167</x:v>
      </x:c>
      <x:c r="B168" s="14" t="str">
        <x:v>VATM-0398</x:v>
      </x:c>
      <x:c r="C168" s="14" t="str">
        <x:v>An ninh hàng không</x:v>
      </x:c>
      <x:c r="D168" s="14" t="str">
        <x:v>Ứng phó sự cố/diễn tập ANHK</x:v>
      </x:c>
      <x:c r="E168" s="14" t="str">
        <x:v>Mẫu danh mục trang bị/hậu cần khẩn nguy ANS</x:v>
      </x:c>
      <x:c r="F168" s="14" t="str">
        <x:v>Biểu mẫu/Checklist</x:v>
      </x:c>
      <x:c r="G168" s="14" t="str">
        <x:v>Ban An ninh hàng không; Các Công ty Quản lý bay khu vực Bắc/Trung/Nam</x:v>
      </x:c>
      <x:c r="H168" s="14" t="str">
        <x:v>Các Công ty Quản lý bay khu vực Bắc/Trung/Nam; Ban An ninh hàng không</x:v>
      </x:c>
      <x:c r="I168" s="14" t="str">
        <x:v>Điều 28 khoản 5</x:v>
      </x:c>
      <x:c r="J168" s="14" t="str">
        <x:v>P1</x:v>
      </x:c>
      <x:c r="K168" s="14" t="str">
        <x:v>Chưa bắt đầu</x:v>
      </x:c>
      <x:c r="L168" s="14" t="str"/>
      <x:c r="M168" s="14" t="str">
        <x:v>Danh mục nguồn lực 4 tại chỗ, sơ đồ liên lạc, biên bản kiểm tra</x:v>
      </x:c>
      <x:c r="N168" s="14" t="str">
        <x:v>Tổng 1 nhiệm vụ liên quan.</x:v>
      </x:c>
    </x:row>
    <x:row r="169">
      <x:c r="A169" s="14" t="str">
        <x:v>PROC-0168</x:v>
      </x:c>
      <x:c r="B169" s="14" t="str">
        <x:v>VATM-0399</x:v>
      </x:c>
      <x:c r="C169" s="14" t="str">
        <x:v>An ninh hàng không</x:v>
      </x:c>
      <x:c r="D169" s="14" t="str">
        <x:v>Khu vực hạn chế/kiểm soát ra vào</x:v>
      </x:c>
      <x:c r="E169" s="14" t="str">
        <x:v>Quy trình lập và cập nhật phương án khẩn nguy AVSEC cơ sở ANS</x:v>
      </x:c>
      <x:c r="F169" s="14" t="str">
        <x:v>Quy trình/SOP</x:v>
      </x:c>
      <x:c r="G169" s="14" t="str">
        <x:v>Ban An ninh hàng không</x:v>
      </x:c>
      <x:c r="H169" s="14" t="str">
        <x:v>Các Công ty Quản lý bay khu vực Bắc/Trung/Nam; Ban An ninh hàng không</x:v>
      </x:c>
      <x:c r="I169" s="14" t="str">
        <x:v>Điều 29 khoản 3; Phụ lục II</x:v>
      </x:c>
      <x:c r="J169" s="14" t="str">
        <x:v>P1</x:v>
      </x:c>
      <x:c r="K169" s="14" t="str">
        <x:v>Chưa bắt đầu</x:v>
      </x:c>
      <x:c r="L169" s="14" t="str"/>
      <x:c r="M169" s="14" t="str">
        <x:v>Phương án được phê duyệt/hiệp đồng; biên bản diễn tập; danh sách lực lượng</x:v>
      </x:c>
      <x:c r="N169" s="14" t="str">
        <x:v>Tổng 1 nhiệm vụ liên quan.</x:v>
      </x:c>
    </x:row>
    <x:row r="170">
      <x:c r="A170" s="14" t="str">
        <x:v>PROC-0169</x:v>
      </x:c>
      <x:c r="B170" s="14" t="str">
        <x:v>VATM-0399</x:v>
      </x:c>
      <x:c r="C170" s="14" t="str">
        <x:v>An ninh hàng không</x:v>
      </x:c>
      <x:c r="D170" s="14" t="str">
        <x:v>Khu vực hạn chế/kiểm soát ra vào</x:v>
      </x:c>
      <x:c r="E170" s="14" t="str">
        <x:v>Đề cương phương án khẩn nguy cơ sở ANS</x:v>
      </x:c>
      <x:c r="F170" s="14" t="str">
        <x:v>Khác</x:v>
      </x:c>
      <x:c r="G170" s="14" t="str">
        <x:v>Ban An ninh hàng không</x:v>
      </x:c>
      <x:c r="H170" s="14" t="str">
        <x:v>Các Công ty Quản lý bay khu vực Bắc/Trung/Nam; Ban An ninh hàng không</x:v>
      </x:c>
      <x:c r="I170" s="14" t="str">
        <x:v>Điều 29 khoản 3; Phụ lục II</x:v>
      </x:c>
      <x:c r="J170" s="14" t="str">
        <x:v>P1</x:v>
      </x:c>
      <x:c r="K170" s="14" t="str">
        <x:v>Chưa bắt đầu</x:v>
      </x:c>
      <x:c r="L170" s="14" t="str"/>
      <x:c r="M170" s="14" t="str">
        <x:v>Phương án được phê duyệt/hiệp đồng; biên bản diễn tập; danh sách lực lượng</x:v>
      </x:c>
      <x:c r="N170" s="14" t="str">
        <x:v>Tổng 1 nhiệm vụ liên quan.</x:v>
      </x:c>
    </x:row>
    <x:row r="171">
      <x:c r="A171" s="14" t="str">
        <x:v>PROC-0170</x:v>
      </x:c>
      <x:c r="B171" s="14" t="str">
        <x:v>VATM-0400</x:v>
      </x:c>
      <x:c r="C171" s="14" t="str">
        <x:v>An ninh hàng không</x:v>
      </x:c>
      <x:c r="D171" s="14" t="str">
        <x:v>Ứng phó sự cố/diễn tập ANHK</x:v>
      </x:c>
      <x:c r="E171" s="14" t="str">
        <x:v>Contingency Plan AVSEC cho cơ sở ANS</x:v>
      </x:c>
      <x:c r="F171" s="14" t="str">
        <x:v>Khác</x:v>
      </x:c>
      <x:c r="G171" s="14" t="str">
        <x:v>Ban An ninh hàng không; Các Công ty Quản lý bay khu vực Bắc/Trung/Nam</x:v>
      </x:c>
      <x:c r="H171" s="14" t="str">
        <x:v>Ban Kỹ thuật - CNS/IT/Môi trường; Trung tâm Khí tượng hàng không; Trung tâm Thông báo tin tức hàng không; Các Công ty Quản lý bay khu vực Bắc/Trung/Nam; Ban An ninh hàng không</x:v>
      </x:c>
      <x:c r="I171" s="14" t="str">
        <x:v>Phụ lục II mục 2</x:v>
      </x:c>
      <x:c r="J171" s="14" t="str">
        <x:v>P1</x:v>
      </x:c>
      <x:c r="K171" s="14" t="str">
        <x:v>Chưa bắt đầu</x:v>
      </x:c>
      <x:c r="L171" s="14" t="str"/>
      <x:c r="M171" s="14" t="str">
        <x:v>Kịch bản diễn tập, báo cáo đánh giá sau diễn tập, danh mục bài học</x:v>
      </x:c>
      <x:c r="N171" s="14" t="str">
        <x:v>Tổng 1 nhiệm vụ liên quan.</x:v>
      </x:c>
    </x:row>
    <x:row r="172">
      <x:c r="A172" s="14" t="str">
        <x:v>PROC-0171</x:v>
      </x:c>
      <x:c r="B172" s="14" t="str">
        <x:v>VATM-0400</x:v>
      </x:c>
      <x:c r="C172" s="14" t="str">
        <x:v>An ninh hàng không</x:v>
      </x:c>
      <x:c r="D172" s="14" t="str">
        <x:v>Ứng phó sự cố/diễn tập ANHK</x:v>
      </x:c>
      <x:c r="E172" s="14" t="str">
        <x:v>Mẫu kịch bản diễn tập tấn công/can thiệp cơ sở ANS</x:v>
      </x:c>
      <x:c r="F172" s="14" t="str">
        <x:v>Biểu mẫu/Checklist</x:v>
      </x:c>
      <x:c r="G172" s="14" t="str">
        <x:v>Ban An ninh hàng không; Các Công ty Quản lý bay khu vực Bắc/Trung/Nam</x:v>
      </x:c>
      <x:c r="H172" s="14" t="str">
        <x:v>Ban Kỹ thuật - CNS/IT/Môi trường; Trung tâm Khí tượng hàng không; Trung tâm Thông báo tin tức hàng không; Các Công ty Quản lý bay khu vực Bắc/Trung/Nam; Ban An ninh hàng không</x:v>
      </x:c>
      <x:c r="I172" s="14" t="str">
        <x:v>Phụ lục II mục 2</x:v>
      </x:c>
      <x:c r="J172" s="14" t="str">
        <x:v>P1</x:v>
      </x:c>
      <x:c r="K172" s="14" t="str">
        <x:v>Chưa bắt đầu</x:v>
      </x:c>
      <x:c r="L172" s="14" t="str"/>
      <x:c r="M172" s="14" t="str">
        <x:v>Kịch bản diễn tập, báo cáo đánh giá sau diễn tập, danh mục bài học</x:v>
      </x:c>
      <x:c r="N172" s="14" t="str">
        <x:v>Tổng 1 nhiệm vụ liên quan.</x:v>
      </x:c>
    </x:row>
    <x:row r="173">
      <x:c r="A173" s="14" t="str">
        <x:v>PROC-0172</x:v>
      </x:c>
      <x:c r="B173" s="14" t="str">
        <x:v>VATM-0401</x:v>
      </x:c>
      <x:c r="C173" s="14" t="str">
        <x:v>An ninh hàng không</x:v>
      </x:c>
      <x:c r="D173" s="14" t="str">
        <x:v>An ninh hệ thống CNS/ATM/CNTT</x:v>
      </x:c>
      <x:c r="E173" s="14" t="str">
        <x:v>SOP liên lạc khẩn nguy AVSEC giữa ANS và BCH</x:v>
      </x:c>
      <x:c r="F173" s="14" t="str">
        <x:v>Quy trình/SOP</x:v>
      </x:c>
      <x:c r="G173" s="14" t="str">
        <x:v>Ban An ninh hàng không; Ban Không lưu; Ban Kỹ thuật - CNS/IT/Môi trường</x:v>
      </x:c>
      <x:c r="H173" s="14" t="str">
        <x:v>Ban Không lưu; Ban Kỹ thuật - CNS/IT/Môi trường; Các Công ty Quản lý bay khu vực Bắc/Trung/Nam; Ban An ninh hàng không</x:v>
      </x:c>
      <x:c r="I173" s="14" t="str">
        <x:v>Điều 36 khoản 3-4,6</x:v>
      </x:c>
      <x:c r="J173" s="14" t="str">
        <x:v>P1</x:v>
      </x:c>
      <x:c r="K173" s="14" t="str">
        <x:v>Chưa bắt đầu</x:v>
      </x:c>
      <x:c r="L173" s="14" t="str"/>
      <x:c r="M173" s="14" t="str">
        <x:v>Sơ đồ kênh liên lạc, biên bản test liên lạc, NOTAM nếu có</x:v>
      </x:c>
      <x:c r="N173" s="14" t="str">
        <x:v>Tổng 1 nhiệm vụ liên quan.</x:v>
      </x:c>
    </x:row>
    <x:row r="174">
      <x:c r="A174" s="14" t="str">
        <x:v>PROC-0173</x:v>
      </x:c>
      <x:c r="B174" s="14" t="str">
        <x:v>VATM-0401</x:v>
      </x:c>
      <x:c r="C174" s="14" t="str">
        <x:v>An ninh hàng không</x:v>
      </x:c>
      <x:c r="D174" s="14" t="str">
        <x:v>An ninh hệ thống CNS/ATM/CNTT</x:v>
      </x:c>
      <x:c r="E174" s="14" t="str">
        <x:v>Danh bạ khẩn nguy, checklist test liên lạc</x:v>
      </x:c>
      <x:c r="F174" s="14" t="str">
        <x:v>Biểu mẫu/Checklist</x:v>
      </x:c>
      <x:c r="G174" s="14" t="str">
        <x:v>Ban An ninh hàng không; Ban Không lưu; Ban Kỹ thuật - CNS/IT/Môi trường</x:v>
      </x:c>
      <x:c r="H174" s="14" t="str">
        <x:v>Ban Không lưu; Ban Kỹ thuật - CNS/IT/Môi trường; Các Công ty Quản lý bay khu vực Bắc/Trung/Nam; Ban An ninh hàng không</x:v>
      </x:c>
      <x:c r="I174" s="14" t="str">
        <x:v>Điều 36 khoản 3-4,6</x:v>
      </x:c>
      <x:c r="J174" s="14" t="str">
        <x:v>P1</x:v>
      </x:c>
      <x:c r="K174" s="14" t="str">
        <x:v>Chưa bắt đầu</x:v>
      </x:c>
      <x:c r="L174" s="14" t="str"/>
      <x:c r="M174" s="14" t="str">
        <x:v>Sơ đồ kênh liên lạc, biên bản test liên lạc, NOTAM nếu có</x:v>
      </x:c>
      <x:c r="N174" s="14" t="str">
        <x:v>Tổng 1 nhiệm vụ liên quan.</x:v>
      </x:c>
    </x:row>
    <x:row r="175">
      <x:c r="A175" s="14" t="str">
        <x:v>PROC-0174</x:v>
      </x:c>
      <x:c r="B175" s="14" t="str">
        <x:v>VATM-0402</x:v>
      </x:c>
      <x:c r="C175" s="14" t="str">
        <x:v>An ninh hàng không</x:v>
      </x:c>
      <x:c r="D175" s="14" t="str">
        <x:v>Khu vực hạn chế/kiểm soát ra vào</x:v>
      </x:c>
      <x:c r="E175" s="14" t="str">
        <x:v>Quy trình tổ chức diễn tập AVSEC cơ sở ANS</x:v>
      </x:c>
      <x:c r="F175" s="14" t="str">
        <x:v>Quy trình/SOP</x:v>
      </x:c>
      <x:c r="G175" s="14" t="str">
        <x:v>Ban An ninh hàng không</x:v>
      </x:c>
      <x:c r="H175" s="14" t="str">
        <x:v>Các Công ty Quản lý bay khu vực Bắc/Trung/Nam; Ban An ninh hàng không</x:v>
      </x:c>
      <x:c r="I175" s="14" t="str">
        <x:v>Điều 37 khoản 3</x:v>
      </x:c>
      <x:c r="J175" s="14" t="str">
        <x:v>P1</x:v>
      </x:c>
      <x:c r="K175" s="14" t="str">
        <x:v>Chưa bắt đầu</x:v>
      </x:c>
      <x:c r="L175" s="14" t="str"/>
      <x:c r="M175" s="14" t="str">
        <x:v>Kế hoạch, quyết định, danh sách tham gia, biên bản, báo cáo sau diễn tập</x:v>
      </x:c>
      <x:c r="N175" s="14" t="str">
        <x:v>Tổng 1 nhiệm vụ liên quan.</x:v>
      </x:c>
    </x:row>
    <x:row r="176">
      <x:c r="A176" s="14" t="str">
        <x:v>PROC-0175</x:v>
      </x:c>
      <x:c r="B176" s="14" t="str">
        <x:v>VATM-0402</x:v>
      </x:c>
      <x:c r="C176" s="14" t="str">
        <x:v>An ninh hàng không</x:v>
      </x:c>
      <x:c r="D176" s="14" t="str">
        <x:v>Khu vực hạn chế/kiểm soát ra vào</x:v>
      </x:c>
      <x:c r="E176" s="14" t="str">
        <x:v>Mẫu kế hoạch/báo cáo diễn tập cấp cơ sở ANS</x:v>
      </x:c>
      <x:c r="F176" s="14" t="str">
        <x:v>Quyết định/Kế hoạch</x:v>
      </x:c>
      <x:c r="G176" s="14" t="str">
        <x:v>Ban An ninh hàng không</x:v>
      </x:c>
      <x:c r="H176" s="14" t="str">
        <x:v>Các Công ty Quản lý bay khu vực Bắc/Trung/Nam; Ban An ninh hàng không</x:v>
      </x:c>
      <x:c r="I176" s="14" t="str">
        <x:v>Điều 37 khoản 3</x:v>
      </x:c>
      <x:c r="J176" s="14" t="str">
        <x:v>P1</x:v>
      </x:c>
      <x:c r="K176" s="14" t="str">
        <x:v>Chưa bắt đầu</x:v>
      </x:c>
      <x:c r="L176" s="14" t="str"/>
      <x:c r="M176" s="14" t="str">
        <x:v>Kế hoạch, quyết định, danh sách tham gia, biên bản, báo cáo sau diễn tập</x:v>
      </x:c>
      <x:c r="N176" s="14" t="str">
        <x:v>Tổng 1 nhiệm vụ liên quan.</x:v>
      </x:c>
    </x:row>
    <x:row r="177">
      <x:c r="A177" s="14" t="str">
        <x:v>PROC-0176</x:v>
      </x:c>
      <x:c r="B177" s="14" t="str">
        <x:v>VATM-0403</x:v>
      </x:c>
      <x:c r="C177" s="14" t="str">
        <x:v>An ninh hàng không</x:v>
      </x:c>
      <x:c r="D177" s="14" t="str">
        <x:v>Khu vực hạn chế/kiểm soát ra vào</x:v>
      </x:c>
      <x:c r="E177" s="14" t="str">
        <x:v>Quy chế tổ chức lực lượng kiểm soát an ninh hàng không VATM</x:v>
      </x:c>
      <x:c r="F177" s="14" t="str">
        <x:v>Quy trình/SOP</x:v>
      </x:c>
      <x:c r="G177" s="14" t="str">
        <x:v>Ban An ninh hàng không</x:v>
      </x:c>
      <x:c r="H177" s="14" t="str">
        <x:v>Các Công ty Quản lý bay khu vực Bắc/Trung/Nam; Ban An ninh hàng không</x:v>
      </x:c>
      <x:c r="I177" s="14" t="str">
        <x:v>Điều 38 khoản 1 điểm b, khoản 3</x:v>
      </x:c>
      <x:c r="J177" s="14" t="str">
        <x:v>P1</x:v>
      </x:c>
      <x:c r="K177" s="14" t="str">
        <x:v>Chưa bắt đầu</x:v>
      </x:c>
      <x:c r="L177" s="14" t="str"/>
      <x:c r="M177" s="14" t="str">
        <x:v>Quyết định tổ chức lực lượng, mô tả chức năng nhiệm vụ, danh sách nhân sự</x:v>
      </x:c>
      <x:c r="N177" s="14" t="str">
        <x:v>Tổng 1 nhiệm vụ liên quan.</x:v>
      </x:c>
    </x:row>
    <x:row r="178">
      <x:c r="A178" s="14" t="str">
        <x:v>PROC-0177</x:v>
      </x:c>
      <x:c r="B178" s="14" t="str">
        <x:v>VATM-0403</x:v>
      </x:c>
      <x:c r="C178" s="14" t="str">
        <x:v>An ninh hàng không</x:v>
      </x:c>
      <x:c r="D178" s="14" t="str">
        <x:v>Khu vực hạn chế/kiểm soát ra vào</x:v>
      </x:c>
      <x:c r="E178" s="14" t="str">
        <x:v>Mẫu phân công ca KSAN cơ sở không lưu</x:v>
      </x:c>
      <x:c r="F178" s="14" t="str">
        <x:v>Biểu mẫu/Checklist</x:v>
      </x:c>
      <x:c r="G178" s="14" t="str">
        <x:v>Ban An ninh hàng không</x:v>
      </x:c>
      <x:c r="H178" s="14" t="str">
        <x:v>Các Công ty Quản lý bay khu vực Bắc/Trung/Nam; Ban An ninh hàng không</x:v>
      </x:c>
      <x:c r="I178" s="14" t="str">
        <x:v>Điều 38 khoản 1 điểm b, khoản 3</x:v>
      </x:c>
      <x:c r="J178" s="14" t="str">
        <x:v>P1</x:v>
      </x:c>
      <x:c r="K178" s="14" t="str">
        <x:v>Chưa bắt đầu</x:v>
      </x:c>
      <x:c r="L178" s="14" t="str"/>
      <x:c r="M178" s="14" t="str">
        <x:v>Quyết định tổ chức lực lượng, mô tả chức năng nhiệm vụ, danh sách nhân sự</x:v>
      </x:c>
      <x:c r="N178" s="14" t="str">
        <x:v>Tổng 1 nhiệm vụ liên quan.</x:v>
      </x:c>
    </x:row>
    <x:row r="179">
      <x:c r="A179" s="14" t="str">
        <x:v>PROC-0178</x:v>
      </x:c>
      <x:c r="B179" s="14" t="str">
        <x:v>VATM-0404</x:v>
      </x:c>
      <x:c r="C179" s="14" t="str">
        <x:v>An ninh hàng không</x:v>
      </x:c>
      <x:c r="D179" s="14" t="str">
        <x:v>Chương trình/kế hoạch ANHK VATM</x:v>
      </x:c>
      <x:c r="E179" s="14" t="str">
        <x:v>Quy chế tổ chức bộ máy an ninh VATM</x:v>
      </x:c>
      <x:c r="F179" s="14" t="str">
        <x:v>Quy trình/SOP</x:v>
      </x:c>
      <x:c r="G179" s="14" t="str">
        <x:v>Ban An ninh hàng không</x:v>
      </x:c>
      <x:c r="H179" s="14" t="str">
        <x:v>Các Công ty Quản lý bay khu vực Bắc/Trung/Nam; Văn phòng - Pháp chế; Ban An ninh hàng không</x:v>
      </x:c>
      <x:c r="I179" s="14" t="str">
        <x:v>Điều 39 khoản 2 điểm a-b</x:v>
      </x:c>
      <x:c r="J179" s="14" t="str">
        <x:v>P1</x:v>
      </x:c>
      <x:c r="K179" s="14" t="str">
        <x:v>Chưa bắt đầu</x:v>
      </x:c>
      <x:c r="L179" s="14" t="str"/>
      <x:c r="M179" s="14" t="str">
        <x:v>Quyết định bổ nhiệm, sơ đồ tổ chức, hồ sơ phê chuẩn</x:v>
      </x:c>
      <x:c r="N179" s="14" t="str">
        <x:v>Tổng 1 nhiệm vụ liên quan.</x:v>
      </x:c>
    </x:row>
    <x:row r="180">
      <x:c r="A180" s="14" t="str">
        <x:v>PROC-0179</x:v>
      </x:c>
      <x:c r="B180" s="14" t="str">
        <x:v>VATM-0404</x:v>
      </x:c>
      <x:c r="C180" s="14" t="str">
        <x:v>An ninh hàng không</x:v>
      </x:c>
      <x:c r="D180" s="14" t="str">
        <x:v>Chương trình/kế hoạch ANHK VATM</x:v>
      </x:c>
      <x:c r="E180" s="14" t="str">
        <x:v>Mẫu hồ sơ phê chuẩn người đứng đầu bộ phận an ninh</x:v>
      </x:c>
      <x:c r="F180" s="14" t="str">
        <x:v>Biểu mẫu/Checklist</x:v>
      </x:c>
      <x:c r="G180" s="14" t="str">
        <x:v>Ban An ninh hàng không</x:v>
      </x:c>
      <x:c r="H180" s="14" t="str">
        <x:v>Các Công ty Quản lý bay khu vực Bắc/Trung/Nam; Văn phòng - Pháp chế; Ban An ninh hàng không</x:v>
      </x:c>
      <x:c r="I180" s="14" t="str">
        <x:v>Điều 39 khoản 2 điểm a-b</x:v>
      </x:c>
      <x:c r="J180" s="14" t="str">
        <x:v>P1</x:v>
      </x:c>
      <x:c r="K180" s="14" t="str">
        <x:v>Chưa bắt đầu</x:v>
      </x:c>
      <x:c r="L180" s="14" t="str"/>
      <x:c r="M180" s="14" t="str">
        <x:v>Quyết định bổ nhiệm, sơ đồ tổ chức, hồ sơ phê chuẩn</x:v>
      </x:c>
      <x:c r="N180" s="14" t="str">
        <x:v>Tổng 1 nhiệm vụ liên quan.</x:v>
      </x:c>
    </x:row>
    <x:row r="181">
      <x:c r="A181" s="14" t="str">
        <x:v>PROC-0180</x:v>
      </x:c>
      <x:c r="B181" s="14" t="str">
        <x:v>VATM-0405</x:v>
      </x:c>
      <x:c r="C181" s="14" t="str">
        <x:v>An ninh hàng không</x:v>
      </x:c>
      <x:c r="D181" s="14" t="str">
        <x:v>Khu vực hạn chế/kiểm soát ra vào</x:v>
      </x:c>
      <x:c r="E181" s="14" t="str">
        <x:v>Quy trình quản lý giấy phép/năng định KSANHK VATM</x:v>
      </x:c>
      <x:c r="F181" s="14" t="str">
        <x:v>Quy trình/SOP</x:v>
      </x:c>
      <x:c r="G181" s="14" t="str">
        <x:v>Ban An ninh hàng không</x:v>
      </x:c>
      <x:c r="H181" s="14" t="str">
        <x:v>Các Công ty Quản lý bay khu vực Bắc/Trung/Nam; Ban Không lưu; Ban An ninh hàng không</x:v>
      </x:c>
      <x:c r="I181" s="14" t="str">
        <x:v>Điều 39 khoản 2 điểm c</x:v>
      </x:c>
      <x:c r="J181" s="14" t="str">
        <x:v>P1</x:v>
      </x:c>
      <x:c r="K181" s="14" t="str">
        <x:v>Chưa bắt đầu</x:v>
      </x:c>
      <x:c r="L181" s="14" t="str"/>
      <x:c r="M181" s="14" t="str">
        <x:v>Hồ sơ đào tạo, giấy phép, năng định, ma trận năng lực</x:v>
      </x:c>
      <x:c r="N181" s="14" t="str">
        <x:v>Tổng 1 nhiệm vụ liên quan.</x:v>
      </x:c>
    </x:row>
    <x:row r="182">
      <x:c r="A182" s="14" t="str">
        <x:v>PROC-0181</x:v>
      </x:c>
      <x:c r="B182" s="14" t="str">
        <x:v>VATM-0405</x:v>
      </x:c>
      <x:c r="C182" s="14" t="str">
        <x:v>An ninh hàng không</x:v>
      </x:c>
      <x:c r="D182" s="14" t="str">
        <x:v>Khu vực hạn chế/kiểm soát ra vào</x:v>
      </x:c>
      <x:c r="E182" s="14" t="str">
        <x:v>Ma trận năng lực KSANHK</x:v>
      </x:c>
      <x:c r="F182" s="14" t="str">
        <x:v>Khác</x:v>
      </x:c>
      <x:c r="G182" s="14" t="str">
        <x:v>Ban An ninh hàng không</x:v>
      </x:c>
      <x:c r="H182" s="14" t="str">
        <x:v>Các Công ty Quản lý bay khu vực Bắc/Trung/Nam; Ban Không lưu; Ban An ninh hàng không</x:v>
      </x:c>
      <x:c r="I182" s="14" t="str">
        <x:v>Điều 39 khoản 2 điểm c</x:v>
      </x:c>
      <x:c r="J182" s="14" t="str">
        <x:v>P1</x:v>
      </x:c>
      <x:c r="K182" s="14" t="str">
        <x:v>Chưa bắt đầu</x:v>
      </x:c>
      <x:c r="L182" s="14" t="str"/>
      <x:c r="M182" s="14" t="str">
        <x:v>Hồ sơ đào tạo, giấy phép, năng định, ma trận năng lực</x:v>
      </x:c>
      <x:c r="N182" s="14" t="str">
        <x:v>Tổng 1 nhiệm vụ liên quan.</x:v>
      </x:c>
    </x:row>
    <x:row r="183">
      <x:c r="A183" s="14" t="str">
        <x:v>PROC-0182</x:v>
      </x:c>
      <x:c r="B183" s="14" t="str">
        <x:v>VATM-0405</x:v>
      </x:c>
      <x:c r="C183" s="14" t="str">
        <x:v>An ninh hàng không</x:v>
      </x:c>
      <x:c r="D183" s="14" t="str">
        <x:v>Khu vực hạn chế/kiểm soát ra vào</x:v>
      </x:c>
      <x:c r="E183" s="14" t="str">
        <x:v>checklist kiểm tra hồ sơ</x:v>
      </x:c>
      <x:c r="F183" s="14" t="str">
        <x:v>Biểu mẫu/Checklist</x:v>
      </x:c>
      <x:c r="G183" s="14" t="str">
        <x:v>Ban An ninh hàng không</x:v>
      </x:c>
      <x:c r="H183" s="14" t="str">
        <x:v>Các Công ty Quản lý bay khu vực Bắc/Trung/Nam; Ban Không lưu; Ban An ninh hàng không</x:v>
      </x:c>
      <x:c r="I183" s="14" t="str">
        <x:v>Điều 39 khoản 2 điểm c</x:v>
      </x:c>
      <x:c r="J183" s="14" t="str">
        <x:v>P1</x:v>
      </x:c>
      <x:c r="K183" s="14" t="str">
        <x:v>Chưa bắt đầu</x:v>
      </x:c>
      <x:c r="L183" s="14" t="str"/>
      <x:c r="M183" s="14" t="str">
        <x:v>Hồ sơ đào tạo, giấy phép, năng định, ma trận năng lực</x:v>
      </x:c>
      <x:c r="N183" s="14" t="str">
        <x:v>Tổng 1 nhiệm vụ liên quan.</x:v>
      </x:c>
    </x:row>
    <x:row r="184">
      <x:c r="A184" s="14" t="str">
        <x:v>PROC-0183</x:v>
      </x:c>
      <x:c r="B184" s="14" t="str">
        <x:v>VATM-0406</x:v>
      </x:c>
      <x:c r="C184" s="14" t="str">
        <x:v>An ninh hàng không</x:v>
      </x:c>
      <x:c r="D184" s="14" t="str">
        <x:v>Chương trình/kế hoạch ANHK VATM</x:v>
      </x:c>
      <x:c r="E184" s="14" t="str">
        <x:v>Quy trình triển khai chương trình an ninh tại cơ sở ANS</x:v>
      </x:c>
      <x:c r="F184" s="14" t="str">
        <x:v>Quy trình/SOP</x:v>
      </x:c>
      <x:c r="G184" s="14" t="str">
        <x:v>Ban An ninh hàng không</x:v>
      </x:c>
      <x:c r="H184" s="14" t="str">
        <x:v>Các Công ty Quản lý bay khu vực Bắc/Trung/Nam; Ban An ninh hàng không</x:v>
      </x:c>
      <x:c r="I184" s="14" t="str">
        <x:v>Điều 40 khoản 2 điểm a</x:v>
      </x:c>
      <x:c r="J184" s="14" t="str">
        <x:v>P1</x:v>
      </x:c>
      <x:c r="K184" s="14" t="str">
        <x:v>Chưa bắt đầu</x:v>
      </x:c>
      <x:c r="L184" s="14" t="str"/>
      <x:c r="M184" s="14" t="str">
        <x:v>Biên bản họp, báo cáo tuân thủ, hồ sơ sửa đổi chương trình</x:v>
      </x:c>
      <x:c r="N184" s="14" t="str">
        <x:v>Tổng 1 nhiệm vụ liên quan.</x:v>
      </x:c>
    </x:row>
    <x:row r="185">
      <x:c r="A185" s="14" t="str">
        <x:v>PROC-0184</x:v>
      </x:c>
      <x:c r="B185" s="14" t="str">
        <x:v>VATM-0406</x:v>
      </x:c>
      <x:c r="C185" s="14" t="str">
        <x:v>An ninh hàng không</x:v>
      </x:c>
      <x:c r="D185" s="14" t="str">
        <x:v>Chương trình/kế hoạch ANHK VATM</x:v>
      </x:c>
      <x:c r="E185" s="14" t="str">
        <x:v>Mẫu báo cáo thực hiện chương trình an ninh</x:v>
      </x:c>
      <x:c r="F185" s="14" t="str">
        <x:v>Biểu mẫu/Checklist</x:v>
      </x:c>
      <x:c r="G185" s="14" t="str">
        <x:v>Ban An ninh hàng không</x:v>
      </x:c>
      <x:c r="H185" s="14" t="str">
        <x:v>Các Công ty Quản lý bay khu vực Bắc/Trung/Nam; Ban An ninh hàng không</x:v>
      </x:c>
      <x:c r="I185" s="14" t="str">
        <x:v>Điều 40 khoản 2 điểm a</x:v>
      </x:c>
      <x:c r="J185" s="14" t="str">
        <x:v>P1</x:v>
      </x:c>
      <x:c r="K185" s="14" t="str">
        <x:v>Chưa bắt đầu</x:v>
      </x:c>
      <x:c r="L185" s="14" t="str"/>
      <x:c r="M185" s="14" t="str">
        <x:v>Biên bản họp, báo cáo tuân thủ, hồ sơ sửa đổi chương trình</x:v>
      </x:c>
      <x:c r="N185" s="14" t="str">
        <x:v>Tổng 1 nhiệm vụ liên quan.</x:v>
      </x:c>
    </x:row>
    <x:row r="186">
      <x:c r="A186" s="14" t="str">
        <x:v>PROC-0185</x:v>
      </x:c>
      <x:c r="B186" s="14" t="str">
        <x:v>VATM-0407</x:v>
      </x:c>
      <x:c r="C186" s="14" t="str">
        <x:v>An ninh hàng không</x:v>
      </x:c>
      <x:c r="D186" s="14" t="str">
        <x:v>Quản trị, phối hợp và giám sát ANHK</x:v>
      </x:c>
      <x:c r="E186" s="14" t="str">
        <x:v>SOP đối phó ban đầu tại cơ sở ANS</x:v>
      </x:c>
      <x:c r="F186" s="14" t="str">
        <x:v>Quy trình/SOP</x:v>
      </x:c>
      <x:c r="G186" s="14" t="str">
        <x:v>Ban An ninh hàng không</x:v>
      </x:c>
      <x:c r="H186" s="14" t="str">
        <x:v>Các Công ty Quản lý bay khu vực Bắc/Trung/Nam; Ban Không lưu; Ban Kỹ thuật - CNS/IT/Môi trường; Trung tâm Khí tượng hàng không; Trung tâm Thông báo tin tức hàng không; Ban An ninh hàng không</x:v>
      </x:c>
      <x:c r="I186" s="14" t="str">
        <x:v>Điều 40 khoản 2 điểm b</x:v>
      </x:c>
      <x:c r="J186" s="14" t="str">
        <x:v>P1</x:v>
      </x:c>
      <x:c r="K186" s="14" t="str">
        <x:v>Chưa bắt đầu</x:v>
      </x:c>
      <x:c r="L186" s="14" t="str"/>
      <x:c r="M186" s="14" t="str">
        <x:v>Nhật ký vụ việc, biên bản bảo vệ hiện trường, camera, báo cáo chuyển giao</x:v>
      </x:c>
      <x:c r="N186" s="14" t="str">
        <x:v>Tổng 1 nhiệm vụ liên quan.</x:v>
      </x:c>
    </x:row>
    <x:row r="187">
      <x:c r="A187" s="14" t="str">
        <x:v>PROC-0186</x:v>
      </x:c>
      <x:c r="B187" s="14" t="str">
        <x:v>VATM-0407</x:v>
      </x:c>
      <x:c r="C187" s="14" t="str">
        <x:v>An ninh hàng không</x:v>
      </x:c>
      <x:c r="D187" s="14" t="str">
        <x:v>Quản trị, phối hợp và giám sát ANHK</x:v>
      </x:c>
      <x:c r="E187" s="14" t="str">
        <x:v>Checklist bảo vệ hiện trường và chuyển giao</x:v>
      </x:c>
      <x:c r="F187" s="14" t="str">
        <x:v>Biểu mẫu/Checklist</x:v>
      </x:c>
      <x:c r="G187" s="14" t="str">
        <x:v>Ban An ninh hàng không</x:v>
      </x:c>
      <x:c r="H187" s="14" t="str">
        <x:v>Các Công ty Quản lý bay khu vực Bắc/Trung/Nam; Ban Không lưu; Ban Kỹ thuật - CNS/IT/Môi trường; Trung tâm Khí tượng hàng không; Trung tâm Thông báo tin tức hàng không; Ban An ninh hàng không</x:v>
      </x:c>
      <x:c r="I187" s="14" t="str">
        <x:v>Điều 40 khoản 2 điểm b</x:v>
      </x:c>
      <x:c r="J187" s="14" t="str">
        <x:v>P1</x:v>
      </x:c>
      <x:c r="K187" s="14" t="str">
        <x:v>Chưa bắt đầu</x:v>
      </x:c>
      <x:c r="L187" s="14" t="str"/>
      <x:c r="M187" s="14" t="str">
        <x:v>Nhật ký vụ việc, biên bản bảo vệ hiện trường, camera, báo cáo chuyển giao</x:v>
      </x:c>
      <x:c r="N187" s="14" t="str">
        <x:v>Tổng 1 nhiệm vụ liên quan.</x:v>
      </x:c>
    </x:row>
    <x:row r="188">
      <x:c r="A188" s="14" t="str">
        <x:v>PROC-0187</x:v>
      </x:c>
      <x:c r="B188" s="14" t="str">
        <x:v>VATM-0408</x:v>
      </x:c>
      <x:c r="C188" s="14" t="str">
        <x:v>An ninh hàng không</x:v>
      </x:c>
      <x:c r="D188" s="14" t="str">
        <x:v>Quản trị, phối hợp và giám sát ANHK</x:v>
      </x:c>
      <x:c r="E188" s="14" t="str">
        <x:v>Quy trình lập biên bản và chuyển giao vụ việc an ninh</x:v>
      </x:c>
      <x:c r="F188" s="14" t="str">
        <x:v>Quy trình/SOP</x:v>
      </x:c>
      <x:c r="G188" s="14" t="str">
        <x:v>Ban An ninh hàng không; Văn phòng - Pháp chế</x:v>
      </x:c>
      <x:c r="H188" s="14" t="str">
        <x:v>Các Công ty Quản lý bay khu vực Bắc/Trung/Nam; Ban An ninh hàng không</x:v>
      </x:c>
      <x:c r="I188" s="14" t="str">
        <x:v>Điều 40 khoản 2 điểm c-d</x:v>
      </x:c>
      <x:c r="J188" s="14" t="str">
        <x:v>P1</x:v>
      </x:c>
      <x:c r="K188" s="14" t="str">
        <x:v>Chưa bắt đầu</x:v>
      </x:c>
      <x:c r="L188" s="14" t="str"/>
      <x:c r="M188" s="14" t="str">
        <x:v>Biên bản vụ việc, biên bản bàn giao, hồ sơ chứng cứ</x:v>
      </x:c>
      <x:c r="N188" s="14" t="str">
        <x:v>Tổng 1 nhiệm vụ liên quan.</x:v>
      </x:c>
    </x:row>
    <x:row r="189">
      <x:c r="A189" s="14" t="str">
        <x:v>PROC-0188</x:v>
      </x:c>
      <x:c r="B189" s="14" t="str">
        <x:v>VATM-0408</x:v>
      </x:c>
      <x:c r="C189" s="14" t="str">
        <x:v>An ninh hàng không</x:v>
      </x:c>
      <x:c r="D189" s="14" t="str">
        <x:v>Quản trị, phối hợp và giám sát ANHK</x:v>
      </x:c>
      <x:c r="E189" s="14" t="str">
        <x:v>Mẫu biên bản vụ việc uy hiếp an ninh ANS</x:v>
      </x:c>
      <x:c r="F189" s="14" t="str">
        <x:v>Biểu mẫu/Checklist</x:v>
      </x:c>
      <x:c r="G189" s="14" t="str">
        <x:v>Ban An ninh hàng không; Văn phòng - Pháp chế</x:v>
      </x:c>
      <x:c r="H189" s="14" t="str">
        <x:v>Các Công ty Quản lý bay khu vực Bắc/Trung/Nam; Ban An ninh hàng không</x:v>
      </x:c>
      <x:c r="I189" s="14" t="str">
        <x:v>Điều 40 khoản 2 điểm c-d</x:v>
      </x:c>
      <x:c r="J189" s="14" t="str">
        <x:v>P1</x:v>
      </x:c>
      <x:c r="K189" s="14" t="str">
        <x:v>Chưa bắt đầu</x:v>
      </x:c>
      <x:c r="L189" s="14" t="str"/>
      <x:c r="M189" s="14" t="str">
        <x:v>Biên bản vụ việc, biên bản bàn giao, hồ sơ chứng cứ</x:v>
      </x:c>
      <x:c r="N189" s="14" t="str">
        <x:v>Tổng 1 nhiệm vụ liên quan.</x:v>
      </x:c>
    </x:row>
    <x:row r="190">
      <x:c r="A190" s="14" t="str">
        <x:v>PROC-0189</x:v>
      </x:c>
      <x:c r="B190" s="14" t="str">
        <x:v>VATM-0409</x:v>
      </x:c>
      <x:c r="C190" s="14" t="str">
        <x:v>An ninh hàng không</x:v>
      </x:c>
      <x:c r="D190" s="14" t="str">
        <x:v>Khu vực hạn chế/kiểm soát ra vào</x:v>
      </x:c>
      <x:c r="E190" s="14" t="str">
        <x:v>Quy trình quản lý trang phục/trang bị KSANHK VATM</x:v>
      </x:c>
      <x:c r="F190" s="14" t="str">
        <x:v>Quy trình/SOP</x:v>
      </x:c>
      <x:c r="G190" s="14" t="str">
        <x:v>Ban An ninh hàng không</x:v>
      </x:c>
      <x:c r="H190" s="14" t="str">
        <x:v>Các Công ty Quản lý bay khu vực Bắc/Trung/Nam; Ban Tài chính; Ban An ninh hàng không</x:v>
      </x:c>
      <x:c r="I190" s="14" t="str">
        <x:v>Điều 40 khoản 2 điểm đ</x:v>
      </x:c>
      <x:c r="J190" s="14" t="str">
        <x:v>P1</x:v>
      </x:c>
      <x:c r="K190" s="14" t="str">
        <x:v>Chưa bắt đầu</x:v>
      </x:c>
      <x:c r="L190" s="14" t="str"/>
      <x:c r="M190" s="14" t="str">
        <x:v>Sổ cấp phát, kiểm kê trang bị, quy định sử dụng</x:v>
      </x:c>
      <x:c r="N190" s="14" t="str">
        <x:v>Tổng 1 nhiệm vụ liên quan.</x:v>
      </x:c>
    </x:row>
    <x:row r="191">
      <x:c r="A191" s="14" t="str">
        <x:v>PROC-0190</x:v>
      </x:c>
      <x:c r="B191" s="14" t="str">
        <x:v>VATM-0409</x:v>
      </x:c>
      <x:c r="C191" s="14" t="str">
        <x:v>An ninh hàng không</x:v>
      </x:c>
      <x:c r="D191" s="14" t="str">
        <x:v>Khu vực hạn chế/kiểm soát ra vào</x:v>
      </x:c>
      <x:c r="E191" s="14" t="str">
        <x:v>Mẫu phiếu cấp phát/kiểm kê trang bị an ninh</x:v>
      </x:c>
      <x:c r="F191" s="14" t="str">
        <x:v>Biểu mẫu/Checklist</x:v>
      </x:c>
      <x:c r="G191" s="14" t="str">
        <x:v>Ban An ninh hàng không</x:v>
      </x:c>
      <x:c r="H191" s="14" t="str">
        <x:v>Các Công ty Quản lý bay khu vực Bắc/Trung/Nam; Ban Tài chính; Ban An ninh hàng không</x:v>
      </x:c>
      <x:c r="I191" s="14" t="str">
        <x:v>Điều 40 khoản 2 điểm đ</x:v>
      </x:c>
      <x:c r="J191" s="14" t="str">
        <x:v>P1</x:v>
      </x:c>
      <x:c r="K191" s="14" t="str">
        <x:v>Chưa bắt đầu</x:v>
      </x:c>
      <x:c r="L191" s="14" t="str"/>
      <x:c r="M191" s="14" t="str">
        <x:v>Sổ cấp phát, kiểm kê trang bị, quy định sử dụng</x:v>
      </x:c>
      <x:c r="N191" s="14" t="str">
        <x:v>Tổng 1 nhiệm vụ liên quan.</x:v>
      </x:c>
    </x:row>
    <x:row r="192">
      <x:c r="A192" s="14" t="str">
        <x:v>PROC-0191</x:v>
      </x:c>
      <x:c r="B192" s="14" t="str">
        <x:v>VATM-0410</x:v>
      </x:c>
      <x:c r="C192" s="14" t="str">
        <x:v>An ninh hàng không</x:v>
      </x:c>
      <x:c r="D192" s="14" t="str">
        <x:v>Khu vực hạn chế/kiểm soát ra vào</x:v>
      </x:c>
      <x:c r="E192" s="14" t="str">
        <x:v>Quy trình bảo đảm an ninh phục vụ chuyên cơ của VATM</x:v>
      </x:c>
      <x:c r="F192" s="14" t="str">
        <x:v>Quy trình/SOP</x:v>
      </x:c>
      <x:c r="G192" s="14" t="str">
        <x:v>Ban An ninh hàng không; Ban Không lưu; Ban Kỹ thuật - CNS/IT/Môi trường</x:v>
      </x:c>
      <x:c r="H192" s="14" t="str">
        <x:v>Các Công ty Quản lý bay khu vực Bắc/Trung/Nam; Ban An ninh hàng không</x:v>
      </x:c>
      <x:c r="I192" s="14" t="str">
        <x:v>Điều 41 khoản 2-4</x:v>
      </x:c>
      <x:c r="J192" s="14" t="str">
        <x:v>P1</x:v>
      </x:c>
      <x:c r="K192" s="14" t="str">
        <x:v>Chưa bắt đầu</x:v>
      </x:c>
      <x:c r="L192" s="14" t="str"/>
      <x:c r="M192" s="14" t="str">
        <x:v>Danh sách nhân sự/phương tiện, công văn đề nghị, thẻ/giấy phép cấp</x:v>
      </x:c>
      <x:c r="N192" s="14" t="str">
        <x:v>Tổng 1 nhiệm vụ liên quan.</x:v>
      </x:c>
    </x:row>
    <x:row r="193">
      <x:c r="A193" s="14" t="str">
        <x:v>PROC-0192</x:v>
      </x:c>
      <x:c r="B193" s="14" t="str">
        <x:v>VATM-0410</x:v>
      </x:c>
      <x:c r="C193" s="14" t="str">
        <x:v>An ninh hàng không</x:v>
      </x:c>
      <x:c r="D193" s="14" t="str">
        <x:v>Khu vực hạn chế/kiểm soát ra vào</x:v>
      </x:c>
      <x:c r="E193" s="14" t="str">
        <x:v>Mẫu danh sách đề nghị cấp thẻ/giấy phép chuyên cơ</x:v>
      </x:c>
      <x:c r="F193" s="14" t="str">
        <x:v>Biểu mẫu/Checklist</x:v>
      </x:c>
      <x:c r="G193" s="14" t="str">
        <x:v>Ban An ninh hàng không; Ban Không lưu; Ban Kỹ thuật - CNS/IT/Môi trường</x:v>
      </x:c>
      <x:c r="H193" s="14" t="str">
        <x:v>Các Công ty Quản lý bay khu vực Bắc/Trung/Nam; Ban An ninh hàng không</x:v>
      </x:c>
      <x:c r="I193" s="14" t="str">
        <x:v>Điều 41 khoản 2-4</x:v>
      </x:c>
      <x:c r="J193" s="14" t="str">
        <x:v>P1</x:v>
      </x:c>
      <x:c r="K193" s="14" t="str">
        <x:v>Chưa bắt đầu</x:v>
      </x:c>
      <x:c r="L193" s="14" t="str"/>
      <x:c r="M193" s="14" t="str">
        <x:v>Danh sách nhân sự/phương tiện, công văn đề nghị, thẻ/giấy phép cấp</x:v>
      </x:c>
      <x:c r="N193" s="14" t="str">
        <x:v>Tổng 1 nhiệm vụ liên quan.</x:v>
      </x:c>
    </x:row>
    <x:row r="194">
      <x:c r="A194" s="14" t="str">
        <x:v>PROC-0193</x:v>
      </x:c>
      <x:c r="B194" s="14" t="str">
        <x:v>VATM-0411</x:v>
      </x:c>
      <x:c r="C194" s="14" t="str">
        <x:v>An ninh hàng không</x:v>
      </x:c>
      <x:c r="D194" s="14" t="str">
        <x:v>An ninh hệ thống CNS/ATM/CNTT</x:v>
      </x:c>
      <x:c r="E194" s="14" t="str">
        <x:v>SOP phục vụ chuyên cơ/chuyên khoang của VATM</x:v>
      </x:c>
      <x:c r="F194" s="14" t="str">
        <x:v>Quy trình/SOP</x:v>
      </x:c>
      <x:c r="G194" s="14" t="str">
        <x:v>Ban An ninh hàng không; Trung tâm Thông báo tin tức hàng không</x:v>
      </x:c>
      <x:c r="H194" s="14" t="str">
        <x:v>Các Công ty Quản lý bay khu vực Bắc/Trung/Nam; Ban Không lưu; Ban Kỹ thuật - CNS/IT/Môi trường; Trung tâm Thông báo tin tức hàng không; Ban An ninh hàng không</x:v>
      </x:c>
      <x:c r="I194" s="14" t="str">
        <x:v>Điều 42-47</x:v>
      </x:c>
      <x:c r="J194" s="14" t="str">
        <x:v>P1</x:v>
      </x:c>
      <x:c r="K194" s="14" t="str">
        <x:v>Chưa bắt đầu</x:v>
      </x:c>
      <x:c r="L194" s="14" t="str"/>
      <x:c r="M194" s="14" t="str">
        <x:v>Lệnh phục vụ chuyên cơ, phân công trực, nhật ký điều hành, biên bản hiệp đồng</x:v>
      </x:c>
      <x:c r="N194" s="14" t="str">
        <x:v>Tổng 1 nhiệm vụ liên quan.</x:v>
      </x:c>
    </x:row>
    <x:row r="195">
      <x:c r="A195" s="14" t="str">
        <x:v>PROC-0194</x:v>
      </x:c>
      <x:c r="B195" s="14" t="str">
        <x:v>VATM-0411</x:v>
      </x:c>
      <x:c r="C195" s="14" t="str">
        <x:v>An ninh hàng không</x:v>
      </x:c>
      <x:c r="D195" s="14" t="str">
        <x:v>An ninh hệ thống CNS/ATM/CNTT</x:v>
      </x:c>
      <x:c r="E195" s="14" t="str">
        <x:v>Checklist bảo mật và phối hợp chuyên cơ</x:v>
      </x:c>
      <x:c r="F195" s="14" t="str">
        <x:v>Biểu mẫu/Checklist</x:v>
      </x:c>
      <x:c r="G195" s="14" t="str">
        <x:v>Ban An ninh hàng không; Trung tâm Thông báo tin tức hàng không</x:v>
      </x:c>
      <x:c r="H195" s="14" t="str">
        <x:v>Các Công ty Quản lý bay khu vực Bắc/Trung/Nam; Ban Không lưu; Ban Kỹ thuật - CNS/IT/Môi trường; Trung tâm Thông báo tin tức hàng không; Ban An ninh hàng không</x:v>
      </x:c>
      <x:c r="I195" s="14" t="str">
        <x:v>Điều 42-47</x:v>
      </x:c>
      <x:c r="J195" s="14" t="str">
        <x:v>P1</x:v>
      </x:c>
      <x:c r="K195" s="14" t="str">
        <x:v>Chưa bắt đầu</x:v>
      </x:c>
      <x:c r="L195" s="14" t="str"/>
      <x:c r="M195" s="14" t="str">
        <x:v>Lệnh phục vụ chuyên cơ, phân công trực, nhật ký điều hành, biên bản hiệp đồng</x:v>
      </x:c>
      <x:c r="N195" s="14" t="str">
        <x:v>Tổng 1 nhiệm vụ liên quan.</x:v>
      </x:c>
    </x:row>
    <x:row r="196">
      <x:c r="A196" s="14" t="str">
        <x:v>PROC-0195</x:v>
      </x:c>
      <x:c r="B196" s="14" t="str">
        <x:v>VATM-0412</x:v>
      </x:c>
      <x:c r="C196" s="14" t="str">
        <x:v>An ninh hàng không</x:v>
      </x:c>
      <x:c r="D196" s="14" t="str">
        <x:v>Đào tạo/nhận thức an ninh</x:v>
      </x:c>
      <x:c r="E196" s="14" t="str">
        <x:v>Quy trình tiếp nhận và thực hiện lệnh AVSEC khẩn cấp</x:v>
      </x:c>
      <x:c r="F196" s="14" t="str">
        <x:v>Quy trình/SOP</x:v>
      </x:c>
      <x:c r="G196" s="14" t="str">
        <x:v>Ban An ninh hàng không</x:v>
      </x:c>
      <x:c r="H196" s="14" t="str">
        <x:v>Các Công ty Quản lý bay khu vực Bắc/Trung/Nam; Ban An ninh hàng không</x:v>
      </x:c>
      <x:c r="I196" s="14" t="str">
        <x:v>Điều 49 khoản 2 điểm b-c</x:v>
      </x:c>
      <x:c r="J196" s="14" t="str">
        <x:v>P1</x:v>
      </x:c>
      <x:c r="K196" s="14" t="str">
        <x:v>Chưa bắt đầu</x:v>
      </x:c>
      <x:c r="L196" s="14" t="str"/>
      <x:c r="M196" s="14" t="str">
        <x:v>Công văn chỉ đạo, quyết định thực hiện, báo cáo hoàn thành</x:v>
      </x:c>
      <x:c r="N196" s="14" t="str">
        <x:v>Tổng 1 nhiệm vụ liên quan.</x:v>
      </x:c>
    </x:row>
    <x:row r="197">
      <x:c r="A197" s="14" t="str">
        <x:v>PROC-0196</x:v>
      </x:c>
      <x:c r="B197" s="14" t="str">
        <x:v>VATM-0412</x:v>
      </x:c>
      <x:c r="C197" s="14" t="str">
        <x:v>An ninh hàng không</x:v>
      </x:c>
      <x:c r="D197" s="14" t="str">
        <x:v>Đào tạo/nhận thức an ninh</x:v>
      </x:c>
      <x:c r="E197" s="14" t="str">
        <x:v>Mẫu báo cáo thực hiện chỉ đạo nhà chức trách</x:v>
      </x:c>
      <x:c r="F197" s="14" t="str">
        <x:v>Biểu mẫu/Checklist</x:v>
      </x:c>
      <x:c r="G197" s="14" t="str">
        <x:v>Ban An ninh hàng không</x:v>
      </x:c>
      <x:c r="H197" s="14" t="str">
        <x:v>Các Công ty Quản lý bay khu vực Bắc/Trung/Nam; Ban An ninh hàng không</x:v>
      </x:c>
      <x:c r="I197" s="14" t="str">
        <x:v>Điều 49 khoản 2 điểm b-c</x:v>
      </x:c>
      <x:c r="J197" s="14" t="str">
        <x:v>P1</x:v>
      </x:c>
      <x:c r="K197" s="14" t="str">
        <x:v>Chưa bắt đầu</x:v>
      </x:c>
      <x:c r="L197" s="14" t="str"/>
      <x:c r="M197" s="14" t="str">
        <x:v>Công văn chỉ đạo, quyết định thực hiện, báo cáo hoàn thành</x:v>
      </x:c>
      <x:c r="N197" s="14" t="str">
        <x:v>Tổng 1 nhiệm vụ liên quan.</x:v>
      </x:c>
    </x:row>
    <x:row r="198">
      <x:c r="A198" s="14" t="str">
        <x:v>PROC-0197</x:v>
      </x:c>
      <x:c r="B198" s="14" t="str">
        <x:v>VATM-0413</x:v>
      </x:c>
      <x:c r="C198" s="14" t="str">
        <x:v>An ninh hàng không</x:v>
      </x:c>
      <x:c r="D198" s="14" t="str">
        <x:v>Khu vực hạn chế/kiểm soát ra vào</x:v>
      </x:c>
      <x:c r="E198" s="14" t="str">
        <x:v>Quy trình đón tiếp đoàn kiểm tra an ninh hàng không</x:v>
      </x:c>
      <x:c r="F198" s="14" t="str">
        <x:v>Quy trình/SOP</x:v>
      </x:c>
      <x:c r="G198" s="14" t="str">
        <x:v>Ban An ninh hàng không; Văn phòng - Pháp chế</x:v>
      </x:c>
      <x:c r="H198" s="14" t="str">
        <x:v>Các Công ty Quản lý bay khu vực Bắc/Trung/Nam; Ban An ninh hàng không</x:v>
      </x:c>
      <x:c r="I198" s="14" t="str">
        <x:v>Điều 50-52</x:v>
      </x:c>
      <x:c r="J198" s="14" t="str">
        <x:v>P1</x:v>
      </x:c>
      <x:c r="K198" s="14" t="str">
        <x:v>Chưa bắt đầu</x:v>
      </x:c>
      <x:c r="L198" s="14" t="str"/>
      <x:c r="M198" s="14" t="str">
        <x:v>Biên bản kiểm tra, danh mục tài liệu cung cấp, CAPA</x:v>
      </x:c>
      <x:c r="N198" s="14" t="str">
        <x:v>Tổng 1 nhiệm vụ liên quan.</x:v>
      </x:c>
    </x:row>
    <x:row r="199">
      <x:c r="A199" s="14" t="str">
        <x:v>PROC-0198</x:v>
      </x:c>
      <x:c r="B199" s="14" t="str">
        <x:v>VATM-0413</x:v>
      </x:c>
      <x:c r="C199" s="14" t="str">
        <x:v>An ninh hàng không</x:v>
      </x:c>
      <x:c r="D199" s="14" t="str">
        <x:v>Khu vực hạn chế/kiểm soát ra vào</x:v>
      </x:c>
      <x:c r="E199" s="14" t="str">
        <x:v>Mẫu CAPA sau kiểm tra AVSEC</x:v>
      </x:c>
      <x:c r="F199" s="14" t="str">
        <x:v>Biểu mẫu/Checklist</x:v>
      </x:c>
      <x:c r="G199" s="14" t="str">
        <x:v>Ban An ninh hàng không; Văn phòng - Pháp chế</x:v>
      </x:c>
      <x:c r="H199" s="14" t="str">
        <x:v>Các Công ty Quản lý bay khu vực Bắc/Trung/Nam; Ban An ninh hàng không</x:v>
      </x:c>
      <x:c r="I199" s="14" t="str">
        <x:v>Điều 50-52</x:v>
      </x:c>
      <x:c r="J199" s="14" t="str">
        <x:v>P1</x:v>
      </x:c>
      <x:c r="K199" s="14" t="str">
        <x:v>Chưa bắt đầu</x:v>
      </x:c>
      <x:c r="L199" s="14" t="str"/>
      <x:c r="M199" s="14" t="str">
        <x:v>Biên bản kiểm tra, danh mục tài liệu cung cấp, CAPA</x:v>
      </x:c>
      <x:c r="N199" s="14" t="str">
        <x:v>Tổng 1 nhiệm vụ liên quan.</x:v>
      </x:c>
    </x:row>
    <x:row r="200">
      <x:c r="A200" s="14" t="str">
        <x:v>PROC-0199</x:v>
      </x:c>
      <x:c r="B200" s="14" t="str">
        <x:v>VATM-0414</x:v>
      </x:c>
      <x:c r="C200" s="14" t="str">
        <x:v>An ninh hàng không</x:v>
      </x:c>
      <x:c r="D200" s="14" t="str">
        <x:v>Khu vực hạn chế/kiểm soát ra vào</x:v>
      </x:c>
      <x:c r="E200" s="14" t="str">
        <x:v>Quy trình chia sẻ dữ liệu ANS phục vụ tạo thuận lợi</x:v>
      </x:c>
      <x:c r="F200" s="14" t="str">
        <x:v>Quy trình/SOP</x:v>
      </x:c>
      <x:c r="G200" s="14" t="str">
        <x:v>Ban An ninh hàng không; Ban Kế hoạch doanh nghiệp - Chuyển đổi số; Ban Kỹ thuật - CNS/IT/Môi trường; Trung tâm Thông báo tin tức hàng không; Trung tâm Quản lý luồng không lưu</x:v>
      </x:c>
      <x:c r="H200" s="14" t="str">
        <x:v>Các Công ty Quản lý bay khu vực Bắc/Trung/Nam; Ban An ninh hàng không</x:v>
      </x:c>
      <x:c r="I200" s="14" t="str">
        <x:v>Điều 53 khoản 2 điểm c</x:v>
      </x:c>
      <x:c r="J200" s="14" t="str">
        <x:v>P1</x:v>
      </x:c>
      <x:c r="K200" s="14" t="str">
        <x:v>Chưa bắt đầu</x:v>
      </x:c>
      <x:c r="L200" s="14" t="str"/>
      <x:c r="M200" s="14" t="str">
        <x:v>Quy chế chia sẻ dữ liệu, API logs, thỏa thuận kết nối</x:v>
      </x:c>
      <x:c r="N200" s="14" t="str">
        <x:v>Tổng 1 nhiệm vụ liên quan.</x:v>
      </x:c>
    </x:row>
    <x:row r="201">
      <x:c r="A201" s="14" t="str">
        <x:v>PROC-0200</x:v>
      </x:c>
      <x:c r="B201" s="14" t="str">
        <x:v>VATM-0414</x:v>
      </x:c>
      <x:c r="C201" s="14" t="str">
        <x:v>An ninh hàng không</x:v>
      </x:c>
      <x:c r="D201" s="14" t="str">
        <x:v>Khu vực hạn chế/kiểm soát ra vào</x:v>
      </x:c>
      <x:c r="E201" s="14" t="str">
        <x:v>Mẫu thỏa thuận chia sẻ dữ liệu liên ngành</x:v>
      </x:c>
      <x:c r="F201" s="14" t="str">
        <x:v>Biểu mẫu/Checklist</x:v>
      </x:c>
      <x:c r="G201" s="14" t="str">
        <x:v>Ban An ninh hàng không; Ban Kế hoạch doanh nghiệp - Chuyển đổi số; Ban Kỹ thuật - CNS/IT/Môi trường; Trung tâm Thông báo tin tức hàng không; Trung tâm Quản lý luồng không lưu</x:v>
      </x:c>
      <x:c r="H201" s="14" t="str">
        <x:v>Các Công ty Quản lý bay khu vực Bắc/Trung/Nam; Ban An ninh hàng không</x:v>
      </x:c>
      <x:c r="I201" s="14" t="str">
        <x:v>Điều 53 khoản 2 điểm c</x:v>
      </x:c>
      <x:c r="J201" s="14" t="str">
        <x:v>P1</x:v>
      </x:c>
      <x:c r="K201" s="14" t="str">
        <x:v>Chưa bắt đầu</x:v>
      </x:c>
      <x:c r="L201" s="14" t="str"/>
      <x:c r="M201" s="14" t="str">
        <x:v>Quy chế chia sẻ dữ liệu, API logs, thỏa thuận kết nối</x:v>
      </x:c>
      <x:c r="N201" s="14" t="str">
        <x:v>Tổng 1 nhiệm vụ liên quan.</x:v>
      </x:c>
    </x:row>
    <x:row r="202">
      <x:c r="A202" s="14" t="str">
        <x:v>PROC-0201</x:v>
      </x:c>
      <x:c r="B202" s="14" t="str">
        <x:v>VATM-0415</x:v>
      </x:c>
      <x:c r="C202" s="14" t="str">
        <x:v>An ninh hàng không</x:v>
      </x:c>
      <x:c r="D202" s="14" t="str">
        <x:v>An ninh hệ thống CNS/ATM/CNTT</x:v>
      </x:c>
      <x:c r="E202" s="14" t="str">
        <x:v>Quy trình thẩm định yêu cầu an ninh trong dự án ANS</x:v>
      </x:c>
      <x:c r="F202" s="14" t="str">
        <x:v>Quy trình/SOP</x:v>
      </x:c>
      <x:c r="G202" s="14" t="str">
        <x:v>Ban An ninh hàng không</x:v>
      </x:c>
      <x:c r="H202" s="14" t="str">
        <x:v>Các Công ty Quản lý bay khu vực Bắc/Trung/Nam; Ban An ninh hàng không</x:v>
      </x:c>
      <x:c r="I202" s="14" t="str">
        <x:v>Điều 55</x:v>
      </x:c>
      <x:c r="J202" s="14" t="str">
        <x:v>P1</x:v>
      </x:c>
      <x:c r="K202" s="14" t="str">
        <x:v>Chưa bắt đầu</x:v>
      </x:c>
      <x:c r="L202" s="14" t="str"/>
      <x:c r="M202" s="14" t="str">
        <x:v>Biên bản đánh giá, hồ sơ thiết kế, nghiệm thu hạ tầng an ninh</x:v>
      </x:c>
      <x:c r="N202" s="14" t="str">
        <x:v>Tổng 1 nhiệm vụ liên quan.</x:v>
      </x:c>
    </x:row>
    <x:row r="203">
      <x:c r="A203" s="14" t="str">
        <x:v>PROC-0202</x:v>
      </x:c>
      <x:c r="B203" s="14" t="str">
        <x:v>VATM-0415</x:v>
      </x:c>
      <x:c r="C203" s="14" t="str">
        <x:v>An ninh hàng không</x:v>
      </x:c>
      <x:c r="D203" s="14" t="str">
        <x:v>An ninh hệ thống CNS/ATM/CNTT</x:v>
      </x:c>
      <x:c r="E203" s="14" t="str">
        <x:v>Checklist hạ tầng an ninh cơ sở ANS</x:v>
      </x:c>
      <x:c r="F203" s="14" t="str">
        <x:v>Biểu mẫu/Checklist</x:v>
      </x:c>
      <x:c r="G203" s="14" t="str">
        <x:v>Ban An ninh hàng không</x:v>
      </x:c>
      <x:c r="H203" s="14" t="str">
        <x:v>Các Công ty Quản lý bay khu vực Bắc/Trung/Nam; Ban An ninh hàng không</x:v>
      </x:c>
      <x:c r="I203" s="14" t="str">
        <x:v>Điều 55</x:v>
      </x:c>
      <x:c r="J203" s="14" t="str">
        <x:v>P1</x:v>
      </x:c>
      <x:c r="K203" s="14" t="str">
        <x:v>Chưa bắt đầu</x:v>
      </x:c>
      <x:c r="L203" s="14" t="str"/>
      <x:c r="M203" s="14" t="str">
        <x:v>Biên bản đánh giá, hồ sơ thiết kế, nghiệm thu hạ tầng an ninh</x:v>
      </x:c>
      <x:c r="N203" s="14" t="str">
        <x:v>Tổng 1 nhiệm vụ liên quan.</x:v>
      </x:c>
    </x:row>
    <x:row r="204">
      <x:c r="A204" s="14" t="str">
        <x:v>PROC-0203</x:v>
      </x:c>
      <x:c r="B204" s="14" t="str">
        <x:v>VATM-0416</x:v>
      </x:c>
      <x:c r="C204" s="14" t="str">
        <x:v>An ninh hàng không</x:v>
      </x:c>
      <x:c r="D204" s="14" t="str">
        <x:v>Quản trị, phối hợp và giám sát ANHK</x:v>
      </x:c>
      <x:c r="E204" s="14" t="str">
        <x:v>Quy trình quản lý vòng đời thiết bị an ninh VATM</x:v>
      </x:c>
      <x:c r="F204" s="14" t="str">
        <x:v>Quy trình/SOP</x:v>
      </x:c>
      <x:c r="G204" s="14" t="str">
        <x:v>Ban An ninh hàng không</x:v>
      </x:c>
      <x:c r="H204" s="14" t="str">
        <x:v>Các Công ty Quản lý bay khu vực Bắc/Trung/Nam; Ban Tài chính; Ban An ninh hàng không</x:v>
      </x:c>
      <x:c r="I204" s="14" t="str">
        <x:v>Điều 56</x:v>
      </x:c>
      <x:c r="J204" s="14" t="str">
        <x:v>P1</x:v>
      </x:c>
      <x:c r="K204" s="14" t="str">
        <x:v>Chưa bắt đầu</x:v>
      </x:c>
      <x:c r="L204" s="14" t="str"/>
      <x:c r="M204" s="14" t="str">
        <x:v>Danh mục tài sản, hồ sơ mua sắm, bảo trì, kiểm định</x:v>
      </x:c>
      <x:c r="N204" s="14" t="str">
        <x:v>Tổng 1 nhiệm vụ liên quan.</x:v>
      </x:c>
    </x:row>
    <x:row r="205">
      <x:c r="A205" s="14" t="str">
        <x:v>PROC-0204</x:v>
      </x:c>
      <x:c r="B205" s="14" t="str">
        <x:v>VATM-0416</x:v>
      </x:c>
      <x:c r="C205" s="14" t="str">
        <x:v>An ninh hàng không</x:v>
      </x:c>
      <x:c r="D205" s="14" t="str">
        <x:v>Quản trị, phối hợp và giám sát ANHK</x:v>
      </x:c>
      <x:c r="E205" s="14" t="str">
        <x:v>Mẫu danh mục/phiếu kiểm tra thiết bị an ninh</x:v>
      </x:c>
      <x:c r="F205" s="14" t="str">
        <x:v>Biểu mẫu/Checklist</x:v>
      </x:c>
      <x:c r="G205" s="14" t="str">
        <x:v>Ban An ninh hàng không</x:v>
      </x:c>
      <x:c r="H205" s="14" t="str">
        <x:v>Các Công ty Quản lý bay khu vực Bắc/Trung/Nam; Ban Tài chính; Ban An ninh hàng không</x:v>
      </x:c>
      <x:c r="I205" s="14" t="str">
        <x:v>Điều 56</x:v>
      </x:c>
      <x:c r="J205" s="14" t="str">
        <x:v>P1</x:v>
      </x:c>
      <x:c r="K205" s="14" t="str">
        <x:v>Chưa bắt đầu</x:v>
      </x:c>
      <x:c r="L205" s="14" t="str"/>
      <x:c r="M205" s="14" t="str">
        <x:v>Danh mục tài sản, hồ sơ mua sắm, bảo trì, kiểm định</x:v>
      </x:c>
      <x:c r="N205" s="14" t="str">
        <x:v>Tổng 1 nhiệm vụ liên quan.</x:v>
      </x:c>
    </x:row>
    <x:row r="206">
      <x:c r="A206" s="14" t="str">
        <x:v>PROC-0205</x:v>
      </x:c>
      <x:c r="B206" s="14" t="str">
        <x:v>VATM-0417</x:v>
      </x:c>
      <x:c r="C206" s="14" t="str">
        <x:v>An ninh hàng không</x:v>
      </x:c>
      <x:c r="D206" s="14" t="str">
        <x:v>An ninh hệ thống CNS/ATM/CNTT</x:v>
      </x:c>
      <x:c r="E206" s="14" t="str">
        <x:v>Quy trình quản trị dữ liệu ANS và dữ liệu liên ngành</x:v>
      </x:c>
      <x:c r="F206" s="14" t="str">
        <x:v>Quy trình/SOP</x:v>
      </x:c>
      <x:c r="G206" s="14" t="str">
        <x:v>Ban An ninh hàng không; Ban Kế hoạch doanh nghiệp - Chuyển đổi số; Ban Kỹ thuật - CNS/IT/Môi trường; Trung tâm Thông báo tin tức hàng không</x:v>
      </x:c>
      <x:c r="H206" s="14" t="str">
        <x:v>Các Công ty Quản lý bay khu vực Bắc/Trung/Nam; Ban An ninh hàng không</x:v>
      </x:c>
      <x:c r="I206" s="14" t="str">
        <x:v>Điều 57-59 (nếu có liên quan)</x:v>
      </x:c>
      <x:c r="J206" s="14" t="str">
        <x:v>P2</x:v>
      </x:c>
      <x:c r="K206" s="14" t="str">
        <x:v>Chưa bắt đầu</x:v>
      </x:c>
      <x:c r="L206" s="14" t="str"/>
      <x:c r="M206" s="14" t="str">
        <x:v>Sổ đăng ký xử lý dữ liệu, chính sách quyền truy cập</x:v>
      </x:c>
      <x:c r="N206" s="14" t="str">
        <x:v>Tổng 1 nhiệm vụ liên quan.</x:v>
      </x:c>
    </x:row>
    <x:row r="207">
      <x:c r="A207" s="14" t="str">
        <x:v>PROC-0206</x:v>
      </x:c>
      <x:c r="B207" s="14" t="str">
        <x:v>VATM-0417</x:v>
      </x:c>
      <x:c r="C207" s="14" t="str">
        <x:v>An ninh hàng không</x:v>
      </x:c>
      <x:c r="D207" s="14" t="str">
        <x:v>An ninh hệ thống CNS/ATM/CNTT</x:v>
      </x:c>
      <x:c r="E207" s="14" t="str">
        <x:v>Mẫu DPIA/đánh giá chia sẻ dữ liệu</x:v>
      </x:c>
      <x:c r="F207" s="14" t="str">
        <x:v>Biểu mẫu/Checklist</x:v>
      </x:c>
      <x:c r="G207" s="14" t="str">
        <x:v>Ban An ninh hàng không; Ban Kế hoạch doanh nghiệp - Chuyển đổi số; Ban Kỹ thuật - CNS/IT/Môi trường; Trung tâm Thông báo tin tức hàng không</x:v>
      </x:c>
      <x:c r="H207" s="14" t="str">
        <x:v>Các Công ty Quản lý bay khu vực Bắc/Trung/Nam; Ban An ninh hàng không</x:v>
      </x:c>
      <x:c r="I207" s="14" t="str">
        <x:v>Điều 57-59 (nếu có liên quan)</x:v>
      </x:c>
      <x:c r="J207" s="14" t="str">
        <x:v>P2</x:v>
      </x:c>
      <x:c r="K207" s="14" t="str">
        <x:v>Chưa bắt đầu</x:v>
      </x:c>
      <x:c r="L207" s="14" t="str"/>
      <x:c r="M207" s="14" t="str">
        <x:v>Sổ đăng ký xử lý dữ liệu, chính sách quyền truy cập</x:v>
      </x:c>
      <x:c r="N207" s="14" t="str">
        <x:v>Tổng 1 nhiệm vụ liên quan.</x:v>
      </x:c>
    </x:row>
    <x:row r="208">
      <x:c r="A208" s="14" t="str">
        <x:v>PROC-0207</x:v>
      </x:c>
      <x:c r="B208" s="14" t="str">
        <x:v>VATM-0418</x:v>
      </x:c>
      <x:c r="C208" s="14" t="str">
        <x:v>An ninh hàng không</x:v>
      </x:c>
      <x:c r="D208" s="14" t="str">
        <x:v>Khu vực hạn chế/kiểm soát ra vào</x:v>
      </x:c>
      <x:c r="E208" s="14" t="str">
        <x:v>Quy trình lập dự toán chi phí an ninh ANS</x:v>
      </x:c>
      <x:c r="F208" s="14" t="str">
        <x:v>Quy trình/SOP</x:v>
      </x:c>
      <x:c r="G208" s="14" t="str">
        <x:v>Ban An ninh hàng không; Ban Tài chính</x:v>
      </x:c>
      <x:c r="H208" s="14" t="str">
        <x:v>Các Công ty Quản lý bay khu vực Bắc/Trung/Nam; Ban An ninh hàng không</x:v>
      </x:c>
      <x:c r="I208" s="14" t="str">
        <x:v>Điều 60-63; Phụ lục III</x:v>
      </x:c>
      <x:c r="J208" s="14" t="str">
        <x:v>P2</x:v>
      </x:c>
      <x:c r="K208" s="14" t="str">
        <x:v>Chưa bắt đầu</x:v>
      </x:c>
      <x:c r="L208" s="14" t="str"/>
      <x:c r="M208" s="14" t="str">
        <x:v>Dự toán, quyết toán chi phí an ninh, hợp đồng dịch vụ nếu có</x:v>
      </x:c>
      <x:c r="N208" s="14" t="str">
        <x:v>Tổng 1 nhiệm vụ liên quan.</x:v>
      </x:c>
    </x:row>
    <x:row r="209">
      <x:c r="A209" s="14" t="str">
        <x:v>PROC-0208</x:v>
      </x:c>
      <x:c r="B209" s="14" t="str">
        <x:v>VATM-0418</x:v>
      </x:c>
      <x:c r="C209" s="14" t="str">
        <x:v>An ninh hàng không</x:v>
      </x:c>
      <x:c r="D209" s="14" t="str">
        <x:v>Khu vực hạn chế/kiểm soát ra vào</x:v>
      </x:c>
      <x:c r="E209" s="14" t="str">
        <x:v>Mẫu thuyết minh nhu cầu kinh phí an ninh cơ sở ANS</x:v>
      </x:c>
      <x:c r="F209" s="14" t="str">
        <x:v>Biểu mẫu/Checklist</x:v>
      </x:c>
      <x:c r="G209" s="14" t="str">
        <x:v>Ban An ninh hàng không; Ban Tài chính</x:v>
      </x:c>
      <x:c r="H209" s="14" t="str">
        <x:v>Các Công ty Quản lý bay khu vực Bắc/Trung/Nam; Ban An ninh hàng không</x:v>
      </x:c>
      <x:c r="I209" s="14" t="str">
        <x:v>Điều 60-63; Phụ lục III</x:v>
      </x:c>
      <x:c r="J209" s="14" t="str">
        <x:v>P2</x:v>
      </x:c>
      <x:c r="K209" s="14" t="str">
        <x:v>Chưa bắt đầu</x:v>
      </x:c>
      <x:c r="L209" s="14" t="str"/>
      <x:c r="M209" s="14" t="str">
        <x:v>Dự toán, quyết toán chi phí an ninh, hợp đồng dịch vụ nếu có</x:v>
      </x:c>
      <x:c r="N209" s="14" t="str">
        <x:v>Tổng 1 nhiệm vụ liên quan.</x:v>
      </x:c>
    </x:row>
    <x:row r="210">
      <x:c r="A210" s="14" t="str">
        <x:v>PROC-0209</x:v>
      </x:c>
      <x:c r="B210" s="14" t="str">
        <x:v>VATM-0419</x:v>
      </x:c>
      <x:c r="C210" s="14" t="str">
        <x:v>An ninh hàng không</x:v>
      </x:c>
      <x:c r="D210" s="14" t="str">
        <x:v>An ninh hệ thống CNS/ATM/CNTT</x:v>
      </x:c>
      <x:c r="E210" s="14" t="str">
        <x:v>Quy trình phối hợp nhà chức trách về AVSEC/Cyber ANS</x:v>
      </x:c>
      <x:c r="F210" s="14" t="str">
        <x:v>Quy trình/SOP</x:v>
      </x:c>
      <x:c r="G210" s="14" t="str">
        <x:v>Ban An ninh hàng không; Ban Kế hoạch doanh nghiệp - Chuyển đổi số; Ban Kỹ thuật - CNS/IT/Môi trường</x:v>
      </x:c>
      <x:c r="H210" s="14" t="str">
        <x:v>Các Công ty Quản lý bay khu vực Bắc/Trung/Nam; Ban An ninh hàng không</x:v>
      </x:c>
      <x:c r="I210" s="14" t="str">
        <x:v>Điều 67 khoản 2</x:v>
      </x:c>
      <x:c r="J210" s="14" t="str">
        <x:v>P1</x:v>
      </x:c>
      <x:c r="K210" s="14" t="str">
        <x:v>Chưa bắt đầu</x:v>
      </x:c>
      <x:c r="L210" s="14" t="str"/>
      <x:c r="M210" s="14" t="str">
        <x:v>Công văn phối hợp, báo cáo rủi ro, hồ sơ cyber/AVSEC</x:v>
      </x:c>
      <x:c r="N210" s="14" t="str">
        <x:v>Tổng 1 nhiệm vụ liên quan.</x:v>
      </x:c>
    </x:row>
    <x:row r="211">
      <x:c r="A211" s="14" t="str">
        <x:v>PROC-0210</x:v>
      </x:c>
      <x:c r="B211" s="14" t="str">
        <x:v>VATM-0419</x:v>
      </x:c>
      <x:c r="C211" s="14" t="str">
        <x:v>An ninh hàng không</x:v>
      </x:c>
      <x:c r="D211" s="14" t="str">
        <x:v>An ninh hệ thống CNS/ATM/CNTT</x:v>
      </x:c>
      <x:c r="E211" s="14" t="str">
        <x:v>Mẫu báo cáo rủi ro AVSEC gửi cơ quan quản lý</x:v>
      </x:c>
      <x:c r="F211" s="14" t="str">
        <x:v>Biểu mẫu/Checklist</x:v>
      </x:c>
      <x:c r="G211" s="14" t="str">
        <x:v>Ban An ninh hàng không; Ban Kế hoạch doanh nghiệp - Chuyển đổi số; Ban Kỹ thuật - CNS/IT/Môi trường</x:v>
      </x:c>
      <x:c r="H211" s="14" t="str">
        <x:v>Các Công ty Quản lý bay khu vực Bắc/Trung/Nam; Ban An ninh hàng không</x:v>
      </x:c>
      <x:c r="I211" s="14" t="str">
        <x:v>Điều 67 khoản 2</x:v>
      </x:c>
      <x:c r="J211" s="14" t="str">
        <x:v>P1</x:v>
      </x:c>
      <x:c r="K211" s="14" t="str">
        <x:v>Chưa bắt đầu</x:v>
      </x:c>
      <x:c r="L211" s="14" t="str"/>
      <x:c r="M211" s="14" t="str">
        <x:v>Công văn phối hợp, báo cáo rủi ro, hồ sơ cyber/AVSEC</x:v>
      </x:c>
      <x:c r="N211" s="14" t="str">
        <x:v>Tổng 1 nhiệm vụ liên quan.</x:v>
      </x:c>
    </x:row>
    <x:row r="212">
      <x:c r="A212" s="14" t="str">
        <x:v>PROC-0211</x:v>
      </x:c>
      <x:c r="B212" s="14" t="str">
        <x:v>VATM-0420</x:v>
      </x:c>
      <x:c r="C212" s="14" t="str">
        <x:v>An ninh hàng không</x:v>
      </x:c>
      <x:c r="D212" s="14" t="str">
        <x:v>Ứng phó sự cố/diễn tập ANHK</x:v>
      </x:c>
      <x:c r="E212" s="14" t="str">
        <x:v>SOP phối hợp quân-dân sự về AVSEC trong ATM</x:v>
      </x:c>
      <x:c r="F212" s="14" t="str">
        <x:v>Quy trình/SOP</x:v>
      </x:c>
      <x:c r="G212" s="14" t="str">
        <x:v>Ban An ninh hàng không</x:v>
      </x:c>
      <x:c r="H212" s="14" t="str">
        <x:v>Các Công ty Quản lý bay khu vực Bắc/Trung/Nam; Ban Kỹ thuật - CNS/IT/Môi trường; Trung tâm Quản lý luồng không lưu; Ban An ninh hàng không</x:v>
      </x:c>
      <x:c r="I212" s="14" t="str">
        <x:v>Điều 68 khoản 1,2,5</x:v>
      </x:c>
      <x:c r="J212" s="14" t="str">
        <x:v>P1</x:v>
      </x:c>
      <x:c r="K212" s="14" t="str">
        <x:v>Chưa bắt đầu</x:v>
      </x:c>
      <x:c r="L212" s="14" t="str"/>
      <x:c r="M212" s="14" t="str">
        <x:v>Biên bản hiệp đồng, điện văn, nhật ký phối hợp</x:v>
      </x:c>
      <x:c r="N212" s="14" t="str">
        <x:v>Tổng 1 nhiệm vụ liên quan.</x:v>
      </x:c>
    </x:row>
    <x:row r="213">
      <x:c r="A213" s="14" t="str">
        <x:v>PROC-0212</x:v>
      </x:c>
      <x:c r="B213" s="14" t="str">
        <x:v>VATM-0420</x:v>
      </x:c>
      <x:c r="C213" s="14" t="str">
        <x:v>An ninh hàng không</x:v>
      </x:c>
      <x:c r="D213" s="14" t="str">
        <x:v>Ứng phó sự cố/diễn tập ANHK</x:v>
      </x:c>
      <x:c r="E213" s="14" t="str">
        <x:v>Checklist phối hợp Quân sự-ATC khi có can thiệp bất hợp pháp</x:v>
      </x:c>
      <x:c r="F213" s="14" t="str">
        <x:v>Biểu mẫu/Checklist</x:v>
      </x:c>
      <x:c r="G213" s="14" t="str">
        <x:v>Ban An ninh hàng không</x:v>
      </x:c>
      <x:c r="H213" s="14" t="str">
        <x:v>Các Công ty Quản lý bay khu vực Bắc/Trung/Nam; Ban Kỹ thuật - CNS/IT/Môi trường; Trung tâm Quản lý luồng không lưu; Ban An ninh hàng không</x:v>
      </x:c>
      <x:c r="I213" s="14" t="str">
        <x:v>Điều 68 khoản 1,2,5</x:v>
      </x:c>
      <x:c r="J213" s="14" t="str">
        <x:v>P1</x:v>
      </x:c>
      <x:c r="K213" s="14" t="str">
        <x:v>Chưa bắt đầu</x:v>
      </x:c>
      <x:c r="L213" s="14" t="str"/>
      <x:c r="M213" s="14" t="str">
        <x:v>Biên bản hiệp đồng, điện văn, nhật ký phối hợp</x:v>
      </x:c>
      <x:c r="N213" s="14" t="str">
        <x:v>Tổng 1 nhiệm vụ liên quan.</x:v>
      </x:c>
    </x:row>
    <x:row r="214">
      <x:c r="A214" s="14" t="str">
        <x:v>PROC-0213</x:v>
      </x:c>
      <x:c r="B214" s="14" t="str">
        <x:v>VATM-0421</x:v>
      </x:c>
      <x:c r="C214" s="14" t="str">
        <x:v>An ninh hàng không</x:v>
      </x:c>
      <x:c r="D214" s="14" t="str">
        <x:v>Ứng phó sự cố/diễn tập ANHK</x:v>
      </x:c>
      <x:c r="E214" s="14" t="str">
        <x:v>Quy trình phối hợp phương án khẩn nguy địa phương</x:v>
      </x:c>
      <x:c r="F214" s="14" t="str">
        <x:v>Quy trình/SOP</x:v>
      </x:c>
      <x:c r="G214" s="14" t="str">
        <x:v>Ban An ninh hàng không; Các Công ty Quản lý bay khu vực Bắc/Trung/Nam</x:v>
      </x:c>
      <x:c r="H214" s="14" t="str">
        <x:v>Các Công ty Quản lý bay khu vực Bắc/Trung/Nam; Ban An ninh hàng không</x:v>
      </x:c>
      <x:c r="I214" s="14" t="str">
        <x:v>Phụ lục I</x:v>
      </x:c>
      <x:c r="J214" s="14" t="str">
        <x:v>P1</x:v>
      </x:c>
      <x:c r="K214" s="14" t="str">
        <x:v>Chưa bắt đầu</x:v>
      </x:c>
      <x:c r="L214" s="14" t="str"/>
      <x:c r="M214" s="14" t="str">
        <x:v>Phiếu cung cấp thông tin, biên bản họp, phương án cấp tỉnh có mục VATM</x:v>
      </x:c>
      <x:c r="N214" s="14" t="str">
        <x:v>Tổng 1 nhiệm vụ liên quan.</x:v>
      </x:c>
    </x:row>
    <x:row r="215">
      <x:c r="A215" s="14" t="str">
        <x:v>PROC-0214</x:v>
      </x:c>
      <x:c r="B215" s="14" t="str">
        <x:v>VATM-0421</x:v>
      </x:c>
      <x:c r="C215" s="14" t="str">
        <x:v>An ninh hàng không</x:v>
      </x:c>
      <x:c r="D215" s="14" t="str">
        <x:v>Ứng phó sự cố/diễn tập ANHK</x:v>
      </x:c>
      <x:c r="E215" s="14" t="str">
        <x:v>Mẫu thông tin cơ sở ANS gửi địa phương</x:v>
      </x:c>
      <x:c r="F215" s="14" t="str">
        <x:v>Biểu mẫu/Checklist</x:v>
      </x:c>
      <x:c r="G215" s="14" t="str">
        <x:v>Ban An ninh hàng không; Các Công ty Quản lý bay khu vực Bắc/Trung/Nam</x:v>
      </x:c>
      <x:c r="H215" s="14" t="str">
        <x:v>Các Công ty Quản lý bay khu vực Bắc/Trung/Nam; Ban An ninh hàng không</x:v>
      </x:c>
      <x:c r="I215" s="14" t="str">
        <x:v>Phụ lục I</x:v>
      </x:c>
      <x:c r="J215" s="14" t="str">
        <x:v>P1</x:v>
      </x:c>
      <x:c r="K215" s="14" t="str">
        <x:v>Chưa bắt đầu</x:v>
      </x:c>
      <x:c r="L215" s="14" t="str"/>
      <x:c r="M215" s="14" t="str">
        <x:v>Phiếu cung cấp thông tin, biên bản họp, phương án cấp tỉnh có mục VATM</x:v>
      </x:c>
      <x:c r="N215" s="14" t="str">
        <x:v>Tổng 1 nhiệm vụ liên quan.</x:v>
      </x:c>
    </x:row>
    <x:row r="216">
      <x:c r="A216" s="14" t="str">
        <x:v>PROC-0215</x:v>
      </x:c>
      <x:c r="B216" s="14" t="str">
        <x:v>VATM-0422</x:v>
      </x:c>
      <x:c r="C216" s="14" t="str">
        <x:v>An ninh hàng không</x:v>
      </x:c>
      <x:c r="D216" s="14" t="str">
        <x:v>Khu vực hạn chế/kiểm soát ra vào</x:v>
      </x:c>
      <x:c r="E216" s="14" t="str">
        <x:v>Quy trình lập phương án theo Phụ lục II</x:v>
      </x:c>
      <x:c r="F216" s="14" t="str">
        <x:v>Quy trình/SOP</x:v>
      </x:c>
      <x:c r="G216" s="14" t="str">
        <x:v>Ban An ninh hàng không</x:v>
      </x:c>
      <x:c r="H216" s="14" t="str">
        <x:v>Các Công ty Quản lý bay khu vực Bắc/Trung/Nam; Ban An ninh hàng không</x:v>
      </x:c>
      <x:c r="I216" s="14" t="str">
        <x:v>Phụ lục II mục 1.3-1.6</x:v>
      </x:c>
      <x:c r="J216" s="14" t="str">
        <x:v>P1</x:v>
      </x:c>
      <x:c r="K216" s="14" t="str">
        <x:v>Chưa bắt đầu</x:v>
      </x:c>
      <x:c r="L216" s="14" t="str"/>
      <x:c r="M216" s="14" t="str">
        <x:v>Phương án khẩn nguy VATM, phụ lục lực lượng, biên bản hiệp đồng</x:v>
      </x:c>
      <x:c r="N216" s="14" t="str">
        <x:v>Tổng 1 nhiệm vụ liên quan.</x:v>
      </x:c>
    </x:row>
    <x:row r="217">
      <x:c r="A217" s="14" t="str">
        <x:v>PROC-0216</x:v>
      </x:c>
      <x:c r="B217" s="14" t="str">
        <x:v>VATM-0422</x:v>
      </x:c>
      <x:c r="C217" s="14" t="str">
        <x:v>An ninh hàng không</x:v>
      </x:c>
      <x:c r="D217" s="14" t="str">
        <x:v>Khu vực hạn chế/kiểm soát ra vào</x:v>
      </x:c>
      <x:c r="E217" s="14" t="str">
        <x:v>Mẫu ma trận lực lượng khẩn nguy AVSEC</x:v>
      </x:c>
      <x:c r="F217" s="14" t="str">
        <x:v>Biểu mẫu/Checklist</x:v>
      </x:c>
      <x:c r="G217" s="14" t="str">
        <x:v>Ban An ninh hàng không</x:v>
      </x:c>
      <x:c r="H217" s="14" t="str">
        <x:v>Các Công ty Quản lý bay khu vực Bắc/Trung/Nam; Ban An ninh hàng không</x:v>
      </x:c>
      <x:c r="I217" s="14" t="str">
        <x:v>Phụ lục II mục 1.3-1.6</x:v>
      </x:c>
      <x:c r="J217" s="14" t="str">
        <x:v>P1</x:v>
      </x:c>
      <x:c r="K217" s="14" t="str">
        <x:v>Chưa bắt đầu</x:v>
      </x:c>
      <x:c r="L217" s="14" t="str"/>
      <x:c r="M217" s="14" t="str">
        <x:v>Phương án khẩn nguy VATM, phụ lục lực lượng, biên bản hiệp đồng</x:v>
      </x:c>
      <x:c r="N217" s="14" t="str">
        <x:v>Tổng 1 nhiệm vụ liên quan.</x:v>
      </x:c>
    </x:row>
    <x:row r="218">
      <x:c r="A218" s="14" t="str">
        <x:v>PROC-0217</x:v>
      </x:c>
      <x:c r="B218" s="14" t="str">
        <x:v>VATM-0423</x:v>
      </x:c>
      <x:c r="C218" s="14" t="str">
        <x:v>An ninh hàng không</x:v>
      </x:c>
      <x:c r="D218" s="14" t="str">
        <x:v>Khu vực hạn chế/kiểm soát ra vào</x:v>
      </x:c>
      <x:c r="E218" s="14" t="str">
        <x:v>SOP an ninh cơ sở ACC Hà Nội/Hồ Chí Minh</x:v>
      </x:c>
      <x:c r="F218" s="14" t="str">
        <x:v>Quy trình/SOP</x:v>
      </x:c>
      <x:c r="G218" s="14" t="str">
        <x:v>Ban An ninh hàng không</x:v>
      </x:c>
      <x:c r="H218" s="14" t="str">
        <x:v>Các Công ty Quản lý bay khu vực Bắc/Trung/Nam; Ban An ninh hàng không</x:v>
      </x:c>
      <x:c r="I218" s="14" t="str">
        <x:v>Điều 7 khoản 1 điểm m,n; Điều 26; Điều 29</x:v>
      </x:c>
      <x:c r="J218" s="14" t="str">
        <x:v>P1</x:v>
      </x:c>
      <x:c r="K218" s="14" t="str">
        <x:v>Chưa bắt đầu</x:v>
      </x:c>
      <x:c r="L218" s="14" t="str"/>
      <x:c r="M218" s="14" t="str">
        <x:v>Hồ sơ an ninh cơ sở, sơ đồ, danh sách quyền, nhật ký kiểm tra</x:v>
      </x:c>
      <x:c r="N218" s="14" t="str">
        <x:v>Tổng 1 nhiệm vụ liên quan.</x:v>
      </x:c>
    </x:row>
    <x:row r="219">
      <x:c r="A219" s="14" t="str">
        <x:v>PROC-0218</x:v>
      </x:c>
      <x:c r="B219" s="14" t="str">
        <x:v>VATM-0423</x:v>
      </x:c>
      <x:c r="C219" s="14" t="str">
        <x:v>An ninh hàng không</x:v>
      </x:c>
      <x:c r="D219" s="14" t="str">
        <x:v>Khu vực hạn chế/kiểm soát ra vào</x:v>
      </x:c>
      <x:c r="E219" s="14" t="str">
        <x:v>Checklist an ninh cơ sở ACC Hà Nội/Hồ Chí Minh</x:v>
      </x:c>
      <x:c r="F219" s="14" t="str">
        <x:v>Biểu mẫu/Checklist</x:v>
      </x:c>
      <x:c r="G219" s="14" t="str">
        <x:v>Ban An ninh hàng không</x:v>
      </x:c>
      <x:c r="H219" s="14" t="str">
        <x:v>Các Công ty Quản lý bay khu vực Bắc/Trung/Nam; Ban An ninh hàng không</x:v>
      </x:c>
      <x:c r="I219" s="14" t="str">
        <x:v>Điều 7 khoản 1 điểm m,n; Điều 26; Điều 29</x:v>
      </x:c>
      <x:c r="J219" s="14" t="str">
        <x:v>P1</x:v>
      </x:c>
      <x:c r="K219" s="14" t="str">
        <x:v>Chưa bắt đầu</x:v>
      </x:c>
      <x:c r="L219" s="14" t="str"/>
      <x:c r="M219" s="14" t="str">
        <x:v>Hồ sơ an ninh cơ sở, sơ đồ, danh sách quyền, nhật ký kiểm tra</x:v>
      </x:c>
      <x:c r="N219" s="14" t="str">
        <x:v>Tổng 1 nhiệm vụ liên quan.</x:v>
      </x:c>
    </x:row>
    <x:row r="220">
      <x:c r="A220" s="14" t="str">
        <x:v>PROC-0219</x:v>
      </x:c>
      <x:c r="B220" s="14" t="str">
        <x:v>VATM-0424</x:v>
      </x:c>
      <x:c r="C220" s="14" t="str">
        <x:v>An ninh hàng không</x:v>
      </x:c>
      <x:c r="D220" s="14" t="str">
        <x:v>Khu vực hạn chế/kiểm soát ra vào</x:v>
      </x:c>
      <x:c r="E220" s="14" t="str">
        <x:v>SOP an ninh cơ sở APP/TWR tại các cảng</x:v>
      </x:c>
      <x:c r="F220" s="14" t="str">
        <x:v>Quy trình/SOP</x:v>
      </x:c>
      <x:c r="G220" s="14" t="str">
        <x:v>Ban An ninh hàng không</x:v>
      </x:c>
      <x:c r="H220" s="14" t="str">
        <x:v>Các Công ty Quản lý bay khu vực Bắc/Trung/Nam; Ban An ninh hàng không</x:v>
      </x:c>
      <x:c r="I220" s="14" t="str">
        <x:v>Điều 7 khoản 1 điểm m,n; Điều 26; Điều 29</x:v>
      </x:c>
      <x:c r="J220" s="14" t="str">
        <x:v>P1</x:v>
      </x:c>
      <x:c r="K220" s="14" t="str">
        <x:v>Chưa bắt đầu</x:v>
      </x:c>
      <x:c r="L220" s="14" t="str"/>
      <x:c r="M220" s="14" t="str">
        <x:v>Hồ sơ an ninh cơ sở, sơ đồ, danh sách quyền, nhật ký kiểm tra</x:v>
      </x:c>
      <x:c r="N220" s="14" t="str">
        <x:v>Tổng 1 nhiệm vụ liên quan.</x:v>
      </x:c>
    </x:row>
    <x:row r="221">
      <x:c r="A221" s="14" t="str">
        <x:v>PROC-0220</x:v>
      </x:c>
      <x:c r="B221" s="14" t="str">
        <x:v>VATM-0424</x:v>
      </x:c>
      <x:c r="C221" s="14" t="str">
        <x:v>An ninh hàng không</x:v>
      </x:c>
      <x:c r="D221" s="14" t="str">
        <x:v>Khu vực hạn chế/kiểm soát ra vào</x:v>
      </x:c>
      <x:c r="E221" s="14" t="str">
        <x:v>Checklist an ninh cơ sở APP/TWR tại các cảng</x:v>
      </x:c>
      <x:c r="F221" s="14" t="str">
        <x:v>Biểu mẫu/Checklist</x:v>
      </x:c>
      <x:c r="G221" s="14" t="str">
        <x:v>Ban An ninh hàng không</x:v>
      </x:c>
      <x:c r="H221" s="14" t="str">
        <x:v>Các Công ty Quản lý bay khu vực Bắc/Trung/Nam; Ban An ninh hàng không</x:v>
      </x:c>
      <x:c r="I221" s="14" t="str">
        <x:v>Điều 7 khoản 1 điểm m,n; Điều 26; Điều 29</x:v>
      </x:c>
      <x:c r="J221" s="14" t="str">
        <x:v>P1</x:v>
      </x:c>
      <x:c r="K221" s="14" t="str">
        <x:v>Chưa bắt đầu</x:v>
      </x:c>
      <x:c r="L221" s="14" t="str"/>
      <x:c r="M221" s="14" t="str">
        <x:v>Hồ sơ an ninh cơ sở, sơ đồ, danh sách quyền, nhật ký kiểm tra</x:v>
      </x:c>
      <x:c r="N221" s="14" t="str">
        <x:v>Tổng 1 nhiệm vụ liên quan.</x:v>
      </x:c>
    </x:row>
    <x:row r="222">
      <x:c r="A222" s="14" t="str">
        <x:v>PROC-0221</x:v>
      </x:c>
      <x:c r="B222" s="14" t="str">
        <x:v>VATM-0425</x:v>
      </x:c>
      <x:c r="C222" s="14" t="str">
        <x:v>An ninh hàng không</x:v>
      </x:c>
      <x:c r="D222" s="14" t="str">
        <x:v>Khu vực hạn chế/kiểm soát ra vào</x:v>
      </x:c>
      <x:c r="E222" s="14" t="str">
        <x:v>SOP an ninh cơ sở Trạm radar giám sát</x:v>
      </x:c>
      <x:c r="F222" s="14" t="str">
        <x:v>Quy trình/SOP</x:v>
      </x:c>
      <x:c r="G222" s="14" t="str">
        <x:v>Ban An ninh hàng không</x:v>
      </x:c>
      <x:c r="H222" s="14" t="str">
        <x:v>Các Công ty Quản lý bay khu vực Bắc/Trung/Nam; Ban An ninh hàng không</x:v>
      </x:c>
      <x:c r="I222" s="14" t="str">
        <x:v>Điều 7 khoản 1 điểm m,n; Điều 26; Điều 29</x:v>
      </x:c>
      <x:c r="J222" s="14" t="str">
        <x:v>P1</x:v>
      </x:c>
      <x:c r="K222" s="14" t="str">
        <x:v>Chưa bắt đầu</x:v>
      </x:c>
      <x:c r="L222" s="14" t="str"/>
      <x:c r="M222" s="14" t="str">
        <x:v>Hồ sơ an ninh cơ sở, sơ đồ, danh sách quyền, nhật ký kiểm tra</x:v>
      </x:c>
      <x:c r="N222" s="14" t="str">
        <x:v>Tổng 1 nhiệm vụ liên quan.</x:v>
      </x:c>
    </x:row>
    <x:row r="223">
      <x:c r="A223" s="14" t="str">
        <x:v>PROC-0222</x:v>
      </x:c>
      <x:c r="B223" s="14" t="str">
        <x:v>VATM-0425</x:v>
      </x:c>
      <x:c r="C223" s="14" t="str">
        <x:v>An ninh hàng không</x:v>
      </x:c>
      <x:c r="D223" s="14" t="str">
        <x:v>Khu vực hạn chế/kiểm soát ra vào</x:v>
      </x:c>
      <x:c r="E223" s="14" t="str">
        <x:v>Checklist an ninh cơ sở Trạm radar giám sát</x:v>
      </x:c>
      <x:c r="F223" s="14" t="str">
        <x:v>Biểu mẫu/Checklist</x:v>
      </x:c>
      <x:c r="G223" s="14" t="str">
        <x:v>Ban An ninh hàng không</x:v>
      </x:c>
      <x:c r="H223" s="14" t="str">
        <x:v>Các Công ty Quản lý bay khu vực Bắc/Trung/Nam; Ban An ninh hàng không</x:v>
      </x:c>
      <x:c r="I223" s="14" t="str">
        <x:v>Điều 7 khoản 1 điểm m,n; Điều 26; Điều 29</x:v>
      </x:c>
      <x:c r="J223" s="14" t="str">
        <x:v>P1</x:v>
      </x:c>
      <x:c r="K223" s="14" t="str">
        <x:v>Chưa bắt đầu</x:v>
      </x:c>
      <x:c r="L223" s="14" t="str"/>
      <x:c r="M223" s="14" t="str">
        <x:v>Hồ sơ an ninh cơ sở, sơ đồ, danh sách quyền, nhật ký kiểm tra</x:v>
      </x:c>
      <x:c r="N223" s="14" t="str">
        <x:v>Tổng 1 nhiệm vụ liên quan.</x:v>
      </x:c>
    </x:row>
    <x:row r="224">
      <x:c r="A224" s="14" t="str">
        <x:v>PROC-0223</x:v>
      </x:c>
      <x:c r="B224" s="14" t="str">
        <x:v>VATM-0426</x:v>
      </x:c>
      <x:c r="C224" s="14" t="str">
        <x:v>An ninh hàng không</x:v>
      </x:c>
      <x:c r="D224" s="14" t="str">
        <x:v>Khu vực hạn chế/kiểm soát ra vào</x:v>
      </x:c>
      <x:c r="E224" s="14" t="str">
        <x:v>SOP an ninh cơ sở Trạm thông tin phục vụ điều hành bay</x:v>
      </x:c>
      <x:c r="F224" s="14" t="str">
        <x:v>Quy trình/SOP</x:v>
      </x:c>
      <x:c r="G224" s="14" t="str">
        <x:v>Ban An ninh hàng không</x:v>
      </x:c>
      <x:c r="H224" s="14" t="str">
        <x:v>Các Công ty Quản lý bay khu vực Bắc/Trung/Nam; Ban An ninh hàng không</x:v>
      </x:c>
      <x:c r="I224" s="14" t="str">
        <x:v>Điều 7 khoản 1 điểm m,n; Điều 26; Điều 29</x:v>
      </x:c>
      <x:c r="J224" s="14" t="str">
        <x:v>P1</x:v>
      </x:c>
      <x:c r="K224" s="14" t="str">
        <x:v>Chưa bắt đầu</x:v>
      </x:c>
      <x:c r="L224" s="14" t="str"/>
      <x:c r="M224" s="14" t="str">
        <x:v>Hồ sơ an ninh cơ sở, sơ đồ, danh sách quyền, nhật ký kiểm tra</x:v>
      </x:c>
      <x:c r="N224" s="14" t="str">
        <x:v>Tổng 1 nhiệm vụ liên quan.</x:v>
      </x:c>
    </x:row>
    <x:row r="225">
      <x:c r="A225" s="14" t="str">
        <x:v>PROC-0224</x:v>
      </x:c>
      <x:c r="B225" s="14" t="str">
        <x:v>VATM-0426</x:v>
      </x:c>
      <x:c r="C225" s="14" t="str">
        <x:v>An ninh hàng không</x:v>
      </x:c>
      <x:c r="D225" s="14" t="str">
        <x:v>Khu vực hạn chế/kiểm soát ra vào</x:v>
      </x:c>
      <x:c r="E225" s="14" t="str">
        <x:v>Checklist an ninh cơ sở Trạm thông tin phục vụ điều hành bay</x:v>
      </x:c>
      <x:c r="F225" s="14" t="str">
        <x:v>Biểu mẫu/Checklist</x:v>
      </x:c>
      <x:c r="G225" s="14" t="str">
        <x:v>Ban An ninh hàng không</x:v>
      </x:c>
      <x:c r="H225" s="14" t="str">
        <x:v>Các Công ty Quản lý bay khu vực Bắc/Trung/Nam; Ban An ninh hàng không</x:v>
      </x:c>
      <x:c r="I225" s="14" t="str">
        <x:v>Điều 7 khoản 1 điểm m,n; Điều 26; Điều 29</x:v>
      </x:c>
      <x:c r="J225" s="14" t="str">
        <x:v>P1</x:v>
      </x:c>
      <x:c r="K225" s="14" t="str">
        <x:v>Chưa bắt đầu</x:v>
      </x:c>
      <x:c r="L225" s="14" t="str"/>
      <x:c r="M225" s="14" t="str">
        <x:v>Hồ sơ an ninh cơ sở, sơ đồ, danh sách quyền, nhật ký kiểm tra</x:v>
      </x:c>
      <x:c r="N225" s="14" t="str">
        <x:v>Tổng 1 nhiệm vụ liên quan.</x:v>
      </x:c>
    </x:row>
    <x:row r="226">
      <x:c r="A226" s="14" t="str">
        <x:v>PROC-0225</x:v>
      </x:c>
      <x:c r="B226" s="14" t="str">
        <x:v>VATM-0427</x:v>
      </x:c>
      <x:c r="C226" s="14" t="str">
        <x:v>An ninh hàng không</x:v>
      </x:c>
      <x:c r="D226" s="14" t="str">
        <x:v>Khu vực hạn chế/kiểm soát ra vào</x:v>
      </x:c>
      <x:c r="E226" s="14" t="str">
        <x:v>SOP an ninh cơ sở Trung tâm ATFM</x:v>
      </x:c>
      <x:c r="F226" s="14" t="str">
        <x:v>Quy trình/SOP</x:v>
      </x:c>
      <x:c r="G226" s="14" t="str">
        <x:v>Ban An ninh hàng không</x:v>
      </x:c>
      <x:c r="H226" s="14" t="str">
        <x:v>Các Công ty Quản lý bay khu vực Bắc/Trung/Nam; Ban An ninh hàng không</x:v>
      </x:c>
      <x:c r="I226" s="14" t="str">
        <x:v>Điều 7 khoản 1 điểm m,n; Điều 26; Điều 29</x:v>
      </x:c>
      <x:c r="J226" s="14" t="str">
        <x:v>P1</x:v>
      </x:c>
      <x:c r="K226" s="14" t="str">
        <x:v>Chưa bắt đầu</x:v>
      </x:c>
      <x:c r="L226" s="14" t="str"/>
      <x:c r="M226" s="14" t="str">
        <x:v>Hồ sơ an ninh cơ sở, sơ đồ, danh sách quyền, nhật ký kiểm tra</x:v>
      </x:c>
      <x:c r="N226" s="14" t="str">
        <x:v>Tổng 1 nhiệm vụ liên quan.</x:v>
      </x:c>
    </x:row>
    <x:row r="227">
      <x:c r="A227" s="14" t="str">
        <x:v>PROC-0226</x:v>
      </x:c>
      <x:c r="B227" s="14" t="str">
        <x:v>VATM-0427</x:v>
      </x:c>
      <x:c r="C227" s="14" t="str">
        <x:v>An ninh hàng không</x:v>
      </x:c>
      <x:c r="D227" s="14" t="str">
        <x:v>Khu vực hạn chế/kiểm soát ra vào</x:v>
      </x:c>
      <x:c r="E227" s="14" t="str">
        <x:v>Checklist an ninh cơ sở Trung tâm ATFM</x:v>
      </x:c>
      <x:c r="F227" s="14" t="str">
        <x:v>Biểu mẫu/Checklist</x:v>
      </x:c>
      <x:c r="G227" s="14" t="str">
        <x:v>Ban An ninh hàng không</x:v>
      </x:c>
      <x:c r="H227" s="14" t="str">
        <x:v>Các Công ty Quản lý bay khu vực Bắc/Trung/Nam; Ban An ninh hàng không</x:v>
      </x:c>
      <x:c r="I227" s="14" t="str">
        <x:v>Điều 7 khoản 1 điểm m,n; Điều 26; Điều 29</x:v>
      </x:c>
      <x:c r="J227" s="14" t="str">
        <x:v>P1</x:v>
      </x:c>
      <x:c r="K227" s="14" t="str">
        <x:v>Chưa bắt đầu</x:v>
      </x:c>
      <x:c r="L227" s="14" t="str"/>
      <x:c r="M227" s="14" t="str">
        <x:v>Hồ sơ an ninh cơ sở, sơ đồ, danh sách quyền, nhật ký kiểm tra</x:v>
      </x:c>
      <x:c r="N227" s="14" t="str">
        <x:v>Tổng 1 nhiệm vụ liên quan.</x:v>
      </x:c>
    </x:row>
    <x:row r="228">
      <x:c r="A228" s="14" t="str">
        <x:v>PROC-0227</x:v>
      </x:c>
      <x:c r="B228" s="14" t="str">
        <x:v>VATM-0428</x:v>
      </x:c>
      <x:c r="C228" s="14" t="str">
        <x:v>An ninh hàng không</x:v>
      </x:c>
      <x:c r="D228" s="14" t="str">
        <x:v>Khu vực hạn chế/kiểm soát ra vào</x:v>
      </x:c>
      <x:c r="E228" s="14" t="str">
        <x:v>SOP an ninh cơ sở Cơ sở AIS/AIM</x:v>
      </x:c>
      <x:c r="F228" s="14" t="str">
        <x:v>Quy trình/SOP</x:v>
      </x:c>
      <x:c r="G228" s="14" t="str">
        <x:v>Ban An ninh hàng không</x:v>
      </x:c>
      <x:c r="H228" s="14" t="str">
        <x:v>Các Công ty Quản lý bay khu vực Bắc/Trung/Nam; Ban An ninh hàng không</x:v>
      </x:c>
      <x:c r="I228" s="14" t="str">
        <x:v>Điều 7 khoản 1 điểm m,n; Điều 26; Điều 29</x:v>
      </x:c>
      <x:c r="J228" s="14" t="str">
        <x:v>P1</x:v>
      </x:c>
      <x:c r="K228" s="14" t="str">
        <x:v>Chưa bắt đầu</x:v>
      </x:c>
      <x:c r="L228" s="14" t="str"/>
      <x:c r="M228" s="14" t="str">
        <x:v>Hồ sơ an ninh cơ sở, sơ đồ, danh sách quyền, nhật ký kiểm tra</x:v>
      </x:c>
      <x:c r="N228" s="14" t="str">
        <x:v>Tổng 1 nhiệm vụ liên quan.</x:v>
      </x:c>
    </x:row>
    <x:row r="229">
      <x:c r="A229" s="14" t="str">
        <x:v>PROC-0228</x:v>
      </x:c>
      <x:c r="B229" s="14" t="str">
        <x:v>VATM-0428</x:v>
      </x:c>
      <x:c r="C229" s="14" t="str">
        <x:v>An ninh hàng không</x:v>
      </x:c>
      <x:c r="D229" s="14" t="str">
        <x:v>Khu vực hạn chế/kiểm soát ra vào</x:v>
      </x:c>
      <x:c r="E229" s="14" t="str">
        <x:v>Checklist an ninh cơ sở Cơ sở AIS/AIM</x:v>
      </x:c>
      <x:c r="F229" s="14" t="str">
        <x:v>Biểu mẫu/Checklist</x:v>
      </x:c>
      <x:c r="G229" s="14" t="str">
        <x:v>Ban An ninh hàng không</x:v>
      </x:c>
      <x:c r="H229" s="14" t="str">
        <x:v>Các Công ty Quản lý bay khu vực Bắc/Trung/Nam; Ban An ninh hàng không</x:v>
      </x:c>
      <x:c r="I229" s="14" t="str">
        <x:v>Điều 7 khoản 1 điểm m,n; Điều 26; Điều 29</x:v>
      </x:c>
      <x:c r="J229" s="14" t="str">
        <x:v>P1</x:v>
      </x:c>
      <x:c r="K229" s="14" t="str">
        <x:v>Chưa bắt đầu</x:v>
      </x:c>
      <x:c r="L229" s="14" t="str"/>
      <x:c r="M229" s="14" t="str">
        <x:v>Hồ sơ an ninh cơ sở, sơ đồ, danh sách quyền, nhật ký kiểm tra</x:v>
      </x:c>
      <x:c r="N229" s="14" t="str">
        <x:v>Tổng 1 nhiệm vụ liên quan.</x:v>
      </x:c>
    </x:row>
    <x:row r="230">
      <x:c r="A230" s="14" t="str">
        <x:v>PROC-0229</x:v>
      </x:c>
      <x:c r="B230" s="14" t="str">
        <x:v>VATM-0429</x:v>
      </x:c>
      <x:c r="C230" s="14" t="str">
        <x:v>An ninh hàng không</x:v>
      </x:c>
      <x:c r="D230" s="14" t="str">
        <x:v>Khu vực hạn chế/kiểm soát ra vào</x:v>
      </x:c>
      <x:c r="E230" s="14" t="str">
        <x:v>SOP an ninh cơ sở Cơ sở MET phục vụ bay</x:v>
      </x:c>
      <x:c r="F230" s="14" t="str">
        <x:v>Quy trình/SOP</x:v>
      </x:c>
      <x:c r="G230" s="14" t="str">
        <x:v>Ban An ninh hàng không</x:v>
      </x:c>
      <x:c r="H230" s="14" t="str">
        <x:v>Các Công ty Quản lý bay khu vực Bắc/Trung/Nam; Ban An ninh hàng không</x:v>
      </x:c>
      <x:c r="I230" s="14" t="str">
        <x:v>Điều 7 khoản 1 điểm m,n; Điều 26; Điều 29</x:v>
      </x:c>
      <x:c r="J230" s="14" t="str">
        <x:v>P1</x:v>
      </x:c>
      <x:c r="K230" s="14" t="str">
        <x:v>Chưa bắt đầu</x:v>
      </x:c>
      <x:c r="L230" s="14" t="str"/>
      <x:c r="M230" s="14" t="str">
        <x:v>Hồ sơ an ninh cơ sở, sơ đồ, danh sách quyền, nhật ký kiểm tra</x:v>
      </x:c>
      <x:c r="N230" s="14" t="str">
        <x:v>Tổng 1 nhiệm vụ liên quan.</x:v>
      </x:c>
    </x:row>
    <x:row r="231">
      <x:c r="A231" s="14" t="str">
        <x:v>PROC-0230</x:v>
      </x:c>
      <x:c r="B231" s="14" t="str">
        <x:v>VATM-0429</x:v>
      </x:c>
      <x:c r="C231" s="14" t="str">
        <x:v>An ninh hàng không</x:v>
      </x:c>
      <x:c r="D231" s="14" t="str">
        <x:v>Khu vực hạn chế/kiểm soát ra vào</x:v>
      </x:c>
      <x:c r="E231" s="14" t="str">
        <x:v>Checklist an ninh cơ sở Cơ sở MET phục vụ bay</x:v>
      </x:c>
      <x:c r="F231" s="14" t="str">
        <x:v>Biểu mẫu/Checklist</x:v>
      </x:c>
      <x:c r="G231" s="14" t="str">
        <x:v>Ban An ninh hàng không</x:v>
      </x:c>
      <x:c r="H231" s="14" t="str">
        <x:v>Các Công ty Quản lý bay khu vực Bắc/Trung/Nam; Ban An ninh hàng không</x:v>
      </x:c>
      <x:c r="I231" s="14" t="str">
        <x:v>Điều 7 khoản 1 điểm m,n; Điều 26; Điều 29</x:v>
      </x:c>
      <x:c r="J231" s="14" t="str">
        <x:v>P1</x:v>
      </x:c>
      <x:c r="K231" s="14" t="str">
        <x:v>Chưa bắt đầu</x:v>
      </x:c>
      <x:c r="L231" s="14" t="str"/>
      <x:c r="M231" s="14" t="str">
        <x:v>Hồ sơ an ninh cơ sở, sơ đồ, danh sách quyền, nhật ký kiểm tra</x:v>
      </x:c>
      <x:c r="N231" s="14" t="str">
        <x:v>Tổng 1 nhiệm vụ liên quan.</x:v>
      </x:c>
    </x:row>
    <x:row r="232">
      <x:c r="A232" s="14" t="str">
        <x:v>PROC-0231</x:v>
      </x:c>
      <x:c r="B232" s="14" t="str">
        <x:v>VATM-0430</x:v>
      </x:c>
      <x:c r="C232" s="14" t="str">
        <x:v>An ninh hàng không</x:v>
      </x:c>
      <x:c r="D232" s="14" t="str">
        <x:v>Chương trình/kế hoạch ANHK VATM</x:v>
      </x:c>
      <x:c r="E232" s="14" t="str">
        <x:v>Quy trình quản lý tuân thủ pháp lý AVSEC</x:v>
      </x:c>
      <x:c r="F232" s="14" t="str">
        <x:v>Quy trình/SOP</x:v>
      </x:c>
      <x:c r="G232" s="14" t="str">
        <x:v>Ban An ninh hàng không; Văn phòng - Pháp chế</x:v>
      </x:c>
      <x:c r="H232" s="14" t="str">
        <x:v>Các Công ty Quản lý bay khu vực Bắc/Trung/Nam; Ban An ninh hàng không</x:v>
      </x:c>
      <x:c r="I232" s="14" t="str">
        <x:v>Điều 6,7,25,26,29,37,38-40</x:v>
      </x:c>
      <x:c r="J232" s="14" t="str">
        <x:v>P1</x:v>
      </x:c>
      <x:c r="K232" s="14" t="str">
        <x:v>Chưa bắt đầu</x:v>
      </x:c>
      <x:c r="L232" s="14" t="str"/>
      <x:c r="M232" s="14" t="str">
        <x:v>Kế hoạch hành động, bảng GAP, biên bản giao việc</x:v>
      </x:c>
      <x:c r="N232" s="14" t="str">
        <x:v>Tổng 1 nhiệm vụ liên quan.</x:v>
      </x:c>
    </x:row>
    <x:row r="233">
      <x:c r="A233" s="14" t="str">
        <x:v>PROC-0232</x:v>
      </x:c>
      <x:c r="B233" s="14" t="str">
        <x:v>VATM-0430</x:v>
      </x:c>
      <x:c r="C233" s="14" t="str">
        <x:v>An ninh hàng không</x:v>
      </x:c>
      <x:c r="D233" s="14" t="str">
        <x:v>Chương trình/kế hoạch ANHK VATM</x:v>
      </x:c>
      <x:c r="E233" s="14" t="str">
        <x:v>Mẫu kế hoạch tuân thủ NĐ 215</x:v>
      </x:c>
      <x:c r="F233" s="14" t="str">
        <x:v>Quyết định/Kế hoạch</x:v>
      </x:c>
      <x:c r="G233" s="14" t="str">
        <x:v>Ban An ninh hàng không; Văn phòng - Pháp chế</x:v>
      </x:c>
      <x:c r="H233" s="14" t="str">
        <x:v>Các Công ty Quản lý bay khu vực Bắc/Trung/Nam; Ban An ninh hàng không</x:v>
      </x:c>
      <x:c r="I233" s="14" t="str">
        <x:v>Điều 6,7,25,26,29,37,38-40</x:v>
      </x:c>
      <x:c r="J233" s="14" t="str">
        <x:v>P1</x:v>
      </x:c>
      <x:c r="K233" s="14" t="str">
        <x:v>Chưa bắt đầu</x:v>
      </x:c>
      <x:c r="L233" s="14" t="str"/>
      <x:c r="M233" s="14" t="str">
        <x:v>Kế hoạch hành động, bảng GAP, biên bản giao việc</x:v>
      </x:c>
      <x:c r="N233" s="14" t="str">
        <x:v>Tổng 1 nhiệm vụ liên quan.</x:v>
      </x:c>
    </x:row>
    <x:row r="234">
      <x:c r="A234" s="14" t="str">
        <x:v>PROC-0233</x:v>
      </x:c>
      <x:c r="B234" s="14" t="str">
        <x:v>VATM-0431</x:v>
      </x:c>
      <x:c r="C234" s="14" t="str">
        <x:v>An ninh hàng không</x:v>
      </x:c>
      <x:c r="D234" s="14" t="str">
        <x:v>Chương trình/kế hoạch ANHK VATM</x:v>
      </x:c>
      <x:c r="E234" s="14" t="str">
        <x:v>Quy trình quản lý thay đổi AVSEC VATM</x:v>
      </x:c>
      <x:c r="F234" s="14" t="str">
        <x:v>Quy trình/SOP</x:v>
      </x:c>
      <x:c r="G234" s="14" t="str">
        <x:v>Ban An ninh hàng không; Văn phòng - Pháp chế</x:v>
      </x:c>
      <x:c r="H234" s="14" t="str">
        <x:v>Các Công ty Quản lý bay khu vực Bắc/Trung/Nam; Ban Kế hoạch doanh nghiệp - Chuyển đổi số; Ban Kỹ thuật - CNS/IT/Môi trường; Ban An ninh hàng không</x:v>
      </x:c>
      <x:c r="I234" s="14" t="str">
        <x:v>Điều 6,24</x:v>
      </x:c>
      <x:c r="J234" s="14" t="str">
        <x:v>P1</x:v>
      </x:c>
      <x:c r="K234" s="14" t="str">
        <x:v>Chưa bắt đầu</x:v>
      </x:c>
      <x:c r="L234" s="14" t="str"/>
      <x:c r="M234" s="14" t="str">
        <x:v>Phiếu đánh giá thay đổi, bản sửa chương trình, công văn phê duyệt</x:v>
      </x:c>
      <x:c r="N234" s="14" t="str">
        <x:v>Tổng 1 nhiệm vụ liên quan.</x:v>
      </x:c>
    </x:row>
    <x:row r="235">
      <x:c r="A235" s="14" t="str">
        <x:v>PROC-0234</x:v>
      </x:c>
      <x:c r="B235" s="14" t="str">
        <x:v>VATM-0431</x:v>
      </x:c>
      <x:c r="C235" s="14" t="str">
        <x:v>An ninh hàng không</x:v>
      </x:c>
      <x:c r="D235" s="14" t="str">
        <x:v>Chương trình/kế hoạch ANHK VATM</x:v>
      </x:c>
      <x:c r="E235" s="14" t="str">
        <x:v>Mẫu AVSEC Change Assessment</x:v>
      </x:c>
      <x:c r="F235" s="14" t="str">
        <x:v>Biểu mẫu/Checklist</x:v>
      </x:c>
      <x:c r="G235" s="14" t="str">
        <x:v>Ban An ninh hàng không; Văn phòng - Pháp chế</x:v>
      </x:c>
      <x:c r="H235" s="14" t="str">
        <x:v>Các Công ty Quản lý bay khu vực Bắc/Trung/Nam; Ban Kế hoạch doanh nghiệp - Chuyển đổi số; Ban Kỹ thuật - CNS/IT/Môi trường; Ban An ninh hàng không</x:v>
      </x:c>
      <x:c r="I235" s="14" t="str">
        <x:v>Điều 6,24</x:v>
      </x:c>
      <x:c r="J235" s="14" t="str">
        <x:v>P1</x:v>
      </x:c>
      <x:c r="K235" s="14" t="str">
        <x:v>Chưa bắt đầu</x:v>
      </x:c>
      <x:c r="L235" s="14" t="str"/>
      <x:c r="M235" s="14" t="str">
        <x:v>Phiếu đánh giá thay đổi, bản sửa chương trình, công văn phê duyệt</x:v>
      </x:c>
      <x:c r="N235" s="14" t="str">
        <x:v>Tổng 1 nhiệm vụ liên quan.</x:v>
      </x:c>
    </x:row>
    <x:row r="236">
      <x:c r="A236" s="14" t="str">
        <x:v>PROC-0235</x:v>
      </x:c>
      <x:c r="B236" s="14" t="str">
        <x:v>VATM-0432</x:v>
      </x:c>
      <x:c r="C236" s="14" t="str">
        <x:v>An ninh hàng không</x:v>
      </x:c>
      <x:c r="D236" s="14" t="str">
        <x:v>An ninh hệ thống CNS/ATM/CNTT</x:v>
      </x:c>
      <x:c r="E236" s="14" t="str">
        <x:v>SOP quản lý tài khoản đặc quyền hệ thống ANS</x:v>
      </x:c>
      <x:c r="F236" s="14" t="str">
        <x:v>Quy trình/SOP</x:v>
      </x:c>
      <x:c r="G236" s="14" t="str">
        <x:v>Ban An ninh hàng không; Ban Kế hoạch doanh nghiệp - Chuyển đổi số; Ban Kỹ thuật - CNS/IT/Môi trường</x:v>
      </x:c>
      <x:c r="H236" s="14" t="str">
        <x:v>Các Công ty Quản lý bay khu vực Bắc/Trung/Nam; Ban An ninh hàng không</x:v>
      </x:c>
      <x:c r="I236" s="14" t="str">
        <x:v>Điều 26</x:v>
      </x:c>
      <x:c r="J236" s="14" t="str">
        <x:v>P1</x:v>
      </x:c>
      <x:c r="K236" s="14" t="str">
        <x:v>Chưa bắt đầu</x:v>
      </x:c>
      <x:c r="L236" s="14" t="str"/>
      <x:c r="M236" s="14" t="str">
        <x:v>Danh sách tài khoản đặc quyền, log truy cập, biên bản rà soát</x:v>
      </x:c>
      <x:c r="N236" s="14" t="str">
        <x:v>Tổng 1 nhiệm vụ liên quan.</x:v>
      </x:c>
    </x:row>
    <x:row r="237">
      <x:c r="A237" s="14" t="str">
        <x:v>PROC-0236</x:v>
      </x:c>
      <x:c r="B237" s="14" t="str">
        <x:v>VATM-0432</x:v>
      </x:c>
      <x:c r="C237" s="14" t="str">
        <x:v>An ninh hàng không</x:v>
      </x:c>
      <x:c r="D237" s="14" t="str">
        <x:v>An ninh hệ thống CNS/ATM/CNTT</x:v>
      </x:c>
      <x:c r="E237" s="14" t="str">
        <x:v>Checklist rà soát tài khoản đặc quyền</x:v>
      </x:c>
      <x:c r="F237" s="14" t="str">
        <x:v>Biểu mẫu/Checklist</x:v>
      </x:c>
      <x:c r="G237" s="14" t="str">
        <x:v>Ban An ninh hàng không; Ban Kế hoạch doanh nghiệp - Chuyển đổi số; Ban Kỹ thuật - CNS/IT/Môi trường</x:v>
      </x:c>
      <x:c r="H237" s="14" t="str">
        <x:v>Các Công ty Quản lý bay khu vực Bắc/Trung/Nam; Ban An ninh hàng không</x:v>
      </x:c>
      <x:c r="I237" s="14" t="str">
        <x:v>Điều 26</x:v>
      </x:c>
      <x:c r="J237" s="14" t="str">
        <x:v>P1</x:v>
      </x:c>
      <x:c r="K237" s="14" t="str">
        <x:v>Chưa bắt đầu</x:v>
      </x:c>
      <x:c r="L237" s="14" t="str"/>
      <x:c r="M237" s="14" t="str">
        <x:v>Danh sách tài khoản đặc quyền, log truy cập, biên bản rà soát</x:v>
      </x:c>
      <x:c r="N237" s="14" t="str">
        <x:v>Tổng 1 nhiệm vụ liên quan.</x:v>
      </x:c>
    </x:row>
    <x:row r="238">
      <x:c r="A238" s="14" t="str">
        <x:v>PROC-0237</x:v>
      </x:c>
      <x:c r="B238" s="14" t="str">
        <x:v>VATM-0433</x:v>
      </x:c>
      <x:c r="C238" s="14" t="str">
        <x:v>An ninh hàng không</x:v>
      </x:c>
      <x:c r="D238" s="14" t="str">
        <x:v>Ứng phó sự cố/diễn tập ANHK</x:v>
      </x:c>
      <x:c r="E238" s="14" t="str">
        <x:v>Quy trình ứng phó sự cố cyber hệ thống ANS</x:v>
      </x:c>
      <x:c r="F238" s="14" t="str">
        <x:v>Quy trình/SOP</x:v>
      </x:c>
      <x:c r="G238" s="14" t="str">
        <x:v>Ban An ninh hàng không; Ban Kế hoạch doanh nghiệp - Chuyển đổi số; Ban Kỹ thuật - CNS/IT/Môi trường</x:v>
      </x:c>
      <x:c r="H238" s="14" t="str">
        <x:v>Ban Kỹ thuật - CNS/IT/Môi trường; Các Công ty Quản lý bay khu vực Bắc/Trung/Nam; Ban An ninh hàng không</x:v>
      </x:c>
      <x:c r="I238" s="14" t="str">
        <x:v>Điều 26,29,Phụ lục II</x:v>
      </x:c>
      <x:c r="J238" s="14" t="str">
        <x:v>P1</x:v>
      </x:c>
      <x:c r="K238" s="14" t="str">
        <x:v>Chưa bắt đầu</x:v>
      </x:c>
      <x:c r="L238" s="14" t="str"/>
      <x:c r="M238" s="14" t="str">
        <x:v>Playbook, biên bản diễn tập cyber, log sự cố, báo cáo RCA</x:v>
      </x:c>
      <x:c r="N238" s="14" t="str">
        <x:v>Tổng 1 nhiệm vụ liên quan.</x:v>
      </x:c>
    </x:row>
    <x:row r="239">
      <x:c r="A239" s="14" t="str">
        <x:v>PROC-0238</x:v>
      </x:c>
      <x:c r="B239" s="14" t="str">
        <x:v>VATM-0433</x:v>
      </x:c>
      <x:c r="C239" s="14" t="str">
        <x:v>An ninh hàng không</x:v>
      </x:c>
      <x:c r="D239" s="14" t="str">
        <x:v>Ứng phó sự cố/diễn tập ANHK</x:v>
      </x:c>
      <x:c r="E239" s="14" t="str">
        <x:v>Mẫu playbook tấn công hệ thống ATM/CNS/AIS</x:v>
      </x:c>
      <x:c r="F239" s="14" t="str">
        <x:v>Biểu mẫu/Checklist</x:v>
      </x:c>
      <x:c r="G239" s="14" t="str">
        <x:v>Ban An ninh hàng không; Ban Kế hoạch doanh nghiệp - Chuyển đổi số; Ban Kỹ thuật - CNS/IT/Môi trường</x:v>
      </x:c>
      <x:c r="H239" s="14" t="str">
        <x:v>Ban Kỹ thuật - CNS/IT/Môi trường; Các Công ty Quản lý bay khu vực Bắc/Trung/Nam; Ban An ninh hàng không</x:v>
      </x:c>
      <x:c r="I239" s="14" t="str">
        <x:v>Điều 26,29,Phụ lục II</x:v>
      </x:c>
      <x:c r="J239" s="14" t="str">
        <x:v>P1</x:v>
      </x:c>
      <x:c r="K239" s="14" t="str">
        <x:v>Chưa bắt đầu</x:v>
      </x:c>
      <x:c r="L239" s="14" t="str"/>
      <x:c r="M239" s="14" t="str">
        <x:v>Playbook, biên bản diễn tập cyber, log sự cố, báo cáo RCA</x:v>
      </x:c>
      <x:c r="N239" s="14" t="str">
        <x:v>Tổng 1 nhiệm vụ liên quan.</x:v>
      </x:c>
    </x:row>
    <x:row r="240">
      <x:c r="A240" s="14" t="str">
        <x:v>PROC-0239</x:v>
      </x:c>
      <x:c r="B240" s="14" t="str">
        <x:v>VATM-0434</x:v>
      </x:c>
      <x:c r="C240" s="14" t="str">
        <x:v>An ninh hàng không</x:v>
      </x:c>
      <x:c r="D240" s="14" t="str">
        <x:v>Khu vực hạn chế/kiểm soát ra vào</x:v>
      </x:c>
      <x:c r="E240" s="14" t="str">
        <x:v>SOP quản lý camera an ninh cơ sở ANS</x:v>
      </x:c>
      <x:c r="F240" s="14" t="str">
        <x:v>Quy trình/SOP</x:v>
      </x:c>
      <x:c r="G240" s="14" t="str">
        <x:v>Ban An ninh hàng không; Ban Kế hoạch doanh nghiệp - Chuyển đổi số; Ban Kỹ thuật - CNS/IT/Môi trường</x:v>
      </x:c>
      <x:c r="H240" s="14" t="str">
        <x:v>Các Công ty Quản lý bay khu vực Bắc/Trung/Nam; Ban An ninh hàng không</x:v>
      </x:c>
      <x:c r="I240" s="14" t="str">
        <x:v>Điều 7,56</x:v>
      </x:c>
      <x:c r="J240" s="14" t="str">
        <x:v>P1</x:v>
      </x:c>
      <x:c r="K240" s="14" t="str">
        <x:v>Chưa bắt đầu</x:v>
      </x:c>
      <x:c r="L240" s="14" t="str"/>
      <x:c r="M240" s="14" t="str">
        <x:v>Sơ đồ camera, log xuất dữ liệu, biên bản kiểm tra hình ảnh</x:v>
      </x:c>
      <x:c r="N240" s="14" t="str">
        <x:v>Tổng 1 nhiệm vụ liên quan.</x:v>
      </x:c>
    </x:row>
    <x:row r="241">
      <x:c r="A241" s="14" t="str">
        <x:v>PROC-0240</x:v>
      </x:c>
      <x:c r="B241" s="14" t="str">
        <x:v>VATM-0434</x:v>
      </x:c>
      <x:c r="C241" s="14" t="str">
        <x:v>An ninh hàng không</x:v>
      </x:c>
      <x:c r="D241" s="14" t="str">
        <x:v>Khu vực hạn chế/kiểm soát ra vào</x:v>
      </x:c>
      <x:c r="E241" s="14" t="str">
        <x:v>Checklist kiểm tra camera/ACS</x:v>
      </x:c>
      <x:c r="F241" s="14" t="str">
        <x:v>Biểu mẫu/Checklist</x:v>
      </x:c>
      <x:c r="G241" s="14" t="str">
        <x:v>Ban An ninh hàng không; Ban Kế hoạch doanh nghiệp - Chuyển đổi số; Ban Kỹ thuật - CNS/IT/Môi trường</x:v>
      </x:c>
      <x:c r="H241" s="14" t="str">
        <x:v>Các Công ty Quản lý bay khu vực Bắc/Trung/Nam; Ban An ninh hàng không</x:v>
      </x:c>
      <x:c r="I241" s="14" t="str">
        <x:v>Điều 7,56</x:v>
      </x:c>
      <x:c r="J241" s="14" t="str">
        <x:v>P1</x:v>
      </x:c>
      <x:c r="K241" s="14" t="str">
        <x:v>Chưa bắt đầu</x:v>
      </x:c>
      <x:c r="L241" s="14" t="str"/>
      <x:c r="M241" s="14" t="str">
        <x:v>Sơ đồ camera, log xuất dữ liệu, biên bản kiểm tra hình ảnh</x:v>
      </x:c>
      <x:c r="N241" s="14" t="str">
        <x:v>Tổng 1 nhiệm vụ liên quan.</x:v>
      </x:c>
    </x:row>
    <x:row r="242">
      <x:c r="A242" s="14" t="str">
        <x:v>PROC-0241</x:v>
      </x:c>
      <x:c r="B242" s="14" t="str">
        <x:v>VATM-0435</x:v>
      </x:c>
      <x:c r="C242" s="14" t="str">
        <x:v>An ninh hàng không</x:v>
      </x:c>
      <x:c r="D242" s="14" t="str">
        <x:v>Khu vực hạn chế/kiểm soát ra vào</x:v>
      </x:c>
      <x:c r="E242" s="14" t="str">
        <x:v>SOP quản lý nhà thầu tại khu vực hạn chế ANS</x:v>
      </x:c>
      <x:c r="F242" s="14" t="str">
        <x:v>Quy trình/SOP</x:v>
      </x:c>
      <x:c r="G242" s="14" t="str">
        <x:v>Ban An ninh hàng không; Các Công ty Quản lý bay khu vực Bắc/Trung/Nam</x:v>
      </x:c>
      <x:c r="H242" s="14" t="str">
        <x:v>Các Công ty Quản lý bay khu vực Bắc/Trung/Nam; Ban Không lưu; Ban Kỹ thuật - CNS/IT/Môi trường; Ban An ninh hàng không</x:v>
      </x:c>
      <x:c r="I242" s="14" t="str">
        <x:v>Điều 7,29,37</x:v>
      </x:c>
      <x:c r="J242" s="14" t="str">
        <x:v>P1</x:v>
      </x:c>
      <x:c r="K242" s="14" t="str">
        <x:v>Chưa bắt đầu</x:v>
      </x:c>
      <x:c r="L242" s="14" t="str"/>
      <x:c r="M242" s="14" t="str">
        <x:v>Hồ sơ nhà thầu, cam kết an ninh, nhật ký giám sát, thẻ ra vào</x:v>
      </x:c>
      <x:c r="N242" s="14" t="str">
        <x:v>Tổng 1 nhiệm vụ liên quan.</x:v>
      </x:c>
    </x:row>
    <x:row r="243">
      <x:c r="A243" s="14" t="str">
        <x:v>PROC-0242</x:v>
      </x:c>
      <x:c r="B243" s="14" t="str">
        <x:v>VATM-0435</x:v>
      </x:c>
      <x:c r="C243" s="14" t="str">
        <x:v>An ninh hàng không</x:v>
      </x:c>
      <x:c r="D243" s="14" t="str">
        <x:v>Khu vực hạn chế/kiểm soát ra vào</x:v>
      </x:c>
      <x:c r="E243" s="14" t="str">
        <x:v>Mẫu cam kết an ninh nhà thầu</x:v>
      </x:c>
      <x:c r="F243" s="14" t="str">
        <x:v>Biểu mẫu/Checklist</x:v>
      </x:c>
      <x:c r="G243" s="14" t="str">
        <x:v>Ban An ninh hàng không; Các Công ty Quản lý bay khu vực Bắc/Trung/Nam</x:v>
      </x:c>
      <x:c r="H243" s="14" t="str">
        <x:v>Các Công ty Quản lý bay khu vực Bắc/Trung/Nam; Ban Không lưu; Ban Kỹ thuật - CNS/IT/Môi trường; Ban An ninh hàng không</x:v>
      </x:c>
      <x:c r="I243" s="14" t="str">
        <x:v>Điều 7,29,37</x:v>
      </x:c>
      <x:c r="J243" s="14" t="str">
        <x:v>P1</x:v>
      </x:c>
      <x:c r="K243" s="14" t="str">
        <x:v>Chưa bắt đầu</x:v>
      </x:c>
      <x:c r="L243" s="14" t="str"/>
      <x:c r="M243" s="14" t="str">
        <x:v>Hồ sơ nhà thầu, cam kết an ninh, nhật ký giám sát, thẻ ra vào</x:v>
      </x:c>
      <x:c r="N243" s="14" t="str">
        <x:v>Tổng 1 nhiệm vụ liên quan.</x:v>
      </x:c>
    </x:row>
    <x:row r="244">
      <x:c r="A244" s="14" t="str">
        <x:v>PROC-0243</x:v>
      </x:c>
      <x:c r="B244" s="14" t="str">
        <x:v>VATM-0436</x:v>
      </x:c>
      <x:c r="C244" s="14" t="str">
        <x:v>An ninh hàng không</x:v>
      </x:c>
      <x:c r="D244" s="14" t="str">
        <x:v>Khu vực hạn chế/kiểm soát ra vào</x:v>
      </x:c>
      <x:c r="E244" s="14" t="str">
        <x:v>Quy trình đào tạo AVSEC cho nhân viên ANS</x:v>
      </x:c>
      <x:c r="F244" s="14" t="str">
        <x:v>Quy trình/SOP</x:v>
      </x:c>
      <x:c r="G244" s="14" t="str">
        <x:v>Ban An ninh hàng không</x:v>
      </x:c>
      <x:c r="H244" s="14" t="str">
        <x:v>Các Công ty Quản lý bay khu vực Bắc/Trung/Nam; Ban An ninh hàng không</x:v>
      </x:c>
      <x:c r="I244" s="14" t="str">
        <x:v>Điều 27,37,39</x:v>
      </x:c>
      <x:c r="J244" s="14" t="str">
        <x:v>P1</x:v>
      </x:c>
      <x:c r="K244" s="14" t="str">
        <x:v>Chưa bắt đầu</x:v>
      </x:c>
      <x:c r="L244" s="14" t="str"/>
      <x:c r="M244" s="14" t="str">
        <x:v>Hồ sơ đào tạo, bài kiểm tra, danh sách đạt</x:v>
      </x:c>
      <x:c r="N244" s="14" t="str">
        <x:v>Tổng 1 nhiệm vụ liên quan.</x:v>
      </x:c>
    </x:row>
    <x:row r="245">
      <x:c r="A245" s="14" t="str">
        <x:v>PROC-0244</x:v>
      </x:c>
      <x:c r="B245" s="14" t="str">
        <x:v>VATM-0436</x:v>
      </x:c>
      <x:c r="C245" s="14" t="str">
        <x:v>An ninh hàng không</x:v>
      </x:c>
      <x:c r="D245" s="14" t="str">
        <x:v>Khu vực hạn chế/kiểm soát ra vào</x:v>
      </x:c>
      <x:c r="E245" s="14" t="str">
        <x:v>Module AVSEC awareness cho nhân viên ANS</x:v>
      </x:c>
      <x:c r="F245" s="14" t="str">
        <x:v>Khác</x:v>
      </x:c>
      <x:c r="G245" s="14" t="str">
        <x:v>Ban An ninh hàng không</x:v>
      </x:c>
      <x:c r="H245" s="14" t="str">
        <x:v>Các Công ty Quản lý bay khu vực Bắc/Trung/Nam; Ban An ninh hàng không</x:v>
      </x:c>
      <x:c r="I245" s="14" t="str">
        <x:v>Điều 27,37,39</x:v>
      </x:c>
      <x:c r="J245" s="14" t="str">
        <x:v>P1</x:v>
      </x:c>
      <x:c r="K245" s="14" t="str">
        <x:v>Chưa bắt đầu</x:v>
      </x:c>
      <x:c r="L245" s="14" t="str"/>
      <x:c r="M245" s="14" t="str">
        <x:v>Hồ sơ đào tạo, bài kiểm tra, danh sách đạt</x:v>
      </x:c>
      <x:c r="N245" s="14" t="str">
        <x:v>Tổng 1 nhiệm vụ liên quan.</x:v>
      </x:c>
    </x:row>
    <x:row r="246">
      <x:c r="A246" s="14" t="str">
        <x:v>PROC-0245</x:v>
      </x:c>
      <x:c r="B246" s="14" t="str">
        <x:v>VATM-0437</x:v>
      </x:c>
      <x:c r="C246" s="14" t="str">
        <x:v>An ninh hàng không</x:v>
      </x:c>
      <x:c r="D246" s="14" t="str">
        <x:v>Ứng phó sự cố/diễn tập ANHK</x:v>
      </x:c>
      <x:c r="E246" s="14" t="str">
        <x:v>Quy trình bảo toàn dữ liệu/chứng cứ sự cố ANS</x:v>
      </x:c>
      <x:c r="F246" s="14" t="str">
        <x:v>Quy trình/SOP</x:v>
      </x:c>
      <x:c r="G246" s="14" t="str">
        <x:v>Ban An ninh hàng không; Ban Không lưu; Ban Kỹ thuật - CNS/IT/Môi trường</x:v>
      </x:c>
      <x:c r="H246" s="14" t="str">
        <x:v>Các Công ty Quản lý bay khu vực Bắc/Trung/Nam; Ban An ninh hàng không</x:v>
      </x:c>
      <x:c r="I246" s="14" t="str">
        <x:v>Điều 3,14,28,29</x:v>
      </x:c>
      <x:c r="J246" s="14" t="str">
        <x:v>P1</x:v>
      </x:c>
      <x:c r="K246" s="14" t="str">
        <x:v>Chưa bắt đầu</x:v>
      </x:c>
      <x:c r="L246" s="14" t="str"/>
      <x:c r="M246" s="14" t="str">
        <x:v>Biên bản niêm phong dữ liệu, bản sao log, phiếu bàn giao chứng cứ</x:v>
      </x:c>
      <x:c r="N246" s="14" t="str">
        <x:v>Tổng 1 nhiệm vụ liên quan.</x:v>
      </x:c>
    </x:row>
    <x:row r="247">
      <x:c r="A247" s="14" t="str">
        <x:v>PROC-0246</x:v>
      </x:c>
      <x:c r="B247" s="14" t="str">
        <x:v>VATM-0437</x:v>
      </x:c>
      <x:c r="C247" s="14" t="str">
        <x:v>An ninh hàng không</x:v>
      </x:c>
      <x:c r="D247" s="14" t="str">
        <x:v>Ứng phó sự cố/diễn tập ANHK</x:v>
      </x:c>
      <x:c r="E247" s="14" t="str">
        <x:v>Mẫu chain-of-custody dữ liệu ANS</x:v>
      </x:c>
      <x:c r="F247" s="14" t="str">
        <x:v>Biểu mẫu/Checklist</x:v>
      </x:c>
      <x:c r="G247" s="14" t="str">
        <x:v>Ban An ninh hàng không; Ban Không lưu; Ban Kỹ thuật - CNS/IT/Môi trường</x:v>
      </x:c>
      <x:c r="H247" s="14" t="str">
        <x:v>Các Công ty Quản lý bay khu vực Bắc/Trung/Nam; Ban An ninh hàng không</x:v>
      </x:c>
      <x:c r="I247" s="14" t="str">
        <x:v>Điều 3,14,28,29</x:v>
      </x:c>
      <x:c r="J247" s="14" t="str">
        <x:v>P1</x:v>
      </x:c>
      <x:c r="K247" s="14" t="str">
        <x:v>Chưa bắt đầu</x:v>
      </x:c>
      <x:c r="L247" s="14" t="str"/>
      <x:c r="M247" s="14" t="str">
        <x:v>Biên bản niêm phong dữ liệu, bản sao log, phiếu bàn giao chứng cứ</x:v>
      </x:c>
      <x:c r="N247" s="14" t="str">
        <x:v>Tổng 1 nhiệm vụ liên quan.</x:v>
      </x:c>
    </x:row>
    <x:row r="248">
      <x:c r="A248" s="14" t="str">
        <x:v>PROC-0247</x:v>
      </x:c>
      <x:c r="B248" s="14" t="str">
        <x:v>VATM-0438</x:v>
      </x:c>
      <x:c r="C248" s="14" t="str">
        <x:v>An ninh hàng không</x:v>
      </x:c>
      <x:c r="D248" s="14" t="str">
        <x:v>Khu vực hạn chế/kiểm soát ra vào</x:v>
      </x:c>
      <x:c r="E248" s="14" t="str">
        <x:v>Quy trình bảo mật thông tin ANS nhạy cảm</x:v>
      </x:c>
      <x:c r="F248" s="14" t="str">
        <x:v>Quy trình/SOP</x:v>
      </x:c>
      <x:c r="G248" s="14" t="str">
        <x:v>Ban An ninh hàng không; Ban Kế hoạch doanh nghiệp - Chuyển đổi số; Ban Không lưu; Ban Kỹ thuật - CNS/IT/Môi trường; Trung tâm Thông báo tin tức hàng không</x:v>
      </x:c>
      <x:c r="H248" s="14" t="str">
        <x:v>Các Công ty Quản lý bay khu vực Bắc/Trung/Nam; Ban An ninh hàng không</x:v>
      </x:c>
      <x:c r="I248" s="14" t="str">
        <x:v>Điều 24,26,53</x:v>
      </x:c>
      <x:c r="J248" s="14" t="str">
        <x:v>P1</x:v>
      </x:c>
      <x:c r="K248" s="14" t="str">
        <x:v>Chưa bắt đầu</x:v>
      </x:c>
      <x:c r="L248" s="14" t="str"/>
      <x:c r="M248" s="14" t="str">
        <x:v>Log truy cập, danh mục thông tin hạn chế, hồ sơ cấp quyền</x:v>
      </x:c>
      <x:c r="N248" s="14" t="str">
        <x:v>Tổng 1 nhiệm vụ liên quan.</x:v>
      </x:c>
    </x:row>
    <x:row r="249">
      <x:c r="A249" s="14" t="str">
        <x:v>PROC-0248</x:v>
      </x:c>
      <x:c r="B249" s="14" t="str">
        <x:v>VATM-0438</x:v>
      </x:c>
      <x:c r="C249" s="14" t="str">
        <x:v>An ninh hàng không</x:v>
      </x:c>
      <x:c r="D249" s="14" t="str">
        <x:v>Khu vực hạn chế/kiểm soát ra vào</x:v>
      </x:c>
      <x:c r="E249" s="14" t="str">
        <x:v>Checklist chia sẻ thông tin need-to-know</x:v>
      </x:c>
      <x:c r="F249" s="14" t="str">
        <x:v>Biểu mẫu/Checklist</x:v>
      </x:c>
      <x:c r="G249" s="14" t="str">
        <x:v>Ban An ninh hàng không; Ban Kế hoạch doanh nghiệp - Chuyển đổi số; Ban Không lưu; Ban Kỹ thuật - CNS/IT/Môi trường; Trung tâm Thông báo tin tức hàng không</x:v>
      </x:c>
      <x:c r="H249" s="14" t="str">
        <x:v>Các Công ty Quản lý bay khu vực Bắc/Trung/Nam; Ban An ninh hàng không</x:v>
      </x:c>
      <x:c r="I249" s="14" t="str">
        <x:v>Điều 24,26,53</x:v>
      </x:c>
      <x:c r="J249" s="14" t="str">
        <x:v>P1</x:v>
      </x:c>
      <x:c r="K249" s="14" t="str">
        <x:v>Chưa bắt đầu</x:v>
      </x:c>
      <x:c r="L249" s="14" t="str"/>
      <x:c r="M249" s="14" t="str">
        <x:v>Log truy cập, danh mục thông tin hạn chế, hồ sơ cấp quyền</x:v>
      </x:c>
      <x:c r="N249" s="14" t="str">
        <x:v>Tổng 1 nhiệm vụ liên quan.</x:v>
      </x:c>
    </x:row>
    <x:row r="250">
      <x:c r="A250" s="14" t="str">
        <x:v>PROC-0249</x:v>
      </x:c>
      <x:c r="B250" s="14" t="str">
        <x:v>VATM-0439</x:v>
      </x:c>
      <x:c r="C250" s="14" t="str">
        <x:v>An ninh hàng không</x:v>
      </x:c>
      <x:c r="D250" s="14" t="str">
        <x:v>Khu vực hạn chế/kiểm soát ra vào</x:v>
      </x:c>
      <x:c r="E250" s="14" t="str">
        <x:v>Quy trình quản lý CAPA sau diễn tập AVSEC</x:v>
      </x:c>
      <x:c r="F250" s="14" t="str">
        <x:v>Quy trình/SOP</x:v>
      </x:c>
      <x:c r="G250" s="14" t="str">
        <x:v>Ban An ninh hàng không</x:v>
      </x:c>
      <x:c r="H250" s="14" t="str">
        <x:v>Các Công ty Quản lý bay khu vực Bắc/Trung/Nam; Ban Tổ chức cán bộ; Ban An ninh hàng không</x:v>
      </x:c>
      <x:c r="I250" s="14" t="str">
        <x:v>Điều 37</x:v>
      </x:c>
      <x:c r="J250" s="14" t="str">
        <x:v>P1</x:v>
      </x:c>
      <x:c r="K250" s="14" t="str">
        <x:v>Chưa bắt đầu</x:v>
      </x:c>
      <x:c r="L250" s="14" t="str"/>
      <x:c r="M250" s="14" t="str">
        <x:v>Báo cáo sau diễn tập, CAPA tracker, biên bản nghiệm thu khắc phục</x:v>
      </x:c>
      <x:c r="N250" s="14" t="str">
        <x:v>Tổng 1 nhiệm vụ liên quan.</x:v>
      </x:c>
    </x:row>
    <x:row r="251">
      <x:c r="A251" s="14" t="str">
        <x:v>PROC-0250</x:v>
      </x:c>
      <x:c r="B251" s="14" t="str">
        <x:v>VATM-0439</x:v>
      </x:c>
      <x:c r="C251" s="14" t="str">
        <x:v>An ninh hàng không</x:v>
      </x:c>
      <x:c r="D251" s="14" t="str">
        <x:v>Khu vực hạn chế/kiểm soát ra vào</x:v>
      </x:c>
      <x:c r="E251" s="14" t="str">
        <x:v>Mẫu AAR/CAPA diễn tập AVSEC</x:v>
      </x:c>
      <x:c r="F251" s="14" t="str">
        <x:v>Biểu mẫu/Checklist</x:v>
      </x:c>
      <x:c r="G251" s="14" t="str">
        <x:v>Ban An ninh hàng không</x:v>
      </x:c>
      <x:c r="H251" s="14" t="str">
        <x:v>Các Công ty Quản lý bay khu vực Bắc/Trung/Nam; Ban Tổ chức cán bộ; Ban An ninh hàng không</x:v>
      </x:c>
      <x:c r="I251" s="14" t="str">
        <x:v>Điều 37</x:v>
      </x:c>
      <x:c r="J251" s="14" t="str">
        <x:v>P1</x:v>
      </x:c>
      <x:c r="K251" s="14" t="str">
        <x:v>Chưa bắt đầu</x:v>
      </x:c>
      <x:c r="L251" s="14" t="str"/>
      <x:c r="M251" s="14" t="str">
        <x:v>Báo cáo sau diễn tập, CAPA tracker, biên bản nghiệm thu khắc phục</x:v>
      </x:c>
      <x:c r="N251" s="14" t="str">
        <x:v>Tổng 1 nhiệm vụ liên quan.</x:v>
      </x:c>
    </x:row>
    <x:row r="252">
      <x:c r="A252" s="14" t="str">
        <x:v>PROC-0251</x:v>
      </x:c>
      <x:c r="B252" s="14" t="str">
        <x:v>VATM-0440</x:v>
      </x:c>
      <x:c r="C252" s="14" t="str">
        <x:v>An ninh hàng không</x:v>
      </x:c>
      <x:c r="D252" s="14" t="str">
        <x:v>An ninh hệ thống CNS/ATM/CNTT</x:v>
      </x:c>
      <x:c r="E252" s="14" t="str">
        <x:v>Quy trình kiểm tra nội bộ AVSEC VATM</x:v>
      </x:c>
      <x:c r="F252" s="14" t="str">
        <x:v>Quy trình/SOP</x:v>
      </x:c>
      <x:c r="G252" s="14" t="str">
        <x:v>Ban An ninh hàng không</x:v>
      </x:c>
      <x:c r="H252" s="14" t="str">
        <x:v>Các Công ty Quản lý bay khu vực Bắc/Trung/Nam; Ban An ninh hàng không</x:v>
      </x:c>
      <x:c r="I252" s="14" t="str">
        <x:v>Điều 38-40</x:v>
      </x:c>
      <x:c r="J252" s="14" t="str">
        <x:v>P1</x:v>
      </x:c>
      <x:c r="K252" s="14" t="str">
        <x:v>Chưa bắt đầu</x:v>
      </x:c>
      <x:c r="L252" s="14" t="str"/>
      <x:c r="M252" s="14" t="str">
        <x:v>Biên bản kiểm tra nội bộ, CAPA, báo cáo TGĐ</x:v>
      </x:c>
      <x:c r="N252" s="14" t="str">
        <x:v>Tổng 1 nhiệm vụ liên quan.</x:v>
      </x:c>
    </x:row>
    <x:row r="253">
      <x:c r="A253" s="14" t="str">
        <x:v>PROC-0252</x:v>
      </x:c>
      <x:c r="B253" s="14" t="str">
        <x:v>VATM-0440</x:v>
      </x:c>
      <x:c r="C253" s="14" t="str">
        <x:v>An ninh hàng không</x:v>
      </x:c>
      <x:c r="D253" s="14" t="str">
        <x:v>An ninh hệ thống CNS/ATM/CNTT</x:v>
      </x:c>
      <x:c r="E253" s="14" t="str">
        <x:v>Checklist audit lực lượng KSANHK</x:v>
      </x:c>
      <x:c r="F253" s="14" t="str">
        <x:v>Biểu mẫu/Checklist</x:v>
      </x:c>
      <x:c r="G253" s="14" t="str">
        <x:v>Ban An ninh hàng không</x:v>
      </x:c>
      <x:c r="H253" s="14" t="str">
        <x:v>Các Công ty Quản lý bay khu vực Bắc/Trung/Nam; Ban An ninh hàng không</x:v>
      </x:c>
      <x:c r="I253" s="14" t="str">
        <x:v>Điều 38-40</x:v>
      </x:c>
      <x:c r="J253" s="14" t="str">
        <x:v>P1</x:v>
      </x:c>
      <x:c r="K253" s="14" t="str">
        <x:v>Chưa bắt đầu</x:v>
      </x:c>
      <x:c r="L253" s="14" t="str"/>
      <x:c r="M253" s="14" t="str">
        <x:v>Biên bản kiểm tra nội bộ, CAPA, báo cáo TGĐ</x:v>
      </x:c>
      <x:c r="N253" s="14" t="str">
        <x:v>Tổng 1 nhiệm vụ liên quan.</x:v>
      </x:c>
    </x:row>
    <x:row r="254">
      <x:c r="A254" s="14" t="str">
        <x:v>PROC-0253</x:v>
      </x:c>
      <x:c r="B254" s="14" t="str">
        <x:v>VATM-0441</x:v>
      </x:c>
      <x:c r="C254" s="14" t="str">
        <x:v>An ninh hàng không</x:v>
      </x:c>
      <x:c r="D254" s="14" t="str">
        <x:v>An ninh hệ thống CNS/ATM/CNTT</x:v>
      </x:c>
      <x:c r="E254" s="14" t="str">
        <x:v>Quy trình báo cáo/trao đổi với Nhà chức trách an ninh</x:v>
      </x:c>
      <x:c r="F254" s="14" t="str">
        <x:v>Quy trình/SOP</x:v>
      </x:c>
      <x:c r="G254" s="14" t="str">
        <x:v>Ban An ninh hàng không; Văn phòng - Pháp chế</x:v>
      </x:c>
      <x:c r="H254" s="14" t="str">
        <x:v>Các Công ty Quản lý bay khu vực Bắc/Trung/Nam; Ban An ninh hàng không</x:v>
      </x:c>
      <x:c r="I254" s="14" t="str">
        <x:v>Điều 49-52</x:v>
      </x:c>
      <x:c r="J254" s="14" t="str">
        <x:v>P1</x:v>
      </x:c>
      <x:c r="K254" s="14" t="str">
        <x:v>Chưa bắt đầu</x:v>
      </x:c>
      <x:c r="L254" s="14" t="str"/>
      <x:c r="M254" s="14" t="str">
        <x:v>Công văn, email chính thức, log xử lý yêu cầu</x:v>
      </x:c>
      <x:c r="N254" s="14" t="str">
        <x:v>Tổng 1 nhiệm vụ liên quan.</x:v>
      </x:c>
    </x:row>
    <x:row r="255">
      <x:c r="A255" s="14" t="str">
        <x:v>PROC-0254</x:v>
      </x:c>
      <x:c r="B255" s="14" t="str">
        <x:v>VATM-0441</x:v>
      </x:c>
      <x:c r="C255" s="14" t="str">
        <x:v>An ninh hàng không</x:v>
      </x:c>
      <x:c r="D255" s="14" t="str">
        <x:v>An ninh hệ thống CNS/ATM/CNTT</x:v>
      </x:c>
      <x:c r="E255" s="14" t="str">
        <x:v>Mẫu phiếu xử lý yêu cầu của nhà chức trách</x:v>
      </x:c>
      <x:c r="F255" s="14" t="str">
        <x:v>Biểu mẫu/Checklist</x:v>
      </x:c>
      <x:c r="G255" s="14" t="str">
        <x:v>Ban An ninh hàng không; Văn phòng - Pháp chế</x:v>
      </x:c>
      <x:c r="H255" s="14" t="str">
        <x:v>Các Công ty Quản lý bay khu vực Bắc/Trung/Nam; Ban An ninh hàng không</x:v>
      </x:c>
      <x:c r="I255" s="14" t="str">
        <x:v>Điều 49-52</x:v>
      </x:c>
      <x:c r="J255" s="14" t="str">
        <x:v>P1</x:v>
      </x:c>
      <x:c r="K255" s="14" t="str">
        <x:v>Chưa bắt đầu</x:v>
      </x:c>
      <x:c r="L255" s="14" t="str"/>
      <x:c r="M255" s="14" t="str">
        <x:v>Công văn, email chính thức, log xử lý yêu cầu</x:v>
      </x:c>
      <x:c r="N255" s="14" t="str">
        <x:v>Tổng 1 nhiệm vụ liên quan.</x:v>
      </x:c>
    </x:row>
    <x:row r="256">
      <x:c r="A256" s="14" t="str">
        <x:v>PROC-0255</x:v>
      </x:c>
      <x:c r="B256" s="14" t="str">
        <x:v>VATM-0442</x:v>
      </x:c>
      <x:c r="C256" s="14" t="str">
        <x:v>An ninh hàng không</x:v>
      </x:c>
      <x:c r="D256" s="14" t="str">
        <x:v>Quản trị, phối hợp và giám sát ANHK</x:v>
      </x:c>
      <x:c r="E256" s="14" t="str">
        <x:v>Quy trình tích hợp AVSEC trong quản lý dự án ANS</x:v>
      </x:c>
      <x:c r="F256" s="14" t="str">
        <x:v>Quy trình/SOP</x:v>
      </x:c>
      <x:c r="G256" s="14" t="str">
        <x:v>Ban An ninh hàng không; Ban Kỹ thuật - CNS/IT/Môi trường</x:v>
      </x:c>
      <x:c r="H256" s="14" t="str">
        <x:v>Các Công ty Quản lý bay khu vực Bắc/Trung/Nam; Ban An ninh hàng không</x:v>
      </x:c>
      <x:c r="I256" s="14" t="str">
        <x:v>Điều 55-56</x:v>
      </x:c>
      <x:c r="J256" s="14" t="str">
        <x:v>P1</x:v>
      </x:c>
      <x:c r="K256" s="14" t="str">
        <x:v>Chưa bắt đầu</x:v>
      </x:c>
      <x:c r="L256" s="14" t="str"/>
      <x:c r="M256" s="14" t="str">
        <x:v>Yêu cầu thiết kế, hồ sơ nghiệm thu, biên bản đánh giá rủi ro</x:v>
      </x:c>
      <x:c r="N256" s="14" t="str">
        <x:v>Tổng 1 nhiệm vụ liên quan.</x:v>
      </x:c>
    </x:row>
    <x:row r="257">
      <x:c r="A257" s="14" t="str">
        <x:v>PROC-0256</x:v>
      </x:c>
      <x:c r="B257" s="14" t="str">
        <x:v>VATM-0442</x:v>
      </x:c>
      <x:c r="C257" s="14" t="str">
        <x:v>An ninh hàng không</x:v>
      </x:c>
      <x:c r="D257" s="14" t="str">
        <x:v>Quản trị, phối hợp và giám sát ANHK</x:v>
      </x:c>
      <x:c r="E257" s="14" t="str">
        <x:v>Checklist AVSEC by design</x:v>
      </x:c>
      <x:c r="F257" s="14" t="str">
        <x:v>Biểu mẫu/Checklist</x:v>
      </x:c>
      <x:c r="G257" s="14" t="str">
        <x:v>Ban An ninh hàng không; Ban Kỹ thuật - CNS/IT/Môi trường</x:v>
      </x:c>
      <x:c r="H257" s="14" t="str">
        <x:v>Các Công ty Quản lý bay khu vực Bắc/Trung/Nam; Ban An ninh hàng không</x:v>
      </x:c>
      <x:c r="I257" s="14" t="str">
        <x:v>Điều 55-56</x:v>
      </x:c>
      <x:c r="J257" s="14" t="str">
        <x:v>P1</x:v>
      </x:c>
      <x:c r="K257" s="14" t="str">
        <x:v>Chưa bắt đầu</x:v>
      </x:c>
      <x:c r="L257" s="14" t="str"/>
      <x:c r="M257" s="14" t="str">
        <x:v>Yêu cầu thiết kế, hồ sơ nghiệm thu, biên bản đánh giá rủi ro</x:v>
      </x:c>
      <x:c r="N257" s="14" t="str">
        <x:v>Tổng 1 nhiệm vụ liên quan.</x:v>
      </x:c>
    </x:row>
    <x:row r="258">
      <x:c r="A258" s="14" t="str">
        <x:v>PROC-0257</x:v>
      </x:c>
      <x:c r="B258" s="14" t="str">
        <x:v>VATM-0443</x:v>
      </x:c>
      <x:c r="C258" s="14" t="str">
        <x:v>An ninh hàng không</x:v>
      </x:c>
      <x:c r="D258" s="14" t="str">
        <x:v>An ninh hệ thống CNS/ATM/CNTT</x:v>
      </x:c>
      <x:c r="E258" s="14" t="str">
        <x:v>Quy trình báo cáo tự nguyện dấu hiệu an ninh ANS</x:v>
      </x:c>
      <x:c r="F258" s="14" t="str">
        <x:v>Quy trình/SOP</x:v>
      </x:c>
      <x:c r="G258" s="14" t="str">
        <x:v>Ban An ninh hàng không; Ban An toàn - Chất lượng</x:v>
      </x:c>
      <x:c r="H258" s="14" t="str">
        <x:v>Các Công ty Quản lý bay khu vực Bắc/Trung/Nam; Ban An ninh hàng không</x:v>
      </x:c>
      <x:c r="I258" s="14" t="str">
        <x:v>Điều 3,27,37</x:v>
      </x:c>
      <x:c r="J258" s="14" t="str">
        <x:v>P1</x:v>
      </x:c>
      <x:c r="K258" s="14" t="str">
        <x:v>Chưa bắt đầu</x:v>
      </x:c>
      <x:c r="L258" s="14" t="str"/>
      <x:c r="M258" s="14" t="str">
        <x:v>Sổ tiếp nhận báo cáo, dashboard, báo cáo phân tích xu hướng</x:v>
      </x:c>
      <x:c r="N258" s="14" t="str">
        <x:v>Tổng 1 nhiệm vụ liên quan.</x:v>
      </x:c>
    </x:row>
    <x:row r="259">
      <x:c r="A259" s="14" t="str">
        <x:v>PROC-0258</x:v>
      </x:c>
      <x:c r="B259" s="14" t="str">
        <x:v>VATM-0443</x:v>
      </x:c>
      <x:c r="C259" s="14" t="str">
        <x:v>An ninh hàng không</x:v>
      </x:c>
      <x:c r="D259" s="14" t="str">
        <x:v>An ninh hệ thống CNS/ATM/CNTT</x:v>
      </x:c>
      <x:c r="E259" s="14" t="str">
        <x:v>Mẫu phiếu báo cáo dấu hiệu uy hiếp an ninh</x:v>
      </x:c>
      <x:c r="F259" s="14" t="str">
        <x:v>Biểu mẫu/Checklist</x:v>
      </x:c>
      <x:c r="G259" s="14" t="str">
        <x:v>Ban An ninh hàng không; Ban An toàn - Chất lượng</x:v>
      </x:c>
      <x:c r="H259" s="14" t="str">
        <x:v>Các Công ty Quản lý bay khu vực Bắc/Trung/Nam; Ban An ninh hàng không</x:v>
      </x:c>
      <x:c r="I259" s="14" t="str">
        <x:v>Điều 3,27,37</x:v>
      </x:c>
      <x:c r="J259" s="14" t="str">
        <x:v>P1</x:v>
      </x:c>
      <x:c r="K259" s="14" t="str">
        <x:v>Chưa bắt đầu</x:v>
      </x:c>
      <x:c r="L259" s="14" t="str"/>
      <x:c r="M259" s="14" t="str">
        <x:v>Sổ tiếp nhận báo cáo, dashboard, báo cáo phân tích xu hướng</x:v>
      </x:c>
      <x:c r="N259" s="14" t="str">
        <x:v>Tổng 1 nhiệm vụ liên quan.</x:v>
      </x:c>
    </x:row>
    <x:row r="260">
      <x:c r="A260" s="14" t="str">
        <x:v>PROC-0259</x:v>
      </x:c>
      <x:c r="B260" s="14" t="str">
        <x:v>VATM-0444</x:v>
      </x:c>
      <x:c r="C260" s="14" t="str">
        <x:v>An ninh hàng không</x:v>
      </x:c>
      <x:c r="D260" s="14" t="str">
        <x:v>An ninh hệ thống CNS/ATM/CNTT</x:v>
      </x:c>
      <x:c r="E260" s="14" t="str">
        <x:v>Quy trình tham gia nhóm công tác liên ngành</x:v>
      </x:c>
      <x:c r="F260" s="14" t="str">
        <x:v>Quy trình/SOP</x:v>
      </x:c>
      <x:c r="G260" s="14" t="str">
        <x:v>Ban An ninh hàng không; Văn phòng - Pháp chế; Trung tâm Thông báo tin tức hàng không</x:v>
      </x:c>
      <x:c r="H260" s="14" t="str">
        <x:v>Các Công ty Quản lý bay khu vực Bắc/Trung/Nam; Ban An ninh hàng không</x:v>
      </x:c>
      <x:c r="I260" s="14" t="str">
        <x:v>Điều 53-54</x:v>
      </x:c>
      <x:c r="J260" s="14" t="str">
        <x:v>P2</x:v>
      </x:c>
      <x:c r="K260" s="14" t="str">
        <x:v>Chưa bắt đầu</x:v>
      </x:c>
      <x:c r="L260" s="14" t="str"/>
      <x:c r="M260" s="14" t="str">
        <x:v>Biên bản họp, văn bản góp ý, báo cáo kỹ thuật</x:v>
      </x:c>
      <x:c r="N260" s="14" t="str">
        <x:v>Tổng 1 nhiệm vụ liên quan.</x:v>
      </x:c>
    </x:row>
    <x:row r="261">
      <x:c r="A261" s="14" t="str">
        <x:v>PROC-0260</x:v>
      </x:c>
      <x:c r="B261" s="14" t="str">
        <x:v>VATM-0444</x:v>
      </x:c>
      <x:c r="C261" s="14" t="str">
        <x:v>An ninh hàng không</x:v>
      </x:c>
      <x:c r="D261" s="14" t="str">
        <x:v>An ninh hệ thống CNS/ATM/CNTT</x:v>
      </x:c>
      <x:c r="E261" s="14" t="str">
        <x:v>Mẫu phiếu góp ý chính sách liên ngành</x:v>
      </x:c>
      <x:c r="F261" s="14" t="str">
        <x:v>Biểu mẫu/Checklist</x:v>
      </x:c>
      <x:c r="G261" s="14" t="str">
        <x:v>Ban An ninh hàng không; Văn phòng - Pháp chế; Trung tâm Thông báo tin tức hàng không</x:v>
      </x:c>
      <x:c r="H261" s="14" t="str">
        <x:v>Các Công ty Quản lý bay khu vực Bắc/Trung/Nam; Ban An ninh hàng không</x:v>
      </x:c>
      <x:c r="I261" s="14" t="str">
        <x:v>Điều 53-54</x:v>
      </x:c>
      <x:c r="J261" s="14" t="str">
        <x:v>P2</x:v>
      </x:c>
      <x:c r="K261" s="14" t="str">
        <x:v>Chưa bắt đầu</x:v>
      </x:c>
      <x:c r="L261" s="14" t="str"/>
      <x:c r="M261" s="14" t="str">
        <x:v>Biên bản họp, văn bản góp ý, báo cáo kỹ thuật</x:v>
      </x:c>
      <x:c r="N261" s="14" t="str">
        <x:v>Tổng 1 nhiệm vụ liên quan.</x:v>
      </x:c>
    </x:row>
    <x:row r="262">
      <x:c r="A262" s="14" t="str">
        <x:v>PROC-0261</x:v>
      </x:c>
      <x:c r="B262" s="14" t="str">
        <x:v>VATM-0445</x:v>
      </x:c>
      <x:c r="C262" s="14" t="str">
        <x:v>An ninh hàng không</x:v>
      </x:c>
      <x:c r="D262" s="14" t="str">
        <x:v>Ứng phó sự cố/diễn tập ANHK</x:v>
      </x:c>
      <x:c r="E262" s="14" t="str">
        <x:v>SOP phối hợp bảo vệ công trình ANS ngoài cảng</x:v>
      </x:c>
      <x:c r="F262" s="14" t="str">
        <x:v>Quy trình/SOP</x:v>
      </x:c>
      <x:c r="G262" s="14" t="str">
        <x:v>Ban An ninh hàng không; Ban Kỹ thuật - CNS/IT/Môi trường; Các Công ty Quản lý bay khu vực Bắc/Trung/Nam</x:v>
      </x:c>
      <x:c r="H262" s="14" t="str">
        <x:v>Các Công ty Quản lý bay khu vực Bắc/Trung/Nam; Ban An ninh hàng không</x:v>
      </x:c>
      <x:c r="I262" s="14" t="str">
        <x:v>Điều 67-68, Phụ lục I-II</x:v>
      </x:c>
      <x:c r="J262" s="14" t="str">
        <x:v>P1</x:v>
      </x:c>
      <x:c r="K262" s="14" t="str">
        <x:v>Chưa bắt đầu</x:v>
      </x:c>
      <x:c r="L262" s="14" t="str"/>
      <x:c r="M262" s="14" t="str">
        <x:v>Quy chế phối hợp, biên bản kiểm tra, danh bạ trực</x:v>
      </x:c>
      <x:c r="N262" s="14" t="str">
        <x:v>Tổng 1 nhiệm vụ liên quan.</x:v>
      </x:c>
    </x:row>
    <x:row r="263">
      <x:c r="A263" s="14" t="str">
        <x:v>PROC-0262</x:v>
      </x:c>
      <x:c r="B263" s="14" t="str">
        <x:v>VATM-0445</x:v>
      </x:c>
      <x:c r="C263" s="14" t="str">
        <x:v>An ninh hàng không</x:v>
      </x:c>
      <x:c r="D263" s="14" t="str">
        <x:v>Ứng phó sự cố/diễn tập ANHK</x:v>
      </x:c>
      <x:c r="E263" s="14" t="str">
        <x:v>Mẫu quy chế phối hợp địa phương</x:v>
      </x:c>
      <x:c r="F263" s="14" t="str">
        <x:v>Quy trình/SOP</x:v>
      </x:c>
      <x:c r="G263" s="14" t="str">
        <x:v>Ban An ninh hàng không; Ban Kỹ thuật - CNS/IT/Môi trường; Các Công ty Quản lý bay khu vực Bắc/Trung/Nam</x:v>
      </x:c>
      <x:c r="H263" s="14" t="str">
        <x:v>Các Công ty Quản lý bay khu vực Bắc/Trung/Nam; Ban An ninh hàng không</x:v>
      </x:c>
      <x:c r="I263" s="14" t="str">
        <x:v>Điều 67-68, Phụ lục I-II</x:v>
      </x:c>
      <x:c r="J263" s="14" t="str">
        <x:v>P1</x:v>
      </x:c>
      <x:c r="K263" s="14" t="str">
        <x:v>Chưa bắt đầu</x:v>
      </x:c>
      <x:c r="L263" s="14" t="str"/>
      <x:c r="M263" s="14" t="str">
        <x:v>Quy chế phối hợp, biên bản kiểm tra, danh bạ trực</x:v>
      </x:c>
      <x:c r="N263" s="14" t="str">
        <x:v>Tổng 1 nhiệm vụ liên quan.</x:v>
      </x:c>
    </x:row>
    <x:row r="264">
      <x:c r="A264" s="14" t="str">
        <x:v>PROC-0263</x:v>
      </x:c>
      <x:c r="B264" s="14" t="str">
        <x:v>VATM-0446</x:v>
      </x:c>
      <x:c r="C264" s="14" t="str">
        <x:v>An ninh hàng không</x:v>
      </x:c>
      <x:c r="D264" s="14" t="str">
        <x:v>Khu vực hạn chế/kiểm soát ra vào</x:v>
      </x:c>
      <x:c r="E264" s="14" t="str">
        <x:v>Quy trình quản lý nhà thầu bảo vệ cơ sở ANS</x:v>
      </x:c>
      <x:c r="F264" s="14" t="str">
        <x:v>Quy trình/SOP</x:v>
      </x:c>
      <x:c r="G264" s="14" t="str">
        <x:v>Ban An ninh hàng không</x:v>
      </x:c>
      <x:c r="H264" s="14" t="str">
        <x:v>Các Công ty Quản lý bay khu vực Bắc/Trung/Nam; Ban An ninh hàng không</x:v>
      </x:c>
      <x:c r="I264" s="14" t="str">
        <x:v>Điều 6,38-40</x:v>
      </x:c>
      <x:c r="J264" s="14" t="str">
        <x:v>P1</x:v>
      </x:c>
      <x:c r="K264" s="14" t="str">
        <x:v>Chưa bắt đầu</x:v>
      </x:c>
      <x:c r="L264" s="14" t="str"/>
      <x:c r="M264" s="14" t="str">
        <x:v>Hợp đồng, hồ sơ nhân sự bảo vệ, biên bản huấn luyện</x:v>
      </x:c>
      <x:c r="N264" s="14" t="str">
        <x:v>Tổng 1 nhiệm vụ liên quan.</x:v>
      </x:c>
    </x:row>
    <x:row r="265">
      <x:c r="A265" s="14" t="str">
        <x:v>PROC-0264</x:v>
      </x:c>
      <x:c r="B265" s="14" t="str">
        <x:v>VATM-0446</x:v>
      </x:c>
      <x:c r="C265" s="14" t="str">
        <x:v>An ninh hàng không</x:v>
      </x:c>
      <x:c r="D265" s="14" t="str">
        <x:v>Khu vực hạn chế/kiểm soát ra vào</x:v>
      </x:c>
      <x:c r="E265" s="14" t="str">
        <x:v>Checklist hợp đồng bảo vệ theo AVSEC</x:v>
      </x:c>
      <x:c r="F265" s="14" t="str">
        <x:v>Biểu mẫu/Checklist</x:v>
      </x:c>
      <x:c r="G265" s="14" t="str">
        <x:v>Ban An ninh hàng không</x:v>
      </x:c>
      <x:c r="H265" s="14" t="str">
        <x:v>Các Công ty Quản lý bay khu vực Bắc/Trung/Nam; Ban An ninh hàng không</x:v>
      </x:c>
      <x:c r="I265" s="14" t="str">
        <x:v>Điều 6,38-40</x:v>
      </x:c>
      <x:c r="J265" s="14" t="str">
        <x:v>P1</x:v>
      </x:c>
      <x:c r="K265" s="14" t="str">
        <x:v>Chưa bắt đầu</x:v>
      </x:c>
      <x:c r="L265" s="14" t="str"/>
      <x:c r="M265" s="14" t="str">
        <x:v>Hợp đồng, hồ sơ nhân sự bảo vệ, biên bản huấn luyện</x:v>
      </x:c>
      <x:c r="N265" s="14" t="str">
        <x:v>Tổng 1 nhiệm vụ liên quan.</x:v>
      </x:c>
    </x:row>
    <x:row r="266">
      <x:c r="A266" s="14" t="str">
        <x:v>PROC-0265</x:v>
      </x:c>
      <x:c r="B266" s="14" t="str">
        <x:v>VATM-0447</x:v>
      </x:c>
      <x:c r="C266" s="14" t="str">
        <x:v>An ninh hàng không</x:v>
      </x:c>
      <x:c r="D266" s="14" t="str">
        <x:v>Khu vực hạn chế/kiểm soát ra vào</x:v>
      </x:c>
      <x:c r="E266" s="14" t="str">
        <x:v>SOP xử lý người gây rối tại cơ sở điều hành bay</x:v>
      </x:c>
      <x:c r="F266" s="14" t="str">
        <x:v>Quy trình/SOP</x:v>
      </x:c>
      <x:c r="G266" s="14" t="str">
        <x:v>Ban An ninh hàng không; Văn phòng - Pháp chế</x:v>
      </x:c>
      <x:c r="H266" s="14" t="str">
        <x:v>Các Công ty Quản lý bay khu vực Bắc/Trung/Nam; Ban An ninh hàng không</x:v>
      </x:c>
      <x:c r="I266" s="14" t="str">
        <x:v>Điều 21,40</x:v>
      </x:c>
      <x:c r="J266" s="14" t="str">
        <x:v>P1</x:v>
      </x:c>
      <x:c r="K266" s="14" t="str">
        <x:v>Chưa bắt đầu</x:v>
      </x:c>
      <x:c r="L266" s="14" t="str"/>
      <x:c r="M266" s="14" t="str">
        <x:v>Biên bản vụ việc, camera, nhật ký ca trực, bàn giao đối tượng</x:v>
      </x:c>
      <x:c r="N266" s="14" t="str">
        <x:v>Tổng 1 nhiệm vụ liên quan.</x:v>
      </x:c>
    </x:row>
    <x:row r="267">
      <x:c r="A267" s="14" t="str">
        <x:v>PROC-0266</x:v>
      </x:c>
      <x:c r="B267" s="14" t="str">
        <x:v>VATM-0447</x:v>
      </x:c>
      <x:c r="C267" s="14" t="str">
        <x:v>An ninh hàng không</x:v>
      </x:c>
      <x:c r="D267" s="14" t="str">
        <x:v>Khu vực hạn chế/kiểm soát ra vào</x:v>
      </x:c>
      <x:c r="E267" s="14" t="str">
        <x:v>Mẫu biên bản người gây rối/đe dọa</x:v>
      </x:c>
      <x:c r="F267" s="14" t="str">
        <x:v>Biểu mẫu/Checklist</x:v>
      </x:c>
      <x:c r="G267" s="14" t="str">
        <x:v>Ban An ninh hàng không; Văn phòng - Pháp chế</x:v>
      </x:c>
      <x:c r="H267" s="14" t="str">
        <x:v>Các Công ty Quản lý bay khu vực Bắc/Trung/Nam; Ban An ninh hàng không</x:v>
      </x:c>
      <x:c r="I267" s="14" t="str">
        <x:v>Điều 21,40</x:v>
      </x:c>
      <x:c r="J267" s="14" t="str">
        <x:v>P1</x:v>
      </x:c>
      <x:c r="K267" s="14" t="str">
        <x:v>Chưa bắt đầu</x:v>
      </x:c>
      <x:c r="L267" s="14" t="str"/>
      <x:c r="M267" s="14" t="str">
        <x:v>Biên bản vụ việc, camera, nhật ký ca trực, bàn giao đối tượng</x:v>
      </x:c>
      <x:c r="N267" s="14" t="str">
        <x:v>Tổng 1 nhiệm vụ liên quan.</x:v>
      </x:c>
    </x:row>
    <x:row r="268">
      <x:c r="A268" s="14" t="str">
        <x:v>PROC-0267</x:v>
      </x:c>
      <x:c r="B268" s="14" t="str">
        <x:v>VATM-0448</x:v>
      </x:c>
      <x:c r="C268" s="14" t="str">
        <x:v>An ninh hàng không</x:v>
      </x:c>
      <x:c r="D268" s="14" t="str">
        <x:v>Ứng phó sự cố/diễn tập ANHK</x:v>
      </x:c>
      <x:c r="E268" s="14" t="str">
        <x:v>SOP xử lý UAV xâm nhập tại cơ sở/không phận cảng</x:v>
      </x:c>
      <x:c r="F268" s="14" t="str">
        <x:v>Quy trình/SOP</x:v>
      </x:c>
      <x:c r="G268" s="14" t="str">
        <x:v>Ban An ninh hàng không; Ban Kỹ thuật - CNS/IT/Môi trường</x:v>
      </x:c>
      <x:c r="H268" s="14" t="str">
        <x:v>Các Công ty Quản lý bay khu vực Bắc/Trung/Nam; Ban Không lưu; Ban Kỹ thuật - CNS/IT/Môi trường; Ban An ninh hàng không</x:v>
      </x:c>
      <x:c r="I268" s="14" t="str">
        <x:v>Điều 29,37,Phụ lục II</x:v>
      </x:c>
      <x:c r="J268" s="14" t="str">
        <x:v>P1</x:v>
      </x:c>
      <x:c r="K268" s="14" t="str">
        <x:v>Chưa bắt đầu</x:v>
      </x:c>
      <x:c r="L268" s="14" t="str"/>
      <x:c r="M268" s="14" t="str">
        <x:v>Báo cáo phát hiện UAV, nhật ký ATC, NOTAM, biên bản phối hợp</x:v>
      </x:c>
      <x:c r="N268" s="14" t="str">
        <x:v>Tổng 1 nhiệm vụ liên quan.</x:v>
      </x:c>
    </x:row>
    <x:row r="269">
      <x:c r="A269" s="14" t="str">
        <x:v>PROC-0268</x:v>
      </x:c>
      <x:c r="B269" s="14" t="str">
        <x:v>VATM-0448</x:v>
      </x:c>
      <x:c r="C269" s="14" t="str">
        <x:v>An ninh hàng không</x:v>
      </x:c>
      <x:c r="D269" s="14" t="str">
        <x:v>Ứng phó sự cố/diễn tập ANHK</x:v>
      </x:c>
      <x:c r="E269" s="14" t="str">
        <x:v>Checklist ATC xử lý UAV</x:v>
      </x:c>
      <x:c r="F269" s="14" t="str">
        <x:v>Biểu mẫu/Checklist</x:v>
      </x:c>
      <x:c r="G269" s="14" t="str">
        <x:v>Ban An ninh hàng không; Ban Kỹ thuật - CNS/IT/Môi trường</x:v>
      </x:c>
      <x:c r="H269" s="14" t="str">
        <x:v>Các Công ty Quản lý bay khu vực Bắc/Trung/Nam; Ban Không lưu; Ban Kỹ thuật - CNS/IT/Môi trường; Ban An ninh hàng không</x:v>
      </x:c>
      <x:c r="I269" s="14" t="str">
        <x:v>Điều 29,37,Phụ lục II</x:v>
      </x:c>
      <x:c r="J269" s="14" t="str">
        <x:v>P1</x:v>
      </x:c>
      <x:c r="K269" s="14" t="str">
        <x:v>Chưa bắt đầu</x:v>
      </x:c>
      <x:c r="L269" s="14" t="str"/>
      <x:c r="M269" s="14" t="str">
        <x:v>Báo cáo phát hiện UAV, nhật ký ATC, NOTAM, biên bản phối hợp</x:v>
      </x:c>
      <x:c r="N269" s="14" t="str">
        <x:v>Tổng 1 nhiệm vụ liên quan.</x:v>
      </x:c>
    </x:row>
    <x:row r="270">
      <x:c r="A270" s="14" t="str">
        <x:v>PROC-0269</x:v>
      </x:c>
      <x:c r="B270" s="14" t="str">
        <x:v>VATM-0449</x:v>
      </x:c>
      <x:c r="C270" s="14" t="str">
        <x:v>An ninh hàng không</x:v>
      </x:c>
      <x:c r="D270" s="14" t="str">
        <x:v>Ứng phó sự cố/diễn tập ANHK</x:v>
      </x:c>
      <x:c r="E270" s="14" t="str">
        <x:v>Quy trình liên kết AVSEC-contingency ANS</x:v>
      </x:c>
      <x:c r="F270" s="14" t="str">
        <x:v>Quy trình/SOP</x:v>
      </x:c>
      <x:c r="G270" s="14" t="str">
        <x:v>Ban An ninh hàng không; Ban Kỹ thuật - CNS/IT/Môi trường</x:v>
      </x:c>
      <x:c r="H270" s="14" t="str">
        <x:v>Các Công ty Quản lý bay khu vực Bắc/Trung/Nam; Ban Kỹ thuật - CNS/IT/Môi trường; Ban An ninh hàng không</x:v>
      </x:c>
      <x:c r="I270" s="14" t="str">
        <x:v>Điều 28,29,36</x:v>
      </x:c>
      <x:c r="J270" s="14" t="str">
        <x:v>P1</x:v>
      </x:c>
      <x:c r="K270" s="14" t="str">
        <x:v>Chưa bắt đầu</x:v>
      </x:c>
      <x:c r="L270" s="14" t="str"/>
      <x:c r="M270" s="14" t="str">
        <x:v>Kế hoạch contingency, biên bản thử, báo cáo khôi phục</x:v>
      </x:c>
      <x:c r="N270" s="14" t="str">
        <x:v>Tổng 1 nhiệm vụ liên quan.</x:v>
      </x:c>
    </x:row>
    <x:row r="271">
      <x:c r="A271" s="14" t="str">
        <x:v>PROC-0270</x:v>
      </x:c>
      <x:c r="B271" s="14" t="str">
        <x:v>VATM-0449</x:v>
      </x:c>
      <x:c r="C271" s="14" t="str">
        <x:v>An ninh hàng không</x:v>
      </x:c>
      <x:c r="D271" s="14" t="str">
        <x:v>Ứng phó sự cố/diễn tập ANHK</x:v>
      </x:c>
      <x:c r="E271" s="14" t="str">
        <x:v>Mẫu trigger matrix chuyển dự phòng</x:v>
      </x:c>
      <x:c r="F271" s="14" t="str">
        <x:v>Biểu mẫu/Checklist</x:v>
      </x:c>
      <x:c r="G271" s="14" t="str">
        <x:v>Ban An ninh hàng không; Ban Kỹ thuật - CNS/IT/Môi trường</x:v>
      </x:c>
      <x:c r="H271" s="14" t="str">
        <x:v>Các Công ty Quản lý bay khu vực Bắc/Trung/Nam; Ban Kỹ thuật - CNS/IT/Môi trường; Ban An ninh hàng không</x:v>
      </x:c>
      <x:c r="I271" s="14" t="str">
        <x:v>Điều 28,29,36</x:v>
      </x:c>
      <x:c r="J271" s="14" t="str">
        <x:v>P1</x:v>
      </x:c>
      <x:c r="K271" s="14" t="str">
        <x:v>Chưa bắt đầu</x:v>
      </x:c>
      <x:c r="L271" s="14" t="str"/>
      <x:c r="M271" s="14" t="str">
        <x:v>Kế hoạch contingency, biên bản thử, báo cáo khôi phục</x:v>
      </x:c>
      <x:c r="N271" s="14" t="str">
        <x:v>Tổng 1 nhiệm vụ liên quan.</x:v>
      </x:c>
    </x:row>
    <x:row r="272">
      <x:c r="A272" s="14" t="str">
        <x:v>PROC-0271</x:v>
      </x:c>
      <x:c r="B272" s="14" t="str">
        <x:v>VATM-0450</x:v>
      </x:c>
      <x:c r="C272" s="14" t="str">
        <x:v>An ninh hàng không</x:v>
      </x:c>
      <x:c r="D272" s="14" t="str">
        <x:v>Ứng phó sự cố/diễn tập ANHK</x:v>
      </x:c>
      <x:c r="E272" s="14" t="str">
        <x:v>Quy trình diễn tập cyber/infosec AVSEC</x:v>
      </x:c>
      <x:c r="F272" s="14" t="str">
        <x:v>Quy trình/SOP</x:v>
      </x:c>
      <x:c r="G272" s="14" t="str">
        <x:v>Ban An ninh hàng không; Ban Kế hoạch doanh nghiệp - Chuyển đổi số; Ban Kỹ thuật - CNS/IT/Môi trường</x:v>
      </x:c>
      <x:c r="H272" s="14" t="str">
        <x:v>Các Công ty Quản lý bay khu vực Bắc/Trung/Nam; Ban An ninh hàng không</x:v>
      </x:c>
      <x:c r="I272" s="14" t="str">
        <x:v>Điều 24,26,37</x:v>
      </x:c>
      <x:c r="J272" s="14" t="str">
        <x:v>P1</x:v>
      </x:c>
      <x:c r="K272" s="14" t="str">
        <x:v>Chưa bắt đầu</x:v>
      </x:c>
      <x:c r="L272" s="14" t="str"/>
      <x:c r="M272" s="14" t="str">
        <x:v>Biên bản diễn tập, log phát hiện, CAPA</x:v>
      </x:c>
      <x:c r="N272" s="14" t="str">
        <x:v>Tổng 1 nhiệm vụ liên quan.</x:v>
      </x:c>
    </x:row>
    <x:row r="273">
      <x:c r="A273" s="14" t="str">
        <x:v>PROC-0272</x:v>
      </x:c>
      <x:c r="B273" s="14" t="str">
        <x:v>VATM-0450</x:v>
      </x:c>
      <x:c r="C273" s="14" t="str">
        <x:v>An ninh hàng không</x:v>
      </x:c>
      <x:c r="D273" s="14" t="str">
        <x:v>Ứng phó sự cố/diễn tập ANHK</x:v>
      </x:c>
      <x:c r="E273" s="14" t="str">
        <x:v>Kịch bản diễn tập lộ lọt tài liệu an ninh</x:v>
      </x:c>
      <x:c r="F273" s="14" t="str">
        <x:v>Khác</x:v>
      </x:c>
      <x:c r="G273" s="14" t="str">
        <x:v>Ban An ninh hàng không; Ban Kế hoạch doanh nghiệp - Chuyển đổi số; Ban Kỹ thuật - CNS/IT/Môi trường</x:v>
      </x:c>
      <x:c r="H273" s="14" t="str">
        <x:v>Các Công ty Quản lý bay khu vực Bắc/Trung/Nam; Ban An ninh hàng không</x:v>
      </x:c>
      <x:c r="I273" s="14" t="str">
        <x:v>Điều 24,26,37</x:v>
      </x:c>
      <x:c r="J273" s="14" t="str">
        <x:v>P1</x:v>
      </x:c>
      <x:c r="K273" s="14" t="str">
        <x:v>Chưa bắt đầu</x:v>
      </x:c>
      <x:c r="L273" s="14" t="str"/>
      <x:c r="M273" s="14" t="str">
        <x:v>Biên bản diễn tập, log phát hiện, CAPA</x:v>
      </x:c>
      <x:c r="N273" s="14" t="str">
        <x:v>Tổng 1 nhiệm vụ liên quan.</x:v>
      </x:c>
    </x:row>
    <x:row r="274">
      <x:c r="A274" s="14" t="str">
        <x:v>PROC-0273</x:v>
      </x:c>
      <x:c r="B274" s="14" t="str">
        <x:v>VATM-0451</x:v>
      </x:c>
      <x:c r="C274" s="14" t="str">
        <x:v>An ninh hàng không</x:v>
      </x:c>
      <x:c r="D274" s="14" t="str">
        <x:v>An ninh hệ thống CNS/ATM/CNTT</x:v>
      </x:c>
      <x:c r="E274" s="14" t="str">
        <x:v>Quy trình quản lý vị trí nhạy cảm về an ninh</x:v>
      </x:c>
      <x:c r="F274" s="14" t="str">
        <x:v>Quy trình/SOP</x:v>
      </x:c>
      <x:c r="G274" s="14" t="str">
        <x:v>Ban An ninh hàng không</x:v>
      </x:c>
      <x:c r="H274" s="14" t="str">
        <x:v>Các Công ty Quản lý bay khu vực Bắc/Trung/Nam; Ban Kế hoạch doanh nghiệp - Chuyển đổi số; Ban Kỹ thuật - CNS/IT/Môi trường; Ban An ninh hàng không</x:v>
      </x:c>
      <x:c r="I274" s="14" t="str">
        <x:v>Điều 25,39</x:v>
      </x:c>
      <x:c r="J274" s="14" t="str">
        <x:v>P1</x:v>
      </x:c>
      <x:c r="K274" s="14" t="str">
        <x:v>Chưa bắt đầu</x:v>
      </x:c>
      <x:c r="L274" s="14" t="str"/>
      <x:c r="M274" s="14" t="str">
        <x:v>Danh mục vị trí nhạy cảm, hồ sơ kiểm tra, cam kết</x:v>
      </x:c>
      <x:c r="N274" s="14" t="str">
        <x:v>Tổng 1 nhiệm vụ liên quan.</x:v>
      </x:c>
    </x:row>
    <x:row r="275">
      <x:c r="A275" s="14" t="str">
        <x:v>PROC-0274</x:v>
      </x:c>
      <x:c r="B275" s="14" t="str">
        <x:v>VATM-0451</x:v>
      </x:c>
      <x:c r="C275" s="14" t="str">
        <x:v>An ninh hàng không</x:v>
      </x:c>
      <x:c r="D275" s="14" t="str">
        <x:v>An ninh hệ thống CNS/ATM/CNTT</x:v>
      </x:c>
      <x:c r="E275" s="14" t="str">
        <x:v>Mẫu danh mục vị trí nhạy cảm VATM</x:v>
      </x:c>
      <x:c r="F275" s="14" t="str">
        <x:v>Biểu mẫu/Checklist</x:v>
      </x:c>
      <x:c r="G275" s="14" t="str">
        <x:v>Ban An ninh hàng không</x:v>
      </x:c>
      <x:c r="H275" s="14" t="str">
        <x:v>Các Công ty Quản lý bay khu vực Bắc/Trung/Nam; Ban Kế hoạch doanh nghiệp - Chuyển đổi số; Ban Kỹ thuật - CNS/IT/Môi trường; Ban An ninh hàng không</x:v>
      </x:c>
      <x:c r="I275" s="14" t="str">
        <x:v>Điều 25,39</x:v>
      </x:c>
      <x:c r="J275" s="14" t="str">
        <x:v>P1</x:v>
      </x:c>
      <x:c r="K275" s="14" t="str">
        <x:v>Chưa bắt đầu</x:v>
      </x:c>
      <x:c r="L275" s="14" t="str"/>
      <x:c r="M275" s="14" t="str">
        <x:v>Danh mục vị trí nhạy cảm, hồ sơ kiểm tra, cam kết</x:v>
      </x:c>
      <x:c r="N275" s="14" t="str">
        <x:v>Tổng 1 nhiệm vụ liên quan.</x:v>
      </x:c>
    </x:row>
    <x:row r="276">
      <x:c r="A276" s="14" t="str">
        <x:v>PROC-0275</x:v>
      </x:c>
      <x:c r="B276" s="14" t="str">
        <x:v>VATM-0452</x:v>
      </x:c>
      <x:c r="C276" s="14" t="str">
        <x:v>An ninh hàng không</x:v>
      </x:c>
      <x:c r="D276" s="14" t="str">
        <x:v>Khu vực hạn chế/kiểm soát ra vào</x:v>
      </x:c>
      <x:c r="E276" s="14" t="str">
        <x:v>SOP phân vùng an ninh cơ sở ANS</x:v>
      </x:c>
      <x:c r="F276" s="14" t="str">
        <x:v>Quy trình/SOP</x:v>
      </x:c>
      <x:c r="G276" s="14" t="str">
        <x:v>Ban An ninh hàng không; Các Công ty Quản lý bay khu vực Bắc/Trung/Nam</x:v>
      </x:c>
      <x:c r="H276" s="14" t="str">
        <x:v>Các Công ty Quản lý bay khu vực Bắc/Trung/Nam; Ban Kế hoạch doanh nghiệp - Chuyển đổi số; Ban Kỹ thuật - CNS/IT/Môi trường; Ban An ninh hàng không</x:v>
      </x:c>
      <x:c r="I276" s="14" t="str">
        <x:v>Điều 7,24,26</x:v>
      </x:c>
      <x:c r="J276" s="14" t="str">
        <x:v>P1</x:v>
      </x:c>
      <x:c r="K276" s="14" t="str">
        <x:v>Chưa bắt đầu</x:v>
      </x:c>
      <x:c r="L276" s="14" t="str"/>
      <x:c r="M276" s="14" t="str">
        <x:v>Sơ đồ zoning, quy định ra vào, biên bản kiểm tra</x:v>
      </x:c>
      <x:c r="N276" s="14" t="str">
        <x:v>Tổng 1 nhiệm vụ liên quan.</x:v>
      </x:c>
    </x:row>
    <x:row r="277">
      <x:c r="A277" s="14" t="str">
        <x:v>PROC-0276</x:v>
      </x:c>
      <x:c r="B277" s="14" t="str">
        <x:v>VATM-0452</x:v>
      </x:c>
      <x:c r="C277" s="14" t="str">
        <x:v>An ninh hàng không</x:v>
      </x:c>
      <x:c r="D277" s="14" t="str">
        <x:v>Khu vực hạn chế/kiểm soát ra vào</x:v>
      </x:c>
      <x:c r="E277" s="14" t="str">
        <x:v>Mẫu sơ đồ zoning cơ sở ANS</x:v>
      </x:c>
      <x:c r="F277" s="14" t="str">
        <x:v>Biểu mẫu/Checklist</x:v>
      </x:c>
      <x:c r="G277" s="14" t="str">
        <x:v>Ban An ninh hàng không; Các Công ty Quản lý bay khu vực Bắc/Trung/Nam</x:v>
      </x:c>
      <x:c r="H277" s="14" t="str">
        <x:v>Các Công ty Quản lý bay khu vực Bắc/Trung/Nam; Ban Kế hoạch doanh nghiệp - Chuyển đổi số; Ban Kỹ thuật - CNS/IT/Môi trường; Ban An ninh hàng không</x:v>
      </x:c>
      <x:c r="I277" s="14" t="str">
        <x:v>Điều 7,24,26</x:v>
      </x:c>
      <x:c r="J277" s="14" t="str">
        <x:v>P1</x:v>
      </x:c>
      <x:c r="K277" s="14" t="str">
        <x:v>Chưa bắt đầu</x:v>
      </x:c>
      <x:c r="L277" s="14" t="str"/>
      <x:c r="M277" s="14" t="str">
        <x:v>Sơ đồ zoning, quy định ra vào, biên bản kiểm tra</x:v>
      </x:c>
      <x:c r="N277" s="14" t="str">
        <x:v>Tổng 1 nhiệm vụ liên quan.</x:v>
      </x:c>
    </x:row>
    <x:row r="278">
      <x:c r="A278" s="14" t="str">
        <x:v>PROC-0277</x:v>
      </x:c>
      <x:c r="B278" s="14" t="str">
        <x:v>VATM-0453</x:v>
      </x:c>
      <x:c r="C278" s="14" t="str">
        <x:v>An ninh hàng không</x:v>
      </x:c>
      <x:c r="D278" s="14" t="str">
        <x:v>Khu vực hạn chế/kiểm soát ra vào</x:v>
      </x:c>
      <x:c r="E278" s="14" t="str">
        <x:v>Quy trình điều tra nội bộ sự cố an ninh ANS</x:v>
      </x:c>
      <x:c r="F278" s="14" t="str">
        <x:v>Quy trình/SOP</x:v>
      </x:c>
      <x:c r="G278" s="14" t="str">
        <x:v>Ban An ninh hàng không; Ban An toàn - Chất lượng</x:v>
      </x:c>
      <x:c r="H278" s="14" t="str">
        <x:v>Các Công ty Quản lý bay khu vực Bắc/Trung/Nam; Ban An ninh hàng không</x:v>
      </x:c>
      <x:c r="I278" s="14" t="str">
        <x:v>Điều 27,37,40</x:v>
      </x:c>
      <x:c r="J278" s="14" t="str">
        <x:v>P1</x:v>
      </x:c>
      <x:c r="K278" s="14" t="str">
        <x:v>Chưa bắt đầu</x:v>
      </x:c>
      <x:c r="L278" s="14" t="str"/>
      <x:c r="M278" s="14" t="str">
        <x:v>Báo cáo RCA, biên bản giảng bình, CAPA</x:v>
      </x:c>
      <x:c r="N278" s="14" t="str">
        <x:v>Tổng 1 nhiệm vụ liên quan.</x:v>
      </x:c>
    </x:row>
    <x:row r="279">
      <x:c r="A279" s="14" t="str">
        <x:v>PROC-0278</x:v>
      </x:c>
      <x:c r="B279" s="14" t="str">
        <x:v>VATM-0453</x:v>
      </x:c>
      <x:c r="C279" s="14" t="str">
        <x:v>An ninh hàng không</x:v>
      </x:c>
      <x:c r="D279" s="14" t="str">
        <x:v>Khu vực hạn chế/kiểm soát ra vào</x:v>
      </x:c>
      <x:c r="E279" s="14" t="str">
        <x:v>Mẫu RCA sự cố an ninh</x:v>
      </x:c>
      <x:c r="F279" s="14" t="str">
        <x:v>Biểu mẫu/Checklist</x:v>
      </x:c>
      <x:c r="G279" s="14" t="str">
        <x:v>Ban An ninh hàng không; Ban An toàn - Chất lượng</x:v>
      </x:c>
      <x:c r="H279" s="14" t="str">
        <x:v>Các Công ty Quản lý bay khu vực Bắc/Trung/Nam; Ban An ninh hàng không</x:v>
      </x:c>
      <x:c r="I279" s="14" t="str">
        <x:v>Điều 27,37,40</x:v>
      </x:c>
      <x:c r="J279" s="14" t="str">
        <x:v>P1</x:v>
      </x:c>
      <x:c r="K279" s="14" t="str">
        <x:v>Chưa bắt đầu</x:v>
      </x:c>
      <x:c r="L279" s="14" t="str"/>
      <x:c r="M279" s="14" t="str">
        <x:v>Báo cáo RCA, biên bản giảng bình, CAPA</x:v>
      </x:c>
      <x:c r="N279" s="14" t="str">
        <x:v>Tổng 1 nhiệm vụ liên quan.</x:v>
      </x:c>
    </x:row>
    <x:row r="280">
      <x:c r="A280" s="14" t="str">
        <x:v>PROC-0279</x:v>
      </x:c>
      <x:c r="B280" s="14" t="str">
        <x:v>VATM-0454</x:v>
      </x:c>
      <x:c r="C280" s="14" t="str">
        <x:v>An ninh hàng không</x:v>
      </x:c>
      <x:c r="D280" s="14" t="str">
        <x:v>Quản trị, phối hợp và giám sát ANHK</x:v>
      </x:c>
      <x:c r="E280" s="14" t="str">
        <x:v>SOP sẵn sàng kiểm tra AVSEC tại cơ sở</x:v>
      </x:c>
      <x:c r="F280" s="14" t="str">
        <x:v>Quy trình/SOP</x:v>
      </x:c>
      <x:c r="G280" s="14" t="str">
        <x:v>Ban An ninh hàng không; Các Công ty Quản lý bay khu vực Bắc/Trung/Nam</x:v>
      </x:c>
      <x:c r="H280" s="14" t="str">
        <x:v>Các Công ty Quản lý bay khu vực Bắc/Trung/Nam; Văn phòng - Pháp chế; Ban An ninh hàng không</x:v>
      </x:c>
      <x:c r="I280" s="14" t="str">
        <x:v>Điều 49-52</x:v>
      </x:c>
      <x:c r="J280" s="14" t="str">
        <x:v>P1</x:v>
      </x:c>
      <x:c r="K280" s="14" t="str">
        <x:v>Chưa bắt đầu</x:v>
      </x:c>
      <x:c r="L280" s="14" t="str"/>
      <x:c r="M280" s="14" t="str">
        <x:v>Bộ hồ sơ sẵn sàng kiểm tra, log bàn giao ca, biên bản kiểm tra thử</x:v>
      </x:c>
      <x:c r="N280" s="14" t="str">
        <x:v>Tổng 1 nhiệm vụ liên quan.</x:v>
      </x:c>
    </x:row>
    <x:row r="281">
      <x:c r="A281" s="14" t="str">
        <x:v>PROC-0280</x:v>
      </x:c>
      <x:c r="B281" s="14" t="str">
        <x:v>VATM-0454</x:v>
      </x:c>
      <x:c r="C281" s="14" t="str">
        <x:v>An ninh hàng không</x:v>
      </x:c>
      <x:c r="D281" s="14" t="str">
        <x:v>Quản trị, phối hợp và giám sát ANHK</x:v>
      </x:c>
      <x:c r="E281" s="14" t="str">
        <x:v>Checklist hồ sơ trực AVSEC</x:v>
      </x:c>
      <x:c r="F281" s="14" t="str">
        <x:v>Biểu mẫu/Checklist</x:v>
      </x:c>
      <x:c r="G281" s="14" t="str">
        <x:v>Ban An ninh hàng không; Các Công ty Quản lý bay khu vực Bắc/Trung/Nam</x:v>
      </x:c>
      <x:c r="H281" s="14" t="str">
        <x:v>Các Công ty Quản lý bay khu vực Bắc/Trung/Nam; Văn phòng - Pháp chế; Ban An ninh hàng không</x:v>
      </x:c>
      <x:c r="I281" s="14" t="str">
        <x:v>Điều 49-52</x:v>
      </x:c>
      <x:c r="J281" s="14" t="str">
        <x:v>P1</x:v>
      </x:c>
      <x:c r="K281" s="14" t="str">
        <x:v>Chưa bắt đầu</x:v>
      </x:c>
      <x:c r="L281" s="14" t="str"/>
      <x:c r="M281" s="14" t="str">
        <x:v>Bộ hồ sơ sẵn sàng kiểm tra, log bàn giao ca, biên bản kiểm tra thử</x:v>
      </x:c>
      <x:c r="N281" s="14" t="str">
        <x:v>Tổng 1 nhiệm vụ liên quan.</x:v>
      </x:c>
    </x:row>
    <x:row r="282">
      <x:c r="A282" s="14" t="str">
        <x:v>PROC-0281</x:v>
      </x:c>
      <x:c r="B282" s="14" t="str">
        <x:v>VATM-0455</x:v>
      </x:c>
      <x:c r="C282" s="14" t="str">
        <x:v>An ninh hàng không</x:v>
      </x:c>
      <x:c r="D282" s="14" t="str">
        <x:v>Khu vực hạn chế/kiểm soát ra vào</x:v>
      </x:c>
      <x:c r="E282" s="14" t="str">
        <x:v>Quy trình bảo trì thiết bị an ninh VATM</x:v>
      </x:c>
      <x:c r="F282" s="14" t="str">
        <x:v>Quy trình/SOP</x:v>
      </x:c>
      <x:c r="G282" s="14" t="str">
        <x:v>Ban An ninh hàng không; Ban Kỹ thuật - CNS/IT/Môi trường</x:v>
      </x:c>
      <x:c r="H282" s="14" t="str">
        <x:v>Các Công ty Quản lý bay khu vực Bắc/Trung/Nam; Ban An ninh hàng không</x:v>
      </x:c>
      <x:c r="I282" s="14" t="str">
        <x:v>Điều 55-56</x:v>
      </x:c>
      <x:c r="J282" s="14" t="str">
        <x:v>P1</x:v>
      </x:c>
      <x:c r="K282" s="14" t="str">
        <x:v>Chưa bắt đầu</x:v>
      </x:c>
      <x:c r="L282" s="14" t="str"/>
      <x:c r="M282" s="14" t="str">
        <x:v>Lịch bảo trì, phiếu kiểm tra, biên bản sửa chữa</x:v>
      </x:c>
      <x:c r="N282" s="14" t="str">
        <x:v>Tổng 1 nhiệm vụ liên quan.</x:v>
      </x:c>
    </x:row>
    <x:row r="283">
      <x:c r="A283" s="14" t="str">
        <x:v>PROC-0282</x:v>
      </x:c>
      <x:c r="B283" s="14" t="str">
        <x:v>VATM-0455</x:v>
      </x:c>
      <x:c r="C283" s="14" t="str">
        <x:v>An ninh hàng không</x:v>
      </x:c>
      <x:c r="D283" s="14" t="str">
        <x:v>Khu vực hạn chế/kiểm soát ra vào</x:v>
      </x:c>
      <x:c r="E283" s="14" t="str">
        <x:v>Mẫu phiếu kiểm tra ca thiết bị an ninh</x:v>
      </x:c>
      <x:c r="F283" s="14" t="str">
        <x:v>Biểu mẫu/Checklist</x:v>
      </x:c>
      <x:c r="G283" s="14" t="str">
        <x:v>Ban An ninh hàng không; Ban Kỹ thuật - CNS/IT/Môi trường</x:v>
      </x:c>
      <x:c r="H283" s="14" t="str">
        <x:v>Các Công ty Quản lý bay khu vực Bắc/Trung/Nam; Ban An ninh hàng không</x:v>
      </x:c>
      <x:c r="I283" s="14" t="str">
        <x:v>Điều 55-56</x:v>
      </x:c>
      <x:c r="J283" s="14" t="str">
        <x:v>P1</x:v>
      </x:c>
      <x:c r="K283" s="14" t="str">
        <x:v>Chưa bắt đầu</x:v>
      </x:c>
      <x:c r="L283" s="14" t="str"/>
      <x:c r="M283" s="14" t="str">
        <x:v>Lịch bảo trì, phiếu kiểm tra, biên bản sửa chữa</x:v>
      </x:c>
      <x:c r="N283" s="14" t="str">
        <x:v>Tổng 1 nhiệm vụ liên quan.</x:v>
      </x:c>
    </x:row>
    <x:row r="284">
      <x:c r="A284" s="14" t="str">
        <x:v>PROC-0283</x:v>
      </x:c>
      <x:c r="B284" s="14" t="str">
        <x:v>VATM-0456</x:v>
      </x:c>
      <x:c r="C284" s="14" t="str">
        <x:v>An ninh hàng không</x:v>
      </x:c>
      <x:c r="D284" s="14" t="str">
        <x:v>An ninh hệ thống CNS/ATM/CNTT</x:v>
      </x:c>
      <x:c r="E284" s="14" t="str">
        <x:v>Quy trình quản trị tuân thủ NĐ 215</x:v>
      </x:c>
      <x:c r="F284" s="14" t="str">
        <x:v>Quy trình/SOP</x:v>
      </x:c>
      <x:c r="G284" s="14" t="str">
        <x:v>Ban An ninh hàng không; Văn phòng - Pháp chế</x:v>
      </x:c>
      <x:c r="H284" s="14" t="str">
        <x:v>Các Công ty Quản lý bay khu vực Bắc/Trung/Nam; Ban An ninh hàng không</x:v>
      </x:c>
      <x:c r="I284" s="14" t="str">
        <x:v>Điều 6,7,25,26,29,37-40</x:v>
      </x:c>
      <x:c r="J284" s="14" t="str">
        <x:v>P1</x:v>
      </x:c>
      <x:c r="K284" s="14" t="str">
        <x:v>Chưa bắt đầu</x:v>
      </x:c>
      <x:c r="L284" s="14" t="str"/>
      <x:c r="M284" s="14" t="str">
        <x:v>Dashboard, báo cáo lãnh đạo, biên bản giao ban</x:v>
      </x:c>
      <x:c r="N284" s="14" t="str">
        <x:v>Tổng 1 nhiệm vụ liên quan.</x:v>
      </x:c>
    </x:row>
    <x:row r="285">
      <x:c r="A285" s="14" t="str">
        <x:v>PROC-0284</x:v>
      </x:c>
      <x:c r="B285" s="14" t="str">
        <x:v>VATM-0456</x:v>
      </x:c>
      <x:c r="C285" s="14" t="str">
        <x:v>An ninh hàng không</x:v>
      </x:c>
      <x:c r="D285" s="14" t="str">
        <x:v>An ninh hệ thống CNS/ATM/CNTT</x:v>
      </x:c>
      <x:c r="E285" s="14" t="str">
        <x:v>Mẫu dashboard tuân thủ NĐ 215</x:v>
      </x:c>
      <x:c r="F285" s="14" t="str">
        <x:v>Biểu mẫu/Checklist</x:v>
      </x:c>
      <x:c r="G285" s="14" t="str">
        <x:v>Ban An ninh hàng không; Văn phòng - Pháp chế</x:v>
      </x:c>
      <x:c r="H285" s="14" t="str">
        <x:v>Các Công ty Quản lý bay khu vực Bắc/Trung/Nam; Ban An ninh hàng không</x:v>
      </x:c>
      <x:c r="I285" s="14" t="str">
        <x:v>Điều 6,7,25,26,29,37-40</x:v>
      </x:c>
      <x:c r="J285" s="14" t="str">
        <x:v>P1</x:v>
      </x:c>
      <x:c r="K285" s="14" t="str">
        <x:v>Chưa bắt đầu</x:v>
      </x:c>
      <x:c r="L285" s="14" t="str"/>
      <x:c r="M285" s="14" t="str">
        <x:v>Dashboard, báo cáo lãnh đạo, biên bản giao ban</x:v>
      </x:c>
      <x:c r="N285" s="14" t="str">
        <x:v>Tổng 1 nhiệm vụ liên quan.</x:v>
      </x:c>
    </x:row>
    <x:row r="286">
      <x:c r="A286" s="14" t="str">
        <x:v>PROC-0285</x:v>
      </x:c>
      <x:c r="B286" s="14" t="str">
        <x:v>VATM-0457</x:v>
      </x:c>
      <x:c r="C286" s="14" t="str">
        <x:v>An ninh hàng không</x:v>
      </x:c>
      <x:c r="D286" s="14" t="str">
        <x:v>Khu vực hạn chế/kiểm soát ra vào</x:v>
      </x:c>
      <x:c r="E286" s="14" t="str">
        <x:v>SOP phối hợp an ninh TWR/APP với ACV/Cảng vụ</x:v>
      </x:c>
      <x:c r="F286" s="14" t="str">
        <x:v>Quy trình/SOP</x:v>
      </x:c>
      <x:c r="G286" s="14" t="str">
        <x:v>Ban An ninh hàng không; Các Công ty Quản lý bay khu vực Bắc/Trung/Nam</x:v>
      </x:c>
      <x:c r="H286" s="14" t="str">
        <x:v>Các Công ty Quản lý bay khu vực Bắc/Trung/Nam; Ban An ninh hàng không</x:v>
      </x:c>
      <x:c r="I286" s="14" t="str">
        <x:v>Điều 7,29,38-40</x:v>
      </x:c>
      <x:c r="J286" s="14" t="str">
        <x:v>P1</x:v>
      </x:c>
      <x:c r="K286" s="14" t="str">
        <x:v>Chưa bắt đầu</x:v>
      </x:c>
      <x:c r="L286" s="14" t="str"/>
      <x:c r="M286" s="14" t="str">
        <x:v>Quy chế phối hợp địa phương, sơ đồ ra vào, biên bản hiệp đồng</x:v>
      </x:c>
      <x:c r="N286" s="14" t="str">
        <x:v>Tổng 1 nhiệm vụ liên quan.</x:v>
      </x:c>
    </x:row>
    <x:row r="287">
      <x:c r="A287" s="14" t="str">
        <x:v>PROC-0286</x:v>
      </x:c>
      <x:c r="B287" s="14" t="str">
        <x:v>VATM-0457</x:v>
      </x:c>
      <x:c r="C287" s="14" t="str">
        <x:v>An ninh hàng không</x:v>
      </x:c>
      <x:c r="D287" s="14" t="str">
        <x:v>Khu vực hạn chế/kiểm soát ra vào</x:v>
      </x:c>
      <x:c r="E287" s="14" t="str">
        <x:v>Mẫu phụ lục hiệp đồng an ninh tại sân bay</x:v>
      </x:c>
      <x:c r="F287" s="14" t="str">
        <x:v>Biểu mẫu/Checklist</x:v>
      </x:c>
      <x:c r="G287" s="14" t="str">
        <x:v>Ban An ninh hàng không; Các Công ty Quản lý bay khu vực Bắc/Trung/Nam</x:v>
      </x:c>
      <x:c r="H287" s="14" t="str">
        <x:v>Các Công ty Quản lý bay khu vực Bắc/Trung/Nam; Ban An ninh hàng không</x:v>
      </x:c>
      <x:c r="I287" s="14" t="str">
        <x:v>Điều 7,29,38-40</x:v>
      </x:c>
      <x:c r="J287" s="14" t="str">
        <x:v>P1</x:v>
      </x:c>
      <x:c r="K287" s="14" t="str">
        <x:v>Chưa bắt đầu</x:v>
      </x:c>
      <x:c r="L287" s="14" t="str"/>
      <x:c r="M287" s="14" t="str">
        <x:v>Quy chế phối hợp địa phương, sơ đồ ra vào, biên bản hiệp đồng</x:v>
      </x:c>
      <x:c r="N287" s="14" t="str">
        <x:v>Tổng 1 nhiệm vụ liên quan.</x:v>
      </x:c>
    </x:row>
    <x:row r="288">
      <x:c r="A288" s="14" t="str">
        <x:v>PROC-0287</x:v>
      </x:c>
      <x:c r="B288" s="14" t="str">
        <x:v>VATM-0458</x:v>
      </x:c>
      <x:c r="C288" s="14" t="str">
        <x:v>An ninh hàng không</x:v>
      </x:c>
      <x:c r="D288" s="14" t="str">
        <x:v>Khu vực hạn chế/kiểm soát ra vào</x:v>
      </x:c>
      <x:c r="E288" s="14" t="str">
        <x:v>SOP bảo vệ trạm CNS/radar ngoài cảng</x:v>
      </x:c>
      <x:c r="F288" s="14" t="str">
        <x:v>Quy trình/SOP</x:v>
      </x:c>
      <x:c r="G288" s="14" t="str">
        <x:v>Ban An ninh hàng không; Ban Kỹ thuật - CNS/IT/Môi trường; Các Công ty Quản lý bay khu vực Bắc/Trung/Nam</x:v>
      </x:c>
      <x:c r="H288" s="14" t="str">
        <x:v>Các Công ty Quản lý bay khu vực Bắc/Trung/Nam; Ban An ninh hàng không</x:v>
      </x:c>
      <x:c r="I288" s="14" t="str">
        <x:v>Điều 7,26,29</x:v>
      </x:c>
      <x:c r="J288" s="14" t="str">
        <x:v>P1</x:v>
      </x:c>
      <x:c r="K288" s="14" t="str">
        <x:v>Chưa bắt đầu</x:v>
      </x:c>
      <x:c r="L288" s="14" t="str"/>
      <x:c r="M288" s="14" t="str">
        <x:v>Hồ sơ bảo vệ trạm, biên bản tuần tra, hợp đồng bảo vệ, diễn tập</x:v>
      </x:c>
      <x:c r="N288" s="14" t="str">
        <x:v>Tổng 1 nhiệm vụ liên quan.</x:v>
      </x:c>
    </x:row>
    <x:row r="289">
      <x:c r="A289" s="14" t="str">
        <x:v>PROC-0288</x:v>
      </x:c>
      <x:c r="B289" s="14" t="str">
        <x:v>VATM-0458</x:v>
      </x:c>
      <x:c r="C289" s="14" t="str">
        <x:v>An ninh hàng không</x:v>
      </x:c>
      <x:c r="D289" s="14" t="str">
        <x:v>Khu vực hạn chế/kiểm soát ra vào</x:v>
      </x:c>
      <x:c r="E289" s="14" t="str">
        <x:v>Checklist kiểm tra an ninh trạm ngoài cảng</x:v>
      </x:c>
      <x:c r="F289" s="14" t="str">
        <x:v>Biểu mẫu/Checklist</x:v>
      </x:c>
      <x:c r="G289" s="14" t="str">
        <x:v>Ban An ninh hàng không; Ban Kỹ thuật - CNS/IT/Môi trường; Các Công ty Quản lý bay khu vực Bắc/Trung/Nam</x:v>
      </x:c>
      <x:c r="H289" s="14" t="str">
        <x:v>Các Công ty Quản lý bay khu vực Bắc/Trung/Nam; Ban An ninh hàng không</x:v>
      </x:c>
      <x:c r="I289" s="14" t="str">
        <x:v>Điều 7,26,29</x:v>
      </x:c>
      <x:c r="J289" s="14" t="str">
        <x:v>P1</x:v>
      </x:c>
      <x:c r="K289" s="14" t="str">
        <x:v>Chưa bắt đầu</x:v>
      </x:c>
      <x:c r="L289" s="14" t="str"/>
      <x:c r="M289" s="14" t="str">
        <x:v>Hồ sơ bảo vệ trạm, biên bản tuần tra, hợp đồng bảo vệ, diễn tập</x:v>
      </x:c>
      <x:c r="N289" s="14" t="str">
        <x:v>Tổng 1 nhiệm vụ liên quan.</x:v>
      </x:c>
    </x:row>
    <x:row r="290">
      <x:c r="A290" s="14" t="str">
        <x:v>PROC-0289</x:v>
      </x:c>
      <x:c r="B290" s="14" t="str">
        <x:v>VATM-0459</x:v>
      </x:c>
      <x:c r="C290" s="14" t="str">
        <x:v>An ninh hàng không</x:v>
      </x:c>
      <x:c r="D290" s="14" t="str">
        <x:v>An ninh hệ thống CNS/ATM/CNTT</x:v>
      </x:c>
      <x:c r="E290" s="14" t="str">
        <x:v>Quy trình phê duyệt kết nối hệ thống ANS</x:v>
      </x:c>
      <x:c r="F290" s="14" t="str">
        <x:v>Quy trình/SOP</x:v>
      </x:c>
      <x:c r="G290" s="14" t="str">
        <x:v>Ban An ninh hàng không; Ban Kế hoạch doanh nghiệp - Chuyển đổi số; Ban Kỹ thuật - CNS/IT/Môi trường; Trung tâm Thông báo tin tức hàng không</x:v>
      </x:c>
      <x:c r="H290" s="14" t="str">
        <x:v>Các Công ty Quản lý bay khu vực Bắc/Trung/Nam; Ban An ninh hàng không</x:v>
      </x:c>
      <x:c r="I290" s="14" t="str">
        <x:v>Điều 26,53</x:v>
      </x:c>
      <x:c r="J290" s="14" t="str">
        <x:v>P1</x:v>
      </x:c>
      <x:c r="K290" s="14" t="str">
        <x:v>Chưa bắt đầu</x:v>
      </x:c>
      <x:c r="L290" s="14" t="str"/>
      <x:c r="M290" s="14" t="str">
        <x:v>Báo cáo đánh giá bảo mật, hợp đồng/thỏa thuận, log API</x:v>
      </x:c>
      <x:c r="N290" s="14" t="str">
        <x:v>Tổng 1 nhiệm vụ liên quan.</x:v>
      </x:c>
    </x:row>
    <x:row r="291">
      <x:c r="A291" s="14" t="str">
        <x:v>PROC-0290</x:v>
      </x:c>
      <x:c r="B291" s="14" t="str">
        <x:v>VATM-0459</x:v>
      </x:c>
      <x:c r="C291" s="14" t="str">
        <x:v>An ninh hàng không</x:v>
      </x:c>
      <x:c r="D291" s="14" t="str">
        <x:v>An ninh hệ thống CNS/ATM/CNTT</x:v>
      </x:c>
      <x:c r="E291" s="14" t="str">
        <x:v>Mẫu đánh giá an ninh kết nối</x:v>
      </x:c>
      <x:c r="F291" s="14" t="str">
        <x:v>Biểu mẫu/Checklist</x:v>
      </x:c>
      <x:c r="G291" s="14" t="str">
        <x:v>Ban An ninh hàng không; Ban Kế hoạch doanh nghiệp - Chuyển đổi số; Ban Kỹ thuật - CNS/IT/Môi trường; Trung tâm Thông báo tin tức hàng không</x:v>
      </x:c>
      <x:c r="H291" s="14" t="str">
        <x:v>Các Công ty Quản lý bay khu vực Bắc/Trung/Nam; Ban An ninh hàng không</x:v>
      </x:c>
      <x:c r="I291" s="14" t="str">
        <x:v>Điều 26,53</x:v>
      </x:c>
      <x:c r="J291" s="14" t="str">
        <x:v>P1</x:v>
      </x:c>
      <x:c r="K291" s="14" t="str">
        <x:v>Chưa bắt đầu</x:v>
      </x:c>
      <x:c r="L291" s="14" t="str"/>
      <x:c r="M291" s="14" t="str">
        <x:v>Báo cáo đánh giá bảo mật, hợp đồng/thỏa thuận, log API</x:v>
      </x:c>
      <x:c r="N291" s="14" t="str">
        <x:v>Tổng 1 nhiệm vụ liên quan.</x:v>
      </x:c>
    </x:row>
    <x:row r="292">
      <x:c r="A292" s="14" t="str">
        <x:v>PROC-0291</x:v>
      </x:c>
      <x:c r="B292" s="14" t="str">
        <x:v>VATM-0460</x:v>
      </x:c>
      <x:c r="C292" s="14" t="str">
        <x:v>An ninh hàng không</x:v>
      </x:c>
      <x:c r="D292" s="14" t="str">
        <x:v>Chương trình/kế hoạch ANHK VATM</x:v>
      </x:c>
      <x:c r="E292" s="14" t="str">
        <x:v>Quy chế đầu mối AVSEC cơ sở ANS</x:v>
      </x:c>
      <x:c r="F292" s="14" t="str">
        <x:v>Quy trình/SOP</x:v>
      </x:c>
      <x:c r="G292" s="14" t="str">
        <x:v>Ban An ninh hàng không</x:v>
      </x:c>
      <x:c r="H292" s="14" t="str">
        <x:v>Các Công ty Quản lý bay khu vực Bắc/Trung/Nam; Ban An ninh hàng không</x:v>
      </x:c>
      <x:c r="I292" s="14" t="str">
        <x:v>Điều 6,25,39</x:v>
      </x:c>
      <x:c r="J292" s="14" t="str">
        <x:v>P1</x:v>
      </x:c>
      <x:c r="K292" s="14" t="str">
        <x:v>Chưa bắt đầu</x:v>
      </x:c>
      <x:c r="L292" s="14" t="str"/>
      <x:c r="M292" s="14" t="str">
        <x:v>Quyết định phân công, JD, sơ đồ tổ chức</x:v>
      </x:c>
      <x:c r="N292" s="14" t="str">
        <x:v>Tổng 1 nhiệm vụ liên quan.</x:v>
      </x:c>
    </x:row>
    <x:row r="293">
      <x:c r="A293" s="14" t="str">
        <x:v>PROC-0292</x:v>
      </x:c>
      <x:c r="B293" s="14" t="str">
        <x:v>VATM-0460</x:v>
      </x:c>
      <x:c r="C293" s="14" t="str">
        <x:v>An ninh hàng không</x:v>
      </x:c>
      <x:c r="D293" s="14" t="str">
        <x:v>Chương trình/kế hoạch ANHK VATM</x:v>
      </x:c>
      <x:c r="E293" s="14" t="str">
        <x:v>Mẫu JD đầu mối an ninh cơ sở</x:v>
      </x:c>
      <x:c r="F293" s="14" t="str">
        <x:v>Biểu mẫu/Checklist</x:v>
      </x:c>
      <x:c r="G293" s="14" t="str">
        <x:v>Ban An ninh hàng không</x:v>
      </x:c>
      <x:c r="H293" s="14" t="str">
        <x:v>Các Công ty Quản lý bay khu vực Bắc/Trung/Nam; Ban An ninh hàng không</x:v>
      </x:c>
      <x:c r="I293" s="14" t="str">
        <x:v>Điều 6,25,39</x:v>
      </x:c>
      <x:c r="J293" s="14" t="str">
        <x:v>P1</x:v>
      </x:c>
      <x:c r="K293" s="14" t="str">
        <x:v>Chưa bắt đầu</x:v>
      </x:c>
      <x:c r="L293" s="14" t="str"/>
      <x:c r="M293" s="14" t="str">
        <x:v>Quyết định phân công, JD, sơ đồ tổ chức</x:v>
      </x:c>
      <x:c r="N293" s="14" t="str">
        <x:v>Tổng 1 nhiệm vụ liên quan.</x:v>
      </x:c>
    </x:row>
    <x:row r="294">
      <x:c r="A294" s="14" t="str">
        <x:v>PROC-0293</x:v>
      </x:c>
      <x:c r="B294" s="14" t="str">
        <x:v>VATM-0461</x:v>
      </x:c>
      <x:c r="C294" s="14" t="str">
        <x:v>An ninh hàng không</x:v>
      </x:c>
      <x:c r="D294" s="14" t="str">
        <x:v>An ninh hệ thống CNS/ATM/CNTT</x:v>
      </x:c>
      <x:c r="E294" s="14" t="str">
        <x:v>SOP thông tin liên lạc khẩn nguy AVSEC ANS</x:v>
      </x:c>
      <x:c r="F294" s="14" t="str">
        <x:v>Quy trình/SOP</x:v>
      </x:c>
      <x:c r="G294" s="14" t="str">
        <x:v>Ban An ninh hàng không; Ban Kỹ thuật - CNS/IT/Môi trường</x:v>
      </x:c>
      <x:c r="H294" s="14" t="str">
        <x:v>Các Công ty Quản lý bay khu vực Bắc/Trung/Nam; Ban Không lưu; Ban Kỹ thuật - CNS/IT/Môi trường; Trung tâm Khí tượng hàng không; Trung tâm Thông báo tin tức hàng không; Ban An ninh hàng không</x:v>
      </x:c>
      <x:c r="I294" s="14" t="str">
        <x:v>Điều 29,37,Phụ lục II</x:v>
      </x:c>
      <x:c r="J294" s="14" t="str">
        <x:v>P1</x:v>
      </x:c>
      <x:c r="K294" s="14" t="str">
        <x:v>Chưa bắt đầu</x:v>
      </x:c>
      <x:c r="L294" s="14" t="str"/>
      <x:c r="M294" s="14" t="str">
        <x:v>Biên bản test liên lạc, danh bạ, cấu hình kênh dự phòng</x:v>
      </x:c>
      <x:c r="N294" s="14" t="str">
        <x:v>Tổng 1 nhiệm vụ liên quan.</x:v>
      </x:c>
    </x:row>
    <x:row r="295">
      <x:c r="A295" s="14" t="str">
        <x:v>PROC-0294</x:v>
      </x:c>
      <x:c r="B295" s="14" t="str">
        <x:v>VATM-0461</x:v>
      </x:c>
      <x:c r="C295" s="14" t="str">
        <x:v>An ninh hàng không</x:v>
      </x:c>
      <x:c r="D295" s="14" t="str">
        <x:v>An ninh hệ thống CNS/ATM/CNTT</x:v>
      </x:c>
      <x:c r="E295" s="14" t="str">
        <x:v>Mẫu danh bạ/biên bản test liên lạc</x:v>
      </x:c>
      <x:c r="F295" s="14" t="str">
        <x:v>Biểu mẫu/Checklist</x:v>
      </x:c>
      <x:c r="G295" s="14" t="str">
        <x:v>Ban An ninh hàng không; Ban Kỹ thuật - CNS/IT/Môi trường</x:v>
      </x:c>
      <x:c r="H295" s="14" t="str">
        <x:v>Các Công ty Quản lý bay khu vực Bắc/Trung/Nam; Ban Không lưu; Ban Kỹ thuật - CNS/IT/Môi trường; Trung tâm Khí tượng hàng không; Trung tâm Thông báo tin tức hàng không; Ban An ninh hàng không</x:v>
      </x:c>
      <x:c r="I295" s="14" t="str">
        <x:v>Điều 29,37,Phụ lục II</x:v>
      </x:c>
      <x:c r="J295" s="14" t="str">
        <x:v>P1</x:v>
      </x:c>
      <x:c r="K295" s="14" t="str">
        <x:v>Chưa bắt đầu</x:v>
      </x:c>
      <x:c r="L295" s="14" t="str"/>
      <x:c r="M295" s="14" t="str">
        <x:v>Biên bản test liên lạc, danh bạ, cấu hình kênh dự phòng</x:v>
      </x:c>
      <x:c r="N295" s="14" t="str">
        <x:v>Tổng 1 nhiệm vụ liên quan.</x:v>
      </x:c>
    </x:row>
    <x:row r="296">
      <x:c r="A296" s="14" t="str">
        <x:v>PROC-0295</x:v>
      </x:c>
      <x:c r="B296" s="14" t="str">
        <x:v>VATM-0462</x:v>
      </x:c>
      <x:c r="C296" s="14" t="str">
        <x:v>An ninh hàng không</x:v>
      </x:c>
      <x:c r="D296" s="14" t="str">
        <x:v>Khu vực hạn chế/kiểm soát ra vào</x:v>
      </x:c>
      <x:c r="E296" s="14" t="str">
        <x:v>Quy trình kiểm tra định kỳ an ninh cơ sở ANS</x:v>
      </x:c>
      <x:c r="F296" s="14" t="str">
        <x:v>Quy trình/SOP</x:v>
      </x:c>
      <x:c r="G296" s="14" t="str">
        <x:v>Ban An ninh hàng không; Ban Kế hoạch doanh nghiệp - Chuyển đổi số; Ban Kỹ thuật - CNS/IT/Môi trường</x:v>
      </x:c>
      <x:c r="H296" s="14" t="str">
        <x:v>Các Công ty Quản lý bay khu vực Bắc/Trung/Nam; Ban An ninh hàng không</x:v>
      </x:c>
      <x:c r="I296" s="14" t="str">
        <x:v>Điều 7,26,55-56</x:v>
      </x:c>
      <x:c r="J296" s="14" t="str">
        <x:v>P1</x:v>
      </x:c>
      <x:c r="K296" s="14" t="str">
        <x:v>Chưa bắt đầu</x:v>
      </x:c>
      <x:c r="L296" s="14" t="str"/>
      <x:c r="M296" s="14" t="str">
        <x:v>Checklist kiểm tra, ảnh hiện trường, CAPA</x:v>
      </x:c>
      <x:c r="N296" s="14" t="str">
        <x:v>Tổng 1 nhiệm vụ liên quan.</x:v>
      </x:c>
    </x:row>
    <x:row r="297">
      <x:c r="A297" s="14" t="str">
        <x:v>PROC-0296</x:v>
      </x:c>
      <x:c r="B297" s="14" t="str">
        <x:v>VATM-0462</x:v>
      </x:c>
      <x:c r="C297" s="14" t="str">
        <x:v>An ninh hàng không</x:v>
      </x:c>
      <x:c r="D297" s="14" t="str">
        <x:v>Khu vực hạn chế/kiểm soát ra vào</x:v>
      </x:c>
      <x:c r="E297" s="14" t="str">
        <x:v>Checklist audit an ninh vật lý/kỹ thuật</x:v>
      </x:c>
      <x:c r="F297" s="14" t="str">
        <x:v>Biểu mẫu/Checklist</x:v>
      </x:c>
      <x:c r="G297" s="14" t="str">
        <x:v>Ban An ninh hàng không; Ban Kế hoạch doanh nghiệp - Chuyển đổi số; Ban Kỹ thuật - CNS/IT/Môi trường</x:v>
      </x:c>
      <x:c r="H297" s="14" t="str">
        <x:v>Các Công ty Quản lý bay khu vực Bắc/Trung/Nam; Ban An ninh hàng không</x:v>
      </x:c>
      <x:c r="I297" s="14" t="str">
        <x:v>Điều 7,26,55-56</x:v>
      </x:c>
      <x:c r="J297" s="14" t="str">
        <x:v>P1</x:v>
      </x:c>
      <x:c r="K297" s="14" t="str">
        <x:v>Chưa bắt đầu</x:v>
      </x:c>
      <x:c r="L297" s="14" t="str"/>
      <x:c r="M297" s="14" t="str">
        <x:v>Checklist kiểm tra, ảnh hiện trường, CAPA</x:v>
      </x:c>
      <x:c r="N297" s="14" t="str">
        <x:v>Tổng 1 nhiệm vụ liên quan.</x:v>
      </x:c>
    </x:row>
    <x:row r="298">
      <x:c r="A298" s="14" t="str">
        <x:v>PROC-0297</x:v>
      </x:c>
      <x:c r="B298" s="14" t="str">
        <x:v>VATM-0463</x:v>
      </x:c>
      <x:c r="C298" s="14" t="str">
        <x:v>An ninh hàng không</x:v>
      </x:c>
      <x:c r="D298" s="14" t="str">
        <x:v>Ứng phó sự cố/diễn tập ANHK</x:v>
      </x:c>
      <x:c r="E298" s="14" t="str">
        <x:v>Quy trình đào tạo và diễn tập AVSEC VATM</x:v>
      </x:c>
      <x:c r="F298" s="14" t="str">
        <x:v>Quy trình/SOP</x:v>
      </x:c>
      <x:c r="G298" s="14" t="str">
        <x:v>Ban An ninh hàng không</x:v>
      </x:c>
      <x:c r="H298" s="14" t="str">
        <x:v>Các Công ty Quản lý bay khu vực Bắc/Trung/Nam; Ban An ninh hàng không</x:v>
      </x:c>
      <x:c r="I298" s="14" t="str">
        <x:v>Điều 37,39</x:v>
      </x:c>
      <x:c r="J298" s="14" t="str">
        <x:v>P1</x:v>
      </x:c>
      <x:c r="K298" s="14" t="str">
        <x:v>Chưa bắt đầu</x:v>
      </x:c>
      <x:c r="L298" s="14" t="str"/>
      <x:c r="M298" s="14" t="str">
        <x:v>Kế hoạch đào tạo, giáo án, hồ sơ cấp phép, báo cáo diễn tập</x:v>
      </x:c>
      <x:c r="N298" s="14" t="str">
        <x:v>Tổng 1 nhiệm vụ liên quan.</x:v>
      </x:c>
    </x:row>
    <x:row r="299">
      <x:c r="A299" s="14" t="str">
        <x:v>PROC-0298</x:v>
      </x:c>
      <x:c r="B299" s="14" t="str">
        <x:v>VATM-0463</x:v>
      </x:c>
      <x:c r="C299" s="14" t="str">
        <x:v>An ninh hàng không</x:v>
      </x:c>
      <x:c r="D299" s="14" t="str">
        <x:v>Ứng phó sự cố/diễn tập ANHK</x:v>
      </x:c>
      <x:c r="E299" s="14" t="str">
        <x:v>Ma trận đào tạo AVSEC theo chức danh</x:v>
      </x:c>
      <x:c r="F299" s="14" t="str">
        <x:v>Khác</x:v>
      </x:c>
      <x:c r="G299" s="14" t="str">
        <x:v>Ban An ninh hàng không</x:v>
      </x:c>
      <x:c r="H299" s="14" t="str">
        <x:v>Các Công ty Quản lý bay khu vực Bắc/Trung/Nam; Ban An ninh hàng không</x:v>
      </x:c>
      <x:c r="I299" s="14" t="str">
        <x:v>Điều 37,39</x:v>
      </x:c>
      <x:c r="J299" s="14" t="str">
        <x:v>P1</x:v>
      </x:c>
      <x:c r="K299" s="14" t="str">
        <x:v>Chưa bắt đầu</x:v>
      </x:c>
      <x:c r="L299" s="14" t="str"/>
      <x:c r="M299" s="14" t="str">
        <x:v>Kế hoạch đào tạo, giáo án, hồ sơ cấp phép, báo cáo diễn tập</x:v>
      </x:c>
      <x:c r="N299" s="14" t="str">
        <x:v>Tổng 1 nhiệm vụ liên quan.</x:v>
      </x:c>
    </x:row>
    <x:row r="300">
      <x:c r="A300" s="14" t="str">
        <x:v>PROC-0299</x:v>
      </x:c>
      <x:c r="B300" s="14" t="str">
        <x:v>VATM-0464</x:v>
      </x:c>
      <x:c r="C300" s="14" t="str">
        <x:v>An ninh hàng không</x:v>
      </x:c>
      <x:c r="D300" s="14" t="str">
        <x:v>Khu vực hạn chế/kiểm soát ra vào</x:v>
      </x:c>
      <x:c r="E300" s="14" t="str">
        <x:v>Quy chế phân định KSANHK và bảo vệ cơ sở</x:v>
      </x:c>
      <x:c r="F300" s="14" t="str">
        <x:v>Quy trình/SOP</x:v>
      </x:c>
      <x:c r="G300" s="14" t="str">
        <x:v>Ban An ninh hàng không; Văn phòng - Pháp chế</x:v>
      </x:c>
      <x:c r="H300" s="14" t="str">
        <x:v>Các Công ty Quản lý bay khu vực Bắc/Trung/Nam; Ban An ninh hàng không</x:v>
      </x:c>
      <x:c r="I300" s="14" t="str">
        <x:v>Điều 6,38-40</x:v>
      </x:c>
      <x:c r="J300" s="14" t="str">
        <x:v>P1</x:v>
      </x:c>
      <x:c r="K300" s="14" t="str">
        <x:v>Chưa bắt đầu</x:v>
      </x:c>
      <x:c r="L300" s="14" t="str"/>
      <x:c r="M300" s="14" t="str">
        <x:v>Quy chế, hợp đồng, mô tả công việc, đào tạo</x:v>
      </x:c>
      <x:c r="N300" s="14" t="str">
        <x:v>Tổng 1 nhiệm vụ liên quan.</x:v>
      </x:c>
    </x:row>
    <x:row r="301">
      <x:c r="A301" s="14" t="str">
        <x:v>PROC-0300</x:v>
      </x:c>
      <x:c r="B301" s="14" t="str">
        <x:v>VATM-0464</x:v>
      </x:c>
      <x:c r="C301" s="14" t="str">
        <x:v>An ninh hàng không</x:v>
      </x:c>
      <x:c r="D301" s="14" t="str">
        <x:v>Khu vực hạn chế/kiểm soát ra vào</x:v>
      </x:c>
      <x:c r="E301" s="14" t="str">
        <x:v>Bảng phân quyền KSANHK/bảo vệ</x:v>
      </x:c>
      <x:c r="F301" s="14" t="str">
        <x:v>Khác</x:v>
      </x:c>
      <x:c r="G301" s="14" t="str">
        <x:v>Ban An ninh hàng không; Văn phòng - Pháp chế</x:v>
      </x:c>
      <x:c r="H301" s="14" t="str">
        <x:v>Các Công ty Quản lý bay khu vực Bắc/Trung/Nam; Ban An ninh hàng không</x:v>
      </x:c>
      <x:c r="I301" s="14" t="str">
        <x:v>Điều 6,38-40</x:v>
      </x:c>
      <x:c r="J301" s="14" t="str">
        <x:v>P1</x:v>
      </x:c>
      <x:c r="K301" s="14" t="str">
        <x:v>Chưa bắt đầu</x:v>
      </x:c>
      <x:c r="L301" s="14" t="str"/>
      <x:c r="M301" s="14" t="str">
        <x:v>Quy chế, hợp đồng, mô tả công việc, đào tạo</x:v>
      </x:c>
      <x:c r="N301" s="14" t="str">
        <x:v>Tổng 1 nhiệm vụ liên quan.</x:v>
      </x:c>
    </x:row>
    <x:row r="302">
      <x:c r="A302" s="14" t="str">
        <x:v>PROC-0301</x:v>
      </x:c>
      <x:c r="B302" s="14" t="str">
        <x:v>VATM-0465</x:v>
      </x:c>
      <x:c r="C302" s="14" t="str">
        <x:v>An ninh hàng không</x:v>
      </x:c>
      <x:c r="D302" s="14" t="str">
        <x:v>Khu vực hạn chế/kiểm soát ra vào</x:v>
      </x:c>
      <x:c r="E302" s="14" t="str">
        <x:v>Quy trình kiểm soát văn bản nội bộ theo pháp luật mới</x:v>
      </x:c>
      <x:c r="F302" s="14" t="str">
        <x:v>Quy trình/SOP</x:v>
      </x:c>
      <x:c r="G302" s="14" t="str">
        <x:v>Ban An ninh hàng không; Văn phòng - Pháp chế</x:v>
      </x:c>
      <x:c r="H302" s="14" t="str">
        <x:v>Các Công ty Quản lý bay khu vực Bắc/Trung/Nam; Ban An ninh hàng không</x:v>
      </x:c>
      <x:c r="I302" s="14" t="str">
        <x:v>Điều 6,7,26,55-56</x:v>
      </x:c>
      <x:c r="J302" s="14" t="str">
        <x:v>P1</x:v>
      </x:c>
      <x:c r="K302" s="14" t="str">
        <x:v>Chưa bắt đầu</x:v>
      </x:c>
      <x:c r="L302" s="14" t="str"/>
      <x:c r="M302" s="14" t="str">
        <x:v>Danh mục văn bản, quyết định sửa đổi, bản đối chiếu NĐ 215</x:v>
      </x:c>
      <x:c r="N302" s="14" t="str">
        <x:v>Tổng 1 nhiệm vụ liên quan.</x:v>
      </x:c>
    </x:row>
    <x:row r="303">
      <x:c r="A303" s="14" t="str">
        <x:v>PROC-0302</x:v>
      </x:c>
      <x:c r="B303" s="14" t="str">
        <x:v>VATM-0465</x:v>
      </x:c>
      <x:c r="C303" s="14" t="str">
        <x:v>An ninh hàng không</x:v>
      </x:c>
      <x:c r="D303" s="14" t="str">
        <x:v>Khu vực hạn chế/kiểm soát ra vào</x:v>
      </x:c>
      <x:c r="E303" s="14" t="str">
        <x:v>Mẫu bảng đối chiếu văn bản nội bộ với NĐ 215</x:v>
      </x:c>
      <x:c r="F303" s="14" t="str">
        <x:v>Biểu mẫu/Checklist</x:v>
      </x:c>
      <x:c r="G303" s="14" t="str">
        <x:v>Ban An ninh hàng không; Văn phòng - Pháp chế</x:v>
      </x:c>
      <x:c r="H303" s="14" t="str">
        <x:v>Các Công ty Quản lý bay khu vực Bắc/Trung/Nam; Ban An ninh hàng không</x:v>
      </x:c>
      <x:c r="I303" s="14" t="str">
        <x:v>Điều 6,7,26,55-56</x:v>
      </x:c>
      <x:c r="J303" s="14" t="str">
        <x:v>P1</x:v>
      </x:c>
      <x:c r="K303" s="14" t="str">
        <x:v>Chưa bắt đầu</x:v>
      </x:c>
      <x:c r="L303" s="14" t="str"/>
      <x:c r="M303" s="14" t="str">
        <x:v>Danh mục văn bản, quyết định sửa đổi, bản đối chiếu NĐ 215</x:v>
      </x:c>
      <x:c r="N303" s="14" t="str">
        <x:v>Tổng 1 nhiệm vụ liên quan.</x:v>
      </x:c>
    </x:row>
    <x:row r="304">
      <x:c r="A304" s="14" t="str">
        <x:v>PROC-0303</x:v>
      </x:c>
      <x:c r="B304" s="14" t="str">
        <x:v>VATM-0466</x:v>
      </x:c>
      <x:c r="C304" s="14" t="str">
        <x:v>An ninh hàng không</x:v>
      </x:c>
      <x:c r="D304" s="14" t="str">
        <x:v>An ninh hệ thống CNS/ATM/CNTT</x:v>
      </x:c>
      <x:c r="E304" s="14" t="str">
        <x:v>Quy trình cập nhật pháp luật mới</x:v>
      </x:c>
      <x:c r="F304" s="14" t="str">
        <x:v>Quy trình/SOP</x:v>
      </x:c>
      <x:c r="G304" s="14" t="str">
        <x:v>Ban An ninh hàng không; Văn phòng - Pháp chế</x:v>
      </x:c>
      <x:c r="H304" s="14" t="str">
        <x:v>Các Công ty Quản lý bay khu vực Bắc/Trung/Nam; Ban An ninh hàng không</x:v>
      </x:c>
      <x:c r="I304" s="14" t="str">
        <x:v>Điều 1-2, hiệu lực 01/7/2026</x:v>
      </x:c>
      <x:c r="J304" s="14" t="str">
        <x:v>P1</x:v>
      </x:c>
      <x:c r="K304" s="14" t="str">
        <x:v>Chưa bắt đầu</x:v>
      </x:c>
      <x:c r="L304" s="14" t="str"/>
      <x:c r="M304" s="14" t="str">
        <x:v>Thông báo nội bộ, kế hoạch chuyển đổi, báo cáo tự rà soát</x:v>
      </x:c>
      <x:c r="N304" s="14" t="str">
        <x:v>Tổng 1 nhiệm vụ liên quan.</x:v>
      </x:c>
    </x:row>
    <x:row r="305">
      <x:c r="A305" s="14" t="str">
        <x:v>PROC-0304</x:v>
      </x:c>
      <x:c r="B305" s="14" t="str">
        <x:v>VATM-0466</x:v>
      </x:c>
      <x:c r="C305" s="14" t="str">
        <x:v>An ninh hàng không</x:v>
      </x:c>
      <x:c r="D305" s="14" t="str">
        <x:v>An ninh hệ thống CNS/ATM/CNTT</x:v>
      </x:c>
      <x:c r="E305" s="14" t="str">
        <x:v>Mẫu thông báo pháp luật mới</x:v>
      </x:c>
      <x:c r="F305" s="14" t="str">
        <x:v>Biểu mẫu/Checklist</x:v>
      </x:c>
      <x:c r="G305" s="14" t="str">
        <x:v>Ban An ninh hàng không; Văn phòng - Pháp chế</x:v>
      </x:c>
      <x:c r="H305" s="14" t="str">
        <x:v>Các Công ty Quản lý bay khu vực Bắc/Trung/Nam; Ban An ninh hàng không</x:v>
      </x:c>
      <x:c r="I305" s="14" t="str">
        <x:v>Điều 1-2, hiệu lực 01/7/2026</x:v>
      </x:c>
      <x:c r="J305" s="14" t="str">
        <x:v>P1</x:v>
      </x:c>
      <x:c r="K305" s="14" t="str">
        <x:v>Chưa bắt đầu</x:v>
      </x:c>
      <x:c r="L305" s="14" t="str"/>
      <x:c r="M305" s="14" t="str">
        <x:v>Thông báo nội bộ, kế hoạch chuyển đổi, báo cáo tự rà soát</x:v>
      </x:c>
      <x:c r="N305" s="14" t="str">
        <x:v>Tổng 1 nhiệm vụ liên quan.</x:v>
      </x:c>
    </x:row>
    <x:row r="306">
      <x:c r="A306" s="14" t="str">
        <x:v>PROC-0305</x:v>
      </x:c>
      <x:c r="B306" s="14" t="str">
        <x:v>VATM-0469</x:v>
      </x:c>
      <x:c r="C306" s="14" t="str">
        <x:v>Tuân thủ, dữ liệu &amp; chuyển đổi số</x:v>
      </x:c>
      <x:c r="D306" s="14" t="str">
        <x:v>Hồ sơ điện tử, CSDL và ký số</x:v>
      </x:c>
      <x:c r="E306" s="14" t="str">
        <x:v>Quy trình hồ sơ điện tử</x:v>
      </x:c>
      <x:c r="F306" s="14" t="str">
        <x:v>Quy trình/SOP</x:v>
      </x:c>
      <x:c r="G306" s="14" t="str">
        <x:v>Ban Kế hoạch doanh nghiệp - Chuyển đổi số; Ban Kỹ thuật - CNS/IT/Môi trường; Văn phòng - Pháp chế</x:v>
      </x:c>
      <x:c r="H306" s="14" t="str">
        <x:v>Ban Kế hoạch doanh nghiệp - Chuyển đổi số; Ban Kỹ thuật - CNS/IT/Môi trường; Văn phòng - Pháp chế</x:v>
      </x:c>
      <x:c r="I306" s="14" t="str">
        <x:v>Đ4</x:v>
      </x:c>
      <x:c r="J306" s="14" t="str">
        <x:v>P2</x:v>
      </x:c>
      <x:c r="K306" s="14" t="str">
        <x:v>Chưa bắt đầu</x:v>
      </x:c>
      <x:c r="L306" s="14" t="str"/>
      <x:c r="M306" s="14" t="str">
        <x:v>Quy trình hồ sơ điện tử; mẫu metadata; kho lưu trữ số; 100% hồ sơ có log, số hóa kết quả và khả năng truy xuất; 01 quy trình + cấu hình hệ thống</x:v>
      </x:c>
      <x:c r="N306" s="14" t="str">
        <x:v>Tổng 1 nhiệm vụ liên quan.</x:v>
      </x:c>
    </x:row>
    <x:row r="307">
      <x:c r="A307" s="14" t="str">
        <x:v>PROC-0306</x:v>
      </x:c>
      <x:c r="B307" s="14" t="str">
        <x:v>VATM-0469</x:v>
      </x:c>
      <x:c r="C307" s="14" t="str">
        <x:v>Tuân thủ, dữ liệu &amp; chuyển đổi số</x:v>
      </x:c>
      <x:c r="D307" s="14" t="str">
        <x:v>Hồ sơ điện tử, CSDL và ký số</x:v>
      </x:c>
      <x:c r="E307" s="14" t="str">
        <x:v>01 quy trình + cấu hình hệ thống Quy trình hồ sơ điện tử</x:v>
      </x:c>
      <x:c r="F307" s="14" t="str">
        <x:v>Quy trình/SOP</x:v>
      </x:c>
      <x:c r="G307" s="14" t="str">
        <x:v>Ban Kế hoạch doanh nghiệp - Chuyển đổi số; Ban Kỹ thuật - CNS/IT/Môi trường; Văn phòng - Pháp chế</x:v>
      </x:c>
      <x:c r="H307" s="14" t="str">
        <x:v>Ban Kế hoạch doanh nghiệp - Chuyển đổi số; Ban Kỹ thuật - CNS/IT/Môi trường; Văn phòng - Pháp chế</x:v>
      </x:c>
      <x:c r="I307" s="14" t="str">
        <x:v>Đ4</x:v>
      </x:c>
      <x:c r="J307" s="14" t="str">
        <x:v>P2</x:v>
      </x:c>
      <x:c r="K307" s="14" t="str">
        <x:v>Chưa bắt đầu</x:v>
      </x:c>
      <x:c r="L307" s="14" t="str"/>
      <x:c r="M307" s="14" t="str">
        <x:v>Quy trình hồ sơ điện tử; mẫu metadata; kho lưu trữ số; 100% hồ sơ có log, số hóa kết quả và khả năng truy xuất; 01 quy trình + cấu hình hệ thống</x:v>
      </x:c>
      <x:c r="N307" s="14" t="str">
        <x:v>Tổng 1 nhiệm vụ liên quan.</x:v>
      </x:c>
    </x:row>
    <x:row r="308">
      <x:c r="A308" s="14" t="str">
        <x:v>PROC-0307</x:v>
      </x:c>
      <x:c r="B308" s="14" t="str">
        <x:v>VATM-0469</x:v>
      </x:c>
      <x:c r="C308" s="14" t="str">
        <x:v>Tuân thủ, dữ liệu &amp; chuyển đổi số</x:v>
      </x:c>
      <x:c r="D308" s="14" t="str">
        <x:v>Hồ sơ điện tử, CSDL và ký số</x:v>
      </x:c>
      <x:c r="E308" s="14" t="str">
        <x:v>01 quy trình + cấu hình hệ thống</x:v>
      </x:c>
      <x:c r="F308" s="14" t="str">
        <x:v>Quy trình/SOP</x:v>
      </x:c>
      <x:c r="G308" s="14" t="str">
        <x:v>Ban Kế hoạch doanh nghiệp - Chuyển đổi số; Ban Kỹ thuật - CNS/IT/Môi trường; Văn phòng - Pháp chế</x:v>
      </x:c>
      <x:c r="H308" s="14" t="str">
        <x:v>Ban Kế hoạch doanh nghiệp - Chuyển đổi số; Ban Kỹ thuật - CNS/IT/Môi trường; Văn phòng - Pháp chế</x:v>
      </x:c>
      <x:c r="I308" s="14" t="str">
        <x:v>Đ4</x:v>
      </x:c>
      <x:c r="J308" s="14" t="str">
        <x:v>P2</x:v>
      </x:c>
      <x:c r="K308" s="14" t="str">
        <x:v>Chưa bắt đầu</x:v>
      </x:c>
      <x:c r="L308" s="14" t="str"/>
      <x:c r="M308" s="14" t="str">
        <x:v>Quy trình hồ sơ điện tử; mẫu metadata; kho lưu trữ số; 100% hồ sơ có log, số hóa kết quả và khả năng truy xuất; 01 quy trình + cấu hình hệ thống</x:v>
      </x:c>
      <x:c r="N308" s="14" t="str">
        <x:v>Tổng 1 nhiệm vụ liên quan.</x:v>
      </x:c>
    </x:row>
    <x:row r="309">
      <x:c r="A309" s="14" t="str">
        <x:v>PROC-0308</x:v>
      </x:c>
      <x:c r="B309" s="14" t="str">
        <x:v>VATM-0470</x:v>
      </x:c>
      <x:c r="C309" s="14" t="str">
        <x:v>ANS - ATM/ATS/ATFM</x:v>
      </x:c>
      <x:c r="D309" s="14" t="str">
        <x:v>Cấp phép bay, FPL và xử lý hồ sơ bay</x:v>
      </x:c>
      <x:c r="E309" s="14" t="str">
        <x:v>SOP trực ngoài giờ</x:v>
      </x:c>
      <x:c r="F309" s="14" t="str">
        <x:v>Quy trình/SOP</x:v>
      </x:c>
      <x:c r="G309" s="14" t="str">
        <x:v>Ban Không lưu; Trung tâm Quản lý luồng không lưu</x:v>
      </x:c>
      <x:c r="H309" s="14" t="str">
        <x:v>Các Công ty Quản lý bay khu vực Bắc/Trung/Nam; Ban Không lưu</x:v>
      </x:c>
      <x:c r="I309" s="14" t="str">
        <x:v>Đ14, Đ17, Đ20-24, PL-VII, PL-VIII</x:v>
      </x:c>
      <x:c r="J309" s="14" t="str">
        <x:v>P1</x:v>
      </x:c>
      <x:c r="K309" s="14" t="str">
        <x:v>Chưa bắt đầu</x:v>
      </x:c>
      <x:c r="L309" s="14" t="str"/>
      <x:c r="M309" s="14" t="str">
        <x:v>SOP trực ngoài giờ; ma trận phân quyền; mẫu phản hồi; log xử lý; Không gián đoạn xử lý tình huống thuộc khoản 5 Đ14; 100% hồ sơ lưu vết; 01 SOP + ca trực 24/7</x:v>
      </x:c>
      <x:c r="N309" s="14" t="str">
        <x:v>Tổng 1 nhiệm vụ liên quan.</x:v>
      </x:c>
    </x:row>
    <x:row r="310">
      <x:c r="A310" s="14" t="str">
        <x:v>PROC-0309</x:v>
      </x:c>
      <x:c r="B310" s="14" t="str">
        <x:v>VATM-0470</x:v>
      </x:c>
      <x:c r="C310" s="14" t="str">
        <x:v>ANS - ATM/ATS/ATFM</x:v>
      </x:c>
      <x:c r="D310" s="14" t="str">
        <x:v>Cấp phép bay, FPL và xử lý hồ sơ bay</x:v>
      </x:c>
      <x:c r="E310" s="14" t="str">
        <x:v>01 SOP + ca trực 24/7 SOP trực ngoài giờ</x:v>
      </x:c>
      <x:c r="F310" s="14" t="str">
        <x:v>Quy trình/SOP</x:v>
      </x:c>
      <x:c r="G310" s="14" t="str">
        <x:v>Ban Không lưu; Trung tâm Quản lý luồng không lưu</x:v>
      </x:c>
      <x:c r="H310" s="14" t="str">
        <x:v>Các Công ty Quản lý bay khu vực Bắc/Trung/Nam; Ban Không lưu</x:v>
      </x:c>
      <x:c r="I310" s="14" t="str">
        <x:v>Đ14, Đ17, Đ20-24, PL-VII, PL-VIII</x:v>
      </x:c>
      <x:c r="J310" s="14" t="str">
        <x:v>P1</x:v>
      </x:c>
      <x:c r="K310" s="14" t="str">
        <x:v>Chưa bắt đầu</x:v>
      </x:c>
      <x:c r="L310" s="14" t="str"/>
      <x:c r="M310" s="14" t="str">
        <x:v>SOP trực ngoài giờ; ma trận phân quyền; mẫu phản hồi; log xử lý; Không gián đoạn xử lý tình huống thuộc khoản 5 Đ14; 100% hồ sơ lưu vết; 01 SOP + ca trực 24/7</x:v>
      </x:c>
      <x:c r="N310" s="14" t="str">
        <x:v>Tổng 1 nhiệm vụ liên quan.</x:v>
      </x:c>
    </x:row>
    <x:row r="311">
      <x:c r="A311" s="14" t="str">
        <x:v>PROC-0310</x:v>
      </x:c>
      <x:c r="B311" s="14" t="str">
        <x:v>VATM-0470</x:v>
      </x:c>
      <x:c r="C311" s="14" t="str">
        <x:v>ANS - ATM/ATS/ATFM</x:v>
      </x:c>
      <x:c r="D311" s="14" t="str">
        <x:v>Cấp phép bay, FPL và xử lý hồ sơ bay</x:v>
      </x:c>
      <x:c r="E311" s="14" t="str">
        <x:v>01 SOP + ca trực 24/7</x:v>
      </x:c>
      <x:c r="F311" s="14" t="str">
        <x:v>Quy trình/SOP</x:v>
      </x:c>
      <x:c r="G311" s="14" t="str">
        <x:v>Ban Không lưu; Trung tâm Quản lý luồng không lưu</x:v>
      </x:c>
      <x:c r="H311" s="14" t="str">
        <x:v>Các Công ty Quản lý bay khu vực Bắc/Trung/Nam; Ban Không lưu</x:v>
      </x:c>
      <x:c r="I311" s="14" t="str">
        <x:v>Đ14, Đ17, Đ20-24, PL-VII, PL-VIII</x:v>
      </x:c>
      <x:c r="J311" s="14" t="str">
        <x:v>P1</x:v>
      </x:c>
      <x:c r="K311" s="14" t="str">
        <x:v>Chưa bắt đầu</x:v>
      </x:c>
      <x:c r="L311" s="14" t="str"/>
      <x:c r="M311" s="14" t="str">
        <x:v>SOP trực ngoài giờ; ma trận phân quyền; mẫu phản hồi; log xử lý; Không gián đoạn xử lý tình huống thuộc khoản 5 Đ14; 100% hồ sơ lưu vết; 01 SOP + ca trực 24/7</x:v>
      </x:c>
      <x:c r="N311" s="14" t="str">
        <x:v>Tổng 1 nhiệm vụ liên quan.</x:v>
      </x:c>
    </x:row>
    <x:row r="312">
      <x:c r="A312" s="14" t="str">
        <x:v>PROC-0311</x:v>
      </x:c>
      <x:c r="B312" s="14" t="str">
        <x:v>VATM-0471</x:v>
      </x:c>
      <x:c r="C312" s="14" t="str">
        <x:v>ANS - ATM/ATS/ATFM</x:v>
      </x:c>
      <x:c r="D312" s="14" t="str">
        <x:v>Cấp phép bay, FPL và xử lý hồ sơ bay</x:v>
      </x:c>
      <x:c r="E312" s="14" t="str">
        <x:v>Quy trình phản hồi FPL</x:v>
      </x:c>
      <x:c r="F312" s="14" t="str">
        <x:v>Quy trình/SOP</x:v>
      </x:c>
      <x:c r="G312" s="14" t="str">
        <x:v>Ban Không lưu; Trung tâm Quản lý luồng không lưu</x:v>
      </x:c>
      <x:c r="H312" s="14" t="str">
        <x:v>Ban Không lưu; Các Công ty Quản lý bay khu vực Bắc/Trung/Nam</x:v>
      </x:c>
      <x:c r="I312" s="14" t="str">
        <x:v>Đ17.7</x:v>
      </x:c>
      <x:c r="J312" s="14" t="str">
        <x:v>P1</x:v>
      </x:c>
      <x:c r="K312" s="14" t="str">
        <x:v>Chưa bắt đầu</x:v>
      </x:c>
      <x:c r="L312" s="14" t="str"/>
      <x:c r="M312" s="14" t="str">
        <x:v>Quy trình phản hồi FPL; checklist dữ liệu bắt buộc; báo cáo đối soát; 100% FPL đủ điều kiện được phản hồi đúng quy định; phát hiện và trả lại hồ sơ thiếu dữ liệu; 01 quy trình + biểu mẫu kiểm tra</x:v>
      </x:c>
      <x:c r="N312" s="14" t="str">
        <x:v>Tổng 1 nhiệm vụ liên quan.</x:v>
      </x:c>
    </x:row>
    <x:row r="313">
      <x:c r="A313" s="14" t="str">
        <x:v>PROC-0312</x:v>
      </x:c>
      <x:c r="B313" s="14" t="str">
        <x:v>VATM-0471; VATM-0471</x:v>
      </x:c>
      <x:c r="C313" s="14" t="str">
        <x:v>ANS - ATM/ATS/ATFM</x:v>
      </x:c>
      <x:c r="D313" s="14" t="str">
        <x:v>Cấp phép bay, FPL và xử lý hồ sơ bay</x:v>
      </x:c>
      <x:c r="E313" s="14" t="str">
        <x:v>checklist dữ liệu bắt buộc</x:v>
      </x:c>
      <x:c r="F313" s="14" t="str">
        <x:v>Biểu mẫu/Checklist</x:v>
      </x:c>
      <x:c r="G313" s="14" t="str">
        <x:v>Ban Không lưu; Trung tâm Quản lý luồng không lưu</x:v>
      </x:c>
      <x:c r="H313" s="14" t="str">
        <x:v>Ban Không lưu; Các Công ty Quản lý bay khu vực Bắc/Trung/Nam</x:v>
      </x:c>
      <x:c r="I313" s="14" t="str">
        <x:v>Đ17.7</x:v>
      </x:c>
      <x:c r="J313" s="14" t="str">
        <x:v>P1</x:v>
      </x:c>
      <x:c r="K313" s="14" t="str">
        <x:v>Chưa bắt đầu</x:v>
      </x:c>
      <x:c r="L313" s="14" t="str"/>
      <x:c r="M313" s="14" t="str">
        <x:v>Quy trình phản hồi FPL; checklist dữ liệu bắt buộc; báo cáo đối soát; 100% FPL đủ điều kiện được phản hồi đúng quy định; phát hiện và trả lại hồ sơ thiếu dữ liệu; 01 quy trình + biểu mẫu kiểm tra</x:v>
      </x:c>
      <x:c r="N313" s="14" t="str">
        <x:v>Tổng 2 nhiệm vụ liên quan.</x:v>
      </x:c>
    </x:row>
    <x:row r="314">
      <x:c r="A314" s="14" t="str">
        <x:v>PROC-0313</x:v>
      </x:c>
      <x:c r="B314" s="14" t="str">
        <x:v>VATM-0471</x:v>
      </x:c>
      <x:c r="C314" s="14" t="str">
        <x:v>ANS - ATM/ATS/ATFM</x:v>
      </x:c>
      <x:c r="D314" s="14" t="str">
        <x:v>Cấp phép bay, FPL và xử lý hồ sơ bay</x:v>
      </x:c>
      <x:c r="E314" s="14" t="str">
        <x:v>01 quy trình + biểu mẫu kiểm tra Quy trình phản hồi FPL</x:v>
      </x:c>
      <x:c r="F314" s="14" t="str">
        <x:v>Quy trình/SOP</x:v>
      </x:c>
      <x:c r="G314" s="14" t="str">
        <x:v>Ban Không lưu; Trung tâm Quản lý luồng không lưu</x:v>
      </x:c>
      <x:c r="H314" s="14" t="str">
        <x:v>Ban Không lưu; Các Công ty Quản lý bay khu vực Bắc/Trung/Nam</x:v>
      </x:c>
      <x:c r="I314" s="14" t="str">
        <x:v>Đ17.7</x:v>
      </x:c>
      <x:c r="J314" s="14" t="str">
        <x:v>P1</x:v>
      </x:c>
      <x:c r="K314" s="14" t="str">
        <x:v>Chưa bắt đầu</x:v>
      </x:c>
      <x:c r="L314" s="14" t="str"/>
      <x:c r="M314" s="14" t="str">
        <x:v>Quy trình phản hồi FPL; checklist dữ liệu bắt buộc; báo cáo đối soát; 100% FPL đủ điều kiện được phản hồi đúng quy định; phát hiện và trả lại hồ sơ thiếu dữ liệu; 01 quy trình + biểu mẫu kiểm tra</x:v>
      </x:c>
      <x:c r="N314" s="14" t="str">
        <x:v>Tổng 1 nhiệm vụ liên quan.</x:v>
      </x:c>
    </x:row>
    <x:row r="315">
      <x:c r="A315" s="14" t="str">
        <x:v>PROC-0314</x:v>
      </x:c>
      <x:c r="B315" s="14" t="str">
        <x:v>VATM-0471</x:v>
      </x:c>
      <x:c r="C315" s="14" t="str">
        <x:v>ANS - ATM/ATS/ATFM</x:v>
      </x:c>
      <x:c r="D315" s="14" t="str">
        <x:v>Cấp phép bay, FPL và xử lý hồ sơ bay</x:v>
      </x:c>
      <x:c r="E315" s="14" t="str">
        <x:v>01 quy trình + biểu mẫu kiểm tra</x:v>
      </x:c>
      <x:c r="F315" s="14" t="str">
        <x:v>Quy trình/SOP</x:v>
      </x:c>
      <x:c r="G315" s="14" t="str">
        <x:v>Ban Không lưu; Trung tâm Quản lý luồng không lưu</x:v>
      </x:c>
      <x:c r="H315" s="14" t="str">
        <x:v>Ban Không lưu; Các Công ty Quản lý bay khu vực Bắc/Trung/Nam</x:v>
      </x:c>
      <x:c r="I315" s="14" t="str">
        <x:v>Đ17.7</x:v>
      </x:c>
      <x:c r="J315" s="14" t="str">
        <x:v>P1</x:v>
      </x:c>
      <x:c r="K315" s="14" t="str">
        <x:v>Chưa bắt đầu</x:v>
      </x:c>
      <x:c r="L315" s="14" t="str"/>
      <x:c r="M315" s="14" t="str">
        <x:v>Quy trình phản hồi FPL; checklist dữ liệu bắt buộc; báo cáo đối soát; 100% FPL đủ điều kiện được phản hồi đúng quy định; phát hiện và trả lại hồ sơ thiếu dữ liệu; 01 quy trình + biểu mẫu kiểm tra</x:v>
      </x:c>
      <x:c r="N315" s="14" t="str">
        <x:v>Tổng 1 nhiệm vụ liên quan.</x:v>
      </x:c>
    </x:row>
    <x:row r="316">
      <x:c r="A316" s="14" t="str">
        <x:v>PROC-0315</x:v>
      </x:c>
      <x:c r="B316" s="14" t="str">
        <x:v>VATM-0473</x:v>
      </x:c>
      <x:c r="C316" s="14" t="str">
        <x:v>ANS - ATM/ATS/ATFM</x:v>
      </x:c>
      <x:c r="D316" s="14" t="str">
        <x:v>Cấp phép bay, FPL và xử lý hồ sơ bay</x:v>
      </x:c>
      <x:c r="E316" s="14" t="str">
        <x:v>Quy chế thanh toán</x:v>
      </x:c>
      <x:c r="F316" s="14" t="str">
        <x:v>Quy trình/SOP</x:v>
      </x:c>
      <x:c r="G316" s="14" t="str">
        <x:v>Ban Không lưu; Văn phòng - Pháp chế; Ban Tài chính</x:v>
      </x:c>
      <x:c r="H316" s="14" t="str">
        <x:v>Các Công ty Quản lý bay khu vực Bắc/Trung/Nam; Trung tâm Quản lý luồng không lưu; Ban Không lưu</x:v>
      </x:c>
      <x:c r="I316" s="14" t="str">
        <x:v>Đ21-22, Đ101</x:v>
      </x:c>
      <x:c r="J316" s="14" t="str">
        <x:v>P1</x:v>
      </x:c>
      <x:c r="K316" s="14" t="str">
        <x:v>Chưa bắt đầu</x:v>
      </x:c>
      <x:c r="L316" s="14" t="str"/>
      <x:c r="M316" s="14" t="str">
        <x:v>Quy chế thanh toán; dashboard nợ; mẫu thông báo bảo đảm thanh toán; Không áp dụng với tàu bay đang bay; 100% quyết định có căn cứ pháp lý và phê duyệt; 01 quy chế + dashboard</x:v>
      </x:c>
      <x:c r="N316" s="14" t="str">
        <x:v>Tổng 1 nhiệm vụ liên quan.</x:v>
      </x:c>
    </x:row>
    <x:row r="317">
      <x:c r="A317" s="14" t="str">
        <x:v>PROC-0316</x:v>
      </x:c>
      <x:c r="B317" s="14" t="str">
        <x:v>VATM-0473</x:v>
      </x:c>
      <x:c r="C317" s="14" t="str">
        <x:v>ANS - ATM/ATS/ATFM</x:v>
      </x:c>
      <x:c r="D317" s="14" t="str">
        <x:v>Cấp phép bay, FPL và xử lý hồ sơ bay</x:v>
      </x:c>
      <x:c r="E317" s="14" t="str">
        <x:v>01 quy chế + dashboard Quy chế thanh toán</x:v>
      </x:c>
      <x:c r="F317" s="14" t="str">
        <x:v>Quy trình/SOP</x:v>
      </x:c>
      <x:c r="G317" s="14" t="str">
        <x:v>Ban Không lưu; Văn phòng - Pháp chế; Ban Tài chính</x:v>
      </x:c>
      <x:c r="H317" s="14" t="str">
        <x:v>Các Công ty Quản lý bay khu vực Bắc/Trung/Nam; Trung tâm Quản lý luồng không lưu; Ban Không lưu</x:v>
      </x:c>
      <x:c r="I317" s="14" t="str">
        <x:v>Đ21-22, Đ101</x:v>
      </x:c>
      <x:c r="J317" s="14" t="str">
        <x:v>P1</x:v>
      </x:c>
      <x:c r="K317" s="14" t="str">
        <x:v>Chưa bắt đầu</x:v>
      </x:c>
      <x:c r="L317" s="14" t="str"/>
      <x:c r="M317" s="14" t="str">
        <x:v>Quy chế thanh toán; dashboard nợ; mẫu thông báo bảo đảm thanh toán; Không áp dụng với tàu bay đang bay; 100% quyết định có căn cứ pháp lý và phê duyệt; 01 quy chế + dashboard</x:v>
      </x:c>
      <x:c r="N317" s="14" t="str">
        <x:v>Tổng 1 nhiệm vụ liên quan.</x:v>
      </x:c>
    </x:row>
    <x:row r="318">
      <x:c r="A318" s="14" t="str">
        <x:v>PROC-0317</x:v>
      </x:c>
      <x:c r="B318" s="14" t="str">
        <x:v>VATM-0473</x:v>
      </x:c>
      <x:c r="C318" s="14" t="str">
        <x:v>ANS - ATM/ATS/ATFM</x:v>
      </x:c>
      <x:c r="D318" s="14" t="str">
        <x:v>Cấp phép bay, FPL và xử lý hồ sơ bay</x:v>
      </x:c>
      <x:c r="E318" s="14" t="str">
        <x:v>01 quy chế + dashboard</x:v>
      </x:c>
      <x:c r="F318" s="14" t="str">
        <x:v>Quy trình/SOP</x:v>
      </x:c>
      <x:c r="G318" s="14" t="str">
        <x:v>Ban Không lưu; Văn phòng - Pháp chế; Ban Tài chính</x:v>
      </x:c>
      <x:c r="H318" s="14" t="str">
        <x:v>Các Công ty Quản lý bay khu vực Bắc/Trung/Nam; Trung tâm Quản lý luồng không lưu; Ban Không lưu</x:v>
      </x:c>
      <x:c r="I318" s="14" t="str">
        <x:v>Đ21-22, Đ101</x:v>
      </x:c>
      <x:c r="J318" s="14" t="str">
        <x:v>P1</x:v>
      </x:c>
      <x:c r="K318" s="14" t="str">
        <x:v>Chưa bắt đầu</x:v>
      </x:c>
      <x:c r="L318" s="14" t="str"/>
      <x:c r="M318" s="14" t="str">
        <x:v>Quy chế thanh toán; dashboard nợ; mẫu thông báo bảo đảm thanh toán; Không áp dụng với tàu bay đang bay; 100% quyết định có căn cứ pháp lý và phê duyệt; 01 quy chế + dashboard</x:v>
      </x:c>
      <x:c r="N318" s="14" t="str">
        <x:v>Tổng 1 nhiệm vụ liên quan.</x:v>
      </x:c>
    </x:row>
    <x:row r="319">
      <x:c r="A319" s="14" t="str">
        <x:v>PROC-0318</x:v>
      </x:c>
      <x:c r="B319" s="14" t="str">
        <x:v>VATM-0474</x:v>
      </x:c>
      <x:c r="C319" s="14" t="str">
        <x:v>ANS - ATM/ATS/ATFM</x:v>
      </x:c>
      <x:c r="D319" s="14" t="str">
        <x:v>Cấp phép bay, FPL và xử lý hồ sơ bay</x:v>
      </x:c>
      <x:c r="E319" s="14" t="str">
        <x:v>Checklist dữ liệu</x:v>
      </x:c>
      <x:c r="F319" s="14" t="str">
        <x:v>Biểu mẫu/Checklist</x:v>
      </x:c>
      <x:c r="G319" s="14" t="str">
        <x:v>Ban Không lưu; Trung tâm Quản lý luồng không lưu</x:v>
      </x:c>
      <x:c r="H319" s="14" t="str">
        <x:v>Các Công ty Quản lý bay khu vực Bắc/Trung/Nam; Ban Tài chính; Ban Không lưu</x:v>
      </x:c>
      <x:c r="I319" s="14" t="str">
        <x:v>PL-VII, PL-VIII</x:v>
      </x:c>
      <x:c r="J319" s="14" t="str">
        <x:v>P2</x:v>
      </x:c>
      <x:c r="K319" s="14" t="str">
        <x:v>Chưa bắt đầu</x:v>
      </x:c>
      <x:c r="L319" s="14" t="str"/>
      <x:c r="M319" s="14" t="str">
        <x:v>Checklist dữ liệu; thư viện lỗi; hướng dẫn xử lý sửa đổi/hủy; Giảm lỗi dữ liệu đầu vào; 100% sửa đổi/hủy có liên kết phép bay gốc; 01 checklist theo từng mẫu</x:v>
      </x:c>
      <x:c r="N319" s="14" t="str">
        <x:v>Tổng 1 nhiệm vụ liên quan.</x:v>
      </x:c>
    </x:row>
    <x:row r="320">
      <x:c r="A320" s="14" t="str">
        <x:v>PROC-0319</x:v>
      </x:c>
      <x:c r="B320" s="14" t="str">
        <x:v>VATM-0474; VATM-0474</x:v>
      </x:c>
      <x:c r="C320" s="14" t="str">
        <x:v>ANS - ATM/ATS/ATFM</x:v>
      </x:c>
      <x:c r="D320" s="14" t="str">
        <x:v>Cấp phép bay, FPL và xử lý hồ sơ bay</x:v>
      </x:c>
      <x:c r="E320" s="14" t="str">
        <x:v>hướng dẫn xử lý sửa đổi/hủy</x:v>
      </x:c>
      <x:c r="F320" s="14" t="str">
        <x:v>Quy trình/SOP</x:v>
      </x:c>
      <x:c r="G320" s="14" t="str">
        <x:v>Ban Không lưu; Trung tâm Quản lý luồng không lưu</x:v>
      </x:c>
      <x:c r="H320" s="14" t="str">
        <x:v>Các Công ty Quản lý bay khu vực Bắc/Trung/Nam; Ban Tài chính; Ban Không lưu</x:v>
      </x:c>
      <x:c r="I320" s="14" t="str">
        <x:v>PL-VII, PL-VIII</x:v>
      </x:c>
      <x:c r="J320" s="14" t="str">
        <x:v>P2</x:v>
      </x:c>
      <x:c r="K320" s="14" t="str">
        <x:v>Chưa bắt đầu</x:v>
      </x:c>
      <x:c r="L320" s="14" t="str"/>
      <x:c r="M320" s="14" t="str">
        <x:v>Checklist dữ liệu; thư viện lỗi; hướng dẫn xử lý sửa đổi/hủy; Giảm lỗi dữ liệu đầu vào; 100% sửa đổi/hủy có liên kết phép bay gốc; 01 checklist theo từng mẫu</x:v>
      </x:c>
      <x:c r="N320" s="14" t="str">
        <x:v>Tổng 2 nhiệm vụ liên quan.</x:v>
      </x:c>
    </x:row>
    <x:row r="321">
      <x:c r="A321" s="14" t="str">
        <x:v>PROC-0320</x:v>
      </x:c>
      <x:c r="B321" s="14" t="str">
        <x:v>VATM-0474</x:v>
      </x:c>
      <x:c r="C321" s="14" t="str">
        <x:v>ANS - ATM/ATS/ATFM</x:v>
      </x:c>
      <x:c r="D321" s="14" t="str">
        <x:v>Cấp phép bay, FPL và xử lý hồ sơ bay</x:v>
      </x:c>
      <x:c r="E321" s="14" t="str">
        <x:v>01 checklist theo từng mẫu Checklist dữ liệu</x:v>
      </x:c>
      <x:c r="F321" s="14" t="str">
        <x:v>Biểu mẫu/Checklist</x:v>
      </x:c>
      <x:c r="G321" s="14" t="str">
        <x:v>Ban Không lưu; Trung tâm Quản lý luồng không lưu</x:v>
      </x:c>
      <x:c r="H321" s="14" t="str">
        <x:v>Các Công ty Quản lý bay khu vực Bắc/Trung/Nam; Ban Tài chính; Ban Không lưu</x:v>
      </x:c>
      <x:c r="I321" s="14" t="str">
        <x:v>PL-VII, PL-VIII</x:v>
      </x:c>
      <x:c r="J321" s="14" t="str">
        <x:v>P2</x:v>
      </x:c>
      <x:c r="K321" s="14" t="str">
        <x:v>Chưa bắt đầu</x:v>
      </x:c>
      <x:c r="L321" s="14" t="str"/>
      <x:c r="M321" s="14" t="str">
        <x:v>Checklist dữ liệu; thư viện lỗi; hướng dẫn xử lý sửa đổi/hủy; Giảm lỗi dữ liệu đầu vào; 100% sửa đổi/hủy có liên kết phép bay gốc; 01 checklist theo từng mẫu</x:v>
      </x:c>
      <x:c r="N321" s="14" t="str">
        <x:v>Tổng 1 nhiệm vụ liên quan.</x:v>
      </x:c>
    </x:row>
    <x:row r="322">
      <x:c r="A322" s="14" t="str">
        <x:v>PROC-0321</x:v>
      </x:c>
      <x:c r="B322" s="14" t="str">
        <x:v>VATM-0474</x:v>
      </x:c>
      <x:c r="C322" s="14" t="str">
        <x:v>ANS - ATM/ATS/ATFM</x:v>
      </x:c>
      <x:c r="D322" s="14" t="str">
        <x:v>Cấp phép bay, FPL và xử lý hồ sơ bay</x:v>
      </x:c>
      <x:c r="E322" s="14" t="str">
        <x:v>01 checklist theo từng mẫu</x:v>
      </x:c>
      <x:c r="F322" s="14" t="str">
        <x:v>Biểu mẫu/Checklist</x:v>
      </x:c>
      <x:c r="G322" s="14" t="str">
        <x:v>Ban Không lưu; Trung tâm Quản lý luồng không lưu</x:v>
      </x:c>
      <x:c r="H322" s="14" t="str">
        <x:v>Các Công ty Quản lý bay khu vực Bắc/Trung/Nam; Ban Tài chính; Ban Không lưu</x:v>
      </x:c>
      <x:c r="I322" s="14" t="str">
        <x:v>PL-VII, PL-VIII</x:v>
      </x:c>
      <x:c r="J322" s="14" t="str">
        <x:v>P2</x:v>
      </x:c>
      <x:c r="K322" s="14" t="str">
        <x:v>Chưa bắt đầu</x:v>
      </x:c>
      <x:c r="L322" s="14" t="str"/>
      <x:c r="M322" s="14" t="str">
        <x:v>Checklist dữ liệu; thư viện lỗi; hướng dẫn xử lý sửa đổi/hủy; Giảm lỗi dữ liệu đầu vào; 100% sửa đổi/hủy có liên kết phép bay gốc; 01 checklist theo từng mẫu</x:v>
      </x:c>
      <x:c r="N322" s="14" t="str">
        <x:v>Tổng 1 nhiệm vụ liên quan.</x:v>
      </x:c>
    </x:row>
    <x:row r="323">
      <x:c r="A323" s="14" t="str">
        <x:v>PROC-0322</x:v>
      </x:c>
      <x:c r="B323" s="14" t="str">
        <x:v>VATM-0475</x:v>
      </x:c>
      <x:c r="C323" s="14" t="str">
        <x:v>ANS - ATM/ATS/ATFM</x:v>
      </x:c>
      <x:c r="D323" s="14" t="str">
        <x:v>ATFM, năng lực và điều phối luồng</x:v>
      </x:c>
      <x:c r="E323" s="14" t="str">
        <x:v>LOA/SOP FUA</x:v>
      </x:c>
      <x:c r="F323" s="14" t="str">
        <x:v>Quy trình/SOP</x:v>
      </x:c>
      <x:c r="G323" s="14" t="str">
        <x:v>Trung tâm Quản lý luồng không lưu; Ban Không lưu</x:v>
      </x:c>
      <x:c r="H323" s="14" t="str">
        <x:v>Các Công ty Quản lý bay khu vực Bắc/Trung/Nam; Trung tâm Quản lý luồng không lưu; Ban Không lưu</x:v>
      </x:c>
      <x:c r="I323" s="14" t="str">
        <x:v>Đ5, Đ8-11, Đ121-125</x:v>
      </x:c>
      <x:c r="J323" s="14" t="str">
        <x:v>P1</x:v>
      </x:c>
      <x:c r="K323" s="14" t="str">
        <x:v>Chưa bắt đầu</x:v>
      </x:c>
      <x:c r="L323" s="14" t="str"/>
      <x:c r="M323" s="14" t="str">
        <x:v>LOA/SOP FUA; danh mục đầu mối 24/7; quy trình AUP/UUP nội bộ; Trước 30/06/2027 hoàn thiện theo Đ139; vận hành thử tối thiểu 02 chu kỳ; 01 bộ LOA/SOP cấp quốc gia + khu vực</x:v>
      </x:c>
      <x:c r="N323" s="14" t="str">
        <x:v>Tổng 1 nhiệm vụ liên quan.</x:v>
      </x:c>
    </x:row>
    <x:row r="324">
      <x:c r="A324" s="14" t="str">
        <x:v>PROC-0323</x:v>
      </x:c>
      <x:c r="B324" s="14" t="str">
        <x:v>VATM-0475; VATM-0475</x:v>
      </x:c>
      <x:c r="C324" s="14" t="str">
        <x:v>ANS - ATM/ATS/ATFM</x:v>
      </x:c>
      <x:c r="D324" s="14" t="str">
        <x:v>ATFM, năng lực và điều phối luồng</x:v>
      </x:c>
      <x:c r="E324" s="14" t="str">
        <x:v>quy trình AUP/UUP nội bộ</x:v>
      </x:c>
      <x:c r="F324" s="14" t="str">
        <x:v>Quy trình/SOP</x:v>
      </x:c>
      <x:c r="G324" s="14" t="str">
        <x:v>Trung tâm Quản lý luồng không lưu; Ban Không lưu</x:v>
      </x:c>
      <x:c r="H324" s="14" t="str">
        <x:v>Các Công ty Quản lý bay khu vực Bắc/Trung/Nam; Trung tâm Quản lý luồng không lưu; Ban Không lưu</x:v>
      </x:c>
      <x:c r="I324" s="14" t="str">
        <x:v>Đ5, Đ8-11, Đ121-125</x:v>
      </x:c>
      <x:c r="J324" s="14" t="str">
        <x:v>P1</x:v>
      </x:c>
      <x:c r="K324" s="14" t="str">
        <x:v>Chưa bắt đầu</x:v>
      </x:c>
      <x:c r="L324" s="14" t="str"/>
      <x:c r="M324" s="14" t="str">
        <x:v>LOA/SOP FUA; danh mục đầu mối 24/7; quy trình AUP/UUP nội bộ; Trước 30/06/2027 hoàn thiện theo Đ139; vận hành thử tối thiểu 02 chu kỳ; 01 bộ LOA/SOP cấp quốc gia + khu vực</x:v>
      </x:c>
      <x:c r="N324" s="14" t="str">
        <x:v>Tổng 2 nhiệm vụ liên quan.</x:v>
      </x:c>
    </x:row>
    <x:row r="325">
      <x:c r="A325" s="14" t="str">
        <x:v>PROC-0324</x:v>
      </x:c>
      <x:c r="B325" s="14" t="str">
        <x:v>VATM-0475</x:v>
      </x:c>
      <x:c r="C325" s="14" t="str">
        <x:v>ANS - ATM/ATS/ATFM</x:v>
      </x:c>
      <x:c r="D325" s="14" t="str">
        <x:v>ATFM, năng lực và điều phối luồng</x:v>
      </x:c>
      <x:c r="E325" s="14" t="str">
        <x:v>01 bộ LOA/SOP cấp quốc gia + khu vực LOA/SOP FUA</x:v>
      </x:c>
      <x:c r="F325" s="14" t="str">
        <x:v>Quy trình/SOP</x:v>
      </x:c>
      <x:c r="G325" s="14" t="str">
        <x:v>Trung tâm Quản lý luồng không lưu; Ban Không lưu</x:v>
      </x:c>
      <x:c r="H325" s="14" t="str">
        <x:v>Các Công ty Quản lý bay khu vực Bắc/Trung/Nam; Trung tâm Quản lý luồng không lưu; Ban Không lưu</x:v>
      </x:c>
      <x:c r="I325" s="14" t="str">
        <x:v>Đ5, Đ8-11, Đ121-125</x:v>
      </x:c>
      <x:c r="J325" s="14" t="str">
        <x:v>P1</x:v>
      </x:c>
      <x:c r="K325" s="14" t="str">
        <x:v>Chưa bắt đầu</x:v>
      </x:c>
      <x:c r="L325" s="14" t="str"/>
      <x:c r="M325" s="14" t="str">
        <x:v>LOA/SOP FUA; danh mục đầu mối 24/7; quy trình AUP/UUP nội bộ; Trước 30/06/2027 hoàn thiện theo Đ139; vận hành thử tối thiểu 02 chu kỳ; 01 bộ LOA/SOP cấp quốc gia + khu vực</x:v>
      </x:c>
      <x:c r="N325" s="14" t="str">
        <x:v>Tổng 1 nhiệm vụ liên quan.</x:v>
      </x:c>
    </x:row>
    <x:row r="326">
      <x:c r="A326" s="14" t="str">
        <x:v>PROC-0325</x:v>
      </x:c>
      <x:c r="B326" s="14" t="str">
        <x:v>VATM-0475</x:v>
      </x:c>
      <x:c r="C326" s="14" t="str">
        <x:v>ANS - ATM/ATS/ATFM</x:v>
      </x:c>
      <x:c r="D326" s="14" t="str">
        <x:v>ATFM, năng lực và điều phối luồng</x:v>
      </x:c>
      <x:c r="E326" s="14" t="str">
        <x:v>01 bộ LOA/SOP cấp quốc gia + khu vực</x:v>
      </x:c>
      <x:c r="F326" s="14" t="str">
        <x:v>Quy trình/SOP</x:v>
      </x:c>
      <x:c r="G326" s="14" t="str">
        <x:v>Trung tâm Quản lý luồng không lưu; Ban Không lưu</x:v>
      </x:c>
      <x:c r="H326" s="14" t="str">
        <x:v>Các Công ty Quản lý bay khu vực Bắc/Trung/Nam; Trung tâm Quản lý luồng không lưu; Ban Không lưu</x:v>
      </x:c>
      <x:c r="I326" s="14" t="str">
        <x:v>Đ5, Đ8-11, Đ121-125</x:v>
      </x:c>
      <x:c r="J326" s="14" t="str">
        <x:v>P1</x:v>
      </x:c>
      <x:c r="K326" s="14" t="str">
        <x:v>Chưa bắt đầu</x:v>
      </x:c>
      <x:c r="L326" s="14" t="str"/>
      <x:c r="M326" s="14" t="str">
        <x:v>LOA/SOP FUA; danh mục đầu mối 24/7; quy trình AUP/UUP nội bộ; Trước 30/06/2027 hoàn thiện theo Đ139; vận hành thử tối thiểu 02 chu kỳ; 01 bộ LOA/SOP cấp quốc gia + khu vực</x:v>
      </x:c>
      <x:c r="N326" s="14" t="str">
        <x:v>Tổng 1 nhiệm vụ liên quan.</x:v>
      </x:c>
    </x:row>
    <x:row r="327">
      <x:c r="A327" s="14" t="str">
        <x:v>PROC-0326</x:v>
      </x:c>
      <x:c r="B327" s="14" t="str">
        <x:v>VATM-0476</x:v>
      </x:c>
      <x:c r="C327" s="14" t="str">
        <x:v>ANS - ATM/ATS/ATFM</x:v>
      </x:c>
      <x:c r="D327" s="14" t="str">
        <x:v>ATFM, năng lực và điều phối luồng</x:v>
      </x:c>
      <x:c r="E327" s="14" t="str">
        <x:v>SOP thông báo nhanh</x:v>
      </x:c>
      <x:c r="F327" s="14" t="str">
        <x:v>Quy trình/SOP</x:v>
      </x:c>
      <x:c r="G327" s="14" t="str">
        <x:v>Trung tâm Quản lý luồng không lưu; Ban Không lưu</x:v>
      </x:c>
      <x:c r="H327" s="14" t="str">
        <x:v>Các Công ty Quản lý bay khu vực Bắc/Trung/Nam; Trung tâm Quản lý luồng không lưu; Ban Không lưu</x:v>
      </x:c>
      <x:c r="I327" s="14" t="str">
        <x:v>Đ11.3, Đ122</x:v>
      </x:c>
      <x:c r="J327" s="14" t="str">
        <x:v>P1</x:v>
      </x:c>
      <x:c r="K327" s="14" t="str">
        <x:v>Chưa bắt đầu</x:v>
      </x:c>
      <x:c r="L327" s="14" t="str"/>
      <x:c r="M327" s="14" t="str">
        <x:v>SOP thông báo nhanh; mẫu UUP/NOTAM nội bộ; log biến động vùng trời; 100% thay đổi ảnh hưởng khai thác được ghi nhận và truyền đến cơ sở ATS liên quan; 01 luồng phối hợp 24/7</x:v>
      </x:c>
      <x:c r="N327" s="14" t="str">
        <x:v>Tổng 1 nhiệm vụ liên quan.</x:v>
      </x:c>
    </x:row>
    <x:row r="328">
      <x:c r="A328" s="14" t="str">
        <x:v>PROC-0327</x:v>
      </x:c>
      <x:c r="B328" s="14" t="str">
        <x:v>VATM-0476</x:v>
      </x:c>
      <x:c r="C328" s="14" t="str">
        <x:v>ANS - ATM/ATS/ATFM</x:v>
      </x:c>
      <x:c r="D328" s="14" t="str">
        <x:v>ATFM, năng lực và điều phối luồng</x:v>
      </x:c>
      <x:c r="E328" s="14" t="str">
        <x:v>01 luồng phối hợp 24/7 SOP thông báo nhanh</x:v>
      </x:c>
      <x:c r="F328" s="14" t="str">
        <x:v>Quy trình/SOP</x:v>
      </x:c>
      <x:c r="G328" s="14" t="str">
        <x:v>Trung tâm Quản lý luồng không lưu; Ban Không lưu</x:v>
      </x:c>
      <x:c r="H328" s="14" t="str">
        <x:v>Các Công ty Quản lý bay khu vực Bắc/Trung/Nam; Trung tâm Quản lý luồng không lưu; Ban Không lưu</x:v>
      </x:c>
      <x:c r="I328" s="14" t="str">
        <x:v>Đ11.3, Đ122</x:v>
      </x:c>
      <x:c r="J328" s="14" t="str">
        <x:v>P1</x:v>
      </x:c>
      <x:c r="K328" s="14" t="str">
        <x:v>Chưa bắt đầu</x:v>
      </x:c>
      <x:c r="L328" s="14" t="str"/>
      <x:c r="M328" s="14" t="str">
        <x:v>SOP thông báo nhanh; mẫu UUP/NOTAM nội bộ; log biến động vùng trời; 100% thay đổi ảnh hưởng khai thác được ghi nhận và truyền đến cơ sở ATS liên quan; 01 luồng phối hợp 24/7</x:v>
      </x:c>
      <x:c r="N328" s="14" t="str">
        <x:v>Tổng 1 nhiệm vụ liên quan.</x:v>
      </x:c>
    </x:row>
    <x:row r="329">
      <x:c r="A329" s="14" t="str">
        <x:v>PROC-0328</x:v>
      </x:c>
      <x:c r="B329" s="14" t="str">
        <x:v>VATM-0477; VATM-0477</x:v>
      </x:c>
      <x:c r="C329" s="14" t="str">
        <x:v>ANS - ATM/ATS/ATFM</x:v>
      </x:c>
      <x:c r="D329" s="14" t="str">
        <x:v>ATFM, năng lực và điều phối luồng</x:v>
      </x:c>
      <x:c r="E329" s="14" t="str">
        <x:v>quy trình đánh giá sau khai thác</x:v>
      </x:c>
      <x:c r="F329" s="14" t="str">
        <x:v>Quy trình/SOP</x:v>
      </x:c>
      <x:c r="G329" s="14" t="str">
        <x:v>Trung tâm Quản lý luồng không lưu; Ban Không lưu</x:v>
      </x:c>
      <x:c r="H329" s="14" t="str">
        <x:v>Ban Không lưu; Các Công ty Quản lý bay khu vực Bắc/Trung/Nam</x:v>
      </x:c>
      <x:c r="I329" s="14" t="str">
        <x:v>Đ102-106</x:v>
      </x:c>
      <x:c r="J329" s="14" t="str">
        <x:v>P1</x:v>
      </x:c>
      <x:c r="K329" s="14" t="str">
        <x:v>Chưa bắt đầu</x:v>
      </x:c>
      <x:c r="L329" s="14" t="str"/>
      <x:c r="M329" s="14" t="str">
        <x:v>Tài liệu ATFM/CDM; quy trình đánh giá sau khai thác; KPI delay/capacity; Có KPI năng lực và chậm trễ; báo cáo sau khai thác định kỳ hàng tháng; 01 bộ tài liệu + dashboard KPI</x:v>
      </x:c>
      <x:c r="N329" s="14" t="str">
        <x:v>Tổng 2 nhiệm vụ liên quan.</x:v>
      </x:c>
    </x:row>
    <x:row r="330">
      <x:c r="A330" s="14" t="str">
        <x:v>PROC-0329</x:v>
      </x:c>
      <x:c r="B330" s="14" t="str">
        <x:v>VATM-0481</x:v>
      </x:c>
      <x:c r="C330" s="14" t="str">
        <x:v>ANS - ATM/ATS/ATFM</x:v>
      </x:c>
      <x:c r="D330" s="14" t="str">
        <x:v>Cung cấp ATS/điều hành bay</x:v>
      </x:c>
      <x:c r="E330" s="14" t="str">
        <x:v>SOP xử lý</x:v>
      </x:c>
      <x:c r="F330" s="14" t="str">
        <x:v>Quy trình/SOP</x:v>
      </x:c>
      <x:c r="G330" s="14" t="str">
        <x:v>Ban Không lưu</x:v>
      </x:c>
      <x:c r="H330" s="14" t="str">
        <x:v>Các Công ty Quản lý bay khu vực Bắc/Trung/Nam; Trung tâm Thông báo tin tức hàng không; Ban Không lưu</x:v>
      </x:c>
      <x:c r="I330" s="14" t="str">
        <x:v>Đ55-57</x:v>
      </x:c>
      <x:c r="J330" s="14" t="str">
        <x:v>P1</x:v>
      </x:c>
      <x:c r="K330" s="14" t="str">
        <x:v>Chưa bắt đầu</x:v>
      </x:c>
      <x:c r="L330" s="14" t="str"/>
      <x:c r="M330" s="14" t="str">
        <x:v>SOP xử lý; bản đồ khu vực; mẫu thông báo; checklist ATCO; 100% tình huống có ghi âm/log, hiệp đồng và thông báo kịp thời; cập nhật AIP/NOTAM khi cần; 01 SOP toàn quốc + phụ lục khu vực</x:v>
      </x:c>
      <x:c r="N330" s="14" t="str">
        <x:v>Tổng 1 nhiệm vụ liên quan.</x:v>
      </x:c>
    </x:row>
    <x:row r="331">
      <x:c r="A331" s="14" t="str">
        <x:v>PROC-0330</x:v>
      </x:c>
      <x:c r="B331" s="14" t="str">
        <x:v>VATM-0481; VATM-0481</x:v>
      </x:c>
      <x:c r="C331" s="14" t="str">
        <x:v>ANS - ATM/ATS/ATFM</x:v>
      </x:c>
      <x:c r="D331" s="14" t="str">
        <x:v>Cung cấp ATS/điều hành bay</x:v>
      </x:c>
      <x:c r="E331" s="14" t="str">
        <x:v>checklist ATCO</x:v>
      </x:c>
      <x:c r="F331" s="14" t="str">
        <x:v>Biểu mẫu/Checklist</x:v>
      </x:c>
      <x:c r="G331" s="14" t="str">
        <x:v>Ban Không lưu</x:v>
      </x:c>
      <x:c r="H331" s="14" t="str">
        <x:v>Các Công ty Quản lý bay khu vực Bắc/Trung/Nam; Trung tâm Thông báo tin tức hàng không; Ban Không lưu</x:v>
      </x:c>
      <x:c r="I331" s="14" t="str">
        <x:v>Đ55-57</x:v>
      </x:c>
      <x:c r="J331" s="14" t="str">
        <x:v>P1</x:v>
      </x:c>
      <x:c r="K331" s="14" t="str">
        <x:v>Chưa bắt đầu</x:v>
      </x:c>
      <x:c r="L331" s="14" t="str"/>
      <x:c r="M331" s="14" t="str">
        <x:v>SOP xử lý; bản đồ khu vực; mẫu thông báo; checklist ATCO; 100% tình huống có ghi âm/log, hiệp đồng và thông báo kịp thời; cập nhật AIP/NOTAM khi cần; 01 SOP toàn quốc + phụ lục khu vực</x:v>
      </x:c>
      <x:c r="N331" s="14" t="str">
        <x:v>Tổng 2 nhiệm vụ liên quan.</x:v>
      </x:c>
    </x:row>
    <x:row r="332">
      <x:c r="A332" s="14" t="str">
        <x:v>PROC-0331</x:v>
      </x:c>
      <x:c r="B332" s="14" t="str">
        <x:v>VATM-0481</x:v>
      </x:c>
      <x:c r="C332" s="14" t="str">
        <x:v>ANS - ATM/ATS/ATFM</x:v>
      </x:c>
      <x:c r="D332" s="14" t="str">
        <x:v>Cung cấp ATS/điều hành bay</x:v>
      </x:c>
      <x:c r="E332" s="14" t="str">
        <x:v>01 SOP toàn quốc + phụ lục khu vực SOP xử lý</x:v>
      </x:c>
      <x:c r="F332" s="14" t="str">
        <x:v>Quy trình/SOP</x:v>
      </x:c>
      <x:c r="G332" s="14" t="str">
        <x:v>Ban Không lưu</x:v>
      </x:c>
      <x:c r="H332" s="14" t="str">
        <x:v>Các Công ty Quản lý bay khu vực Bắc/Trung/Nam; Trung tâm Thông báo tin tức hàng không; Ban Không lưu</x:v>
      </x:c>
      <x:c r="I332" s="14" t="str">
        <x:v>Đ55-57</x:v>
      </x:c>
      <x:c r="J332" s="14" t="str">
        <x:v>P1</x:v>
      </x:c>
      <x:c r="K332" s="14" t="str">
        <x:v>Chưa bắt đầu</x:v>
      </x:c>
      <x:c r="L332" s="14" t="str"/>
      <x:c r="M332" s="14" t="str">
        <x:v>SOP xử lý; bản đồ khu vực; mẫu thông báo; checklist ATCO; 100% tình huống có ghi âm/log, hiệp đồng và thông báo kịp thời; cập nhật AIP/NOTAM khi cần; 01 SOP toàn quốc + phụ lục khu vực</x:v>
      </x:c>
      <x:c r="N332" s="14" t="str">
        <x:v>Tổng 1 nhiệm vụ liên quan.</x:v>
      </x:c>
    </x:row>
    <x:row r="333">
      <x:c r="A333" s="14" t="str">
        <x:v>PROC-0332</x:v>
      </x:c>
      <x:c r="B333" s="14" t="str">
        <x:v>VATM-0481</x:v>
      </x:c>
      <x:c r="C333" s="14" t="str">
        <x:v>ANS - ATM/ATS/ATFM</x:v>
      </x:c>
      <x:c r="D333" s="14" t="str">
        <x:v>Cung cấp ATS/điều hành bay</x:v>
      </x:c>
      <x:c r="E333" s="14" t="str">
        <x:v>01 SOP toàn quốc + phụ lục khu vực</x:v>
      </x:c>
      <x:c r="F333" s="14" t="str">
        <x:v>Quy trình/SOP</x:v>
      </x:c>
      <x:c r="G333" s="14" t="str">
        <x:v>Ban Không lưu</x:v>
      </x:c>
      <x:c r="H333" s="14" t="str">
        <x:v>Các Công ty Quản lý bay khu vực Bắc/Trung/Nam; Trung tâm Thông báo tin tức hàng không; Ban Không lưu</x:v>
      </x:c>
      <x:c r="I333" s="14" t="str">
        <x:v>Đ55-57</x:v>
      </x:c>
      <x:c r="J333" s="14" t="str">
        <x:v>P1</x:v>
      </x:c>
      <x:c r="K333" s="14" t="str">
        <x:v>Chưa bắt đầu</x:v>
      </x:c>
      <x:c r="L333" s="14" t="str"/>
      <x:c r="M333" s="14" t="str">
        <x:v>SOP xử lý; bản đồ khu vực; mẫu thông báo; checklist ATCO; 100% tình huống có ghi âm/log, hiệp đồng và thông báo kịp thời; cập nhật AIP/NOTAM khi cần; 01 SOP toàn quốc + phụ lục khu vực</x:v>
      </x:c>
      <x:c r="N333" s="14" t="str">
        <x:v>Tổng 1 nhiệm vụ liên quan.</x:v>
      </x:c>
    </x:row>
    <x:row r="334">
      <x:c r="A334" s="14" t="str">
        <x:v>PROC-0333</x:v>
      </x:c>
      <x:c r="B334" s="14" t="str">
        <x:v>VATM-0482</x:v>
      </x:c>
      <x:c r="C334" s="14" t="str">
        <x:v>ANS - ATM/ATS/ATFM</x:v>
      </x:c>
      <x:c r="D334" s="14" t="str">
        <x:v>Cung cấp ATS/điều hành bay</x:v>
      </x:c>
      <x:c r="E334" s="14" t="str">
        <x:v>SOP hiệp đồng</x:v>
      </x:c>
      <x:c r="F334" s="14" t="str">
        <x:v>Quy trình/SOP</x:v>
      </x:c>
      <x:c r="G334" s="14" t="str">
        <x:v>Ban Không lưu</x:v>
      </x:c>
      <x:c r="H334" s="14" t="str">
        <x:v>Các Công ty Quản lý bay khu vực Bắc/Trung/Nam; Ban Không lưu</x:v>
      </x:c>
      <x:c r="I334" s="14" t="str">
        <x:v>Đ58-71, PL-VI</x:v>
      </x:c>
      <x:c r="J334" s="14" t="str">
        <x:v>P1</x:v>
      </x:c>
      <x:c r="K334" s="14" t="str">
        <x:v>Chưa bắt đầu</x:v>
      </x:c>
      <x:c r="L334" s="14" t="str"/>
      <x:c r="M334" s="14" t="str">
        <x:v>SOP hiệp đồng; checklist điều hành; kịch bản diễn tập bàn; 100% cơ sở ATS liên quan có SOP; diễn tập bàn tối thiểu 01 lần/năm; Theo từng sân bay/cơ sở ATS liên quan</x:v>
      </x:c>
      <x:c r="N334" s="14" t="str">
        <x:v>Tổng 1 nhiệm vụ liên quan.</x:v>
      </x:c>
    </x:row>
    <x:row r="335">
      <x:c r="A335" s="14" t="str">
        <x:v>PROC-0334</x:v>
      </x:c>
      <x:c r="B335" s="14" t="str">
        <x:v>VATM-0482; VATM-0482</x:v>
      </x:c>
      <x:c r="C335" s="14" t="str">
        <x:v>ANS - ATM/ATS/ATFM</x:v>
      </x:c>
      <x:c r="D335" s="14" t="str">
        <x:v>Cung cấp ATS/điều hành bay</x:v>
      </x:c>
      <x:c r="E335" s="14" t="str">
        <x:v>checklist điều hành</x:v>
      </x:c>
      <x:c r="F335" s="14" t="str">
        <x:v>Biểu mẫu/Checklist</x:v>
      </x:c>
      <x:c r="G335" s="14" t="str">
        <x:v>Ban Không lưu</x:v>
      </x:c>
      <x:c r="H335" s="14" t="str">
        <x:v>Các Công ty Quản lý bay khu vực Bắc/Trung/Nam; Ban Không lưu</x:v>
      </x:c>
      <x:c r="I335" s="14" t="str">
        <x:v>Đ58-71, PL-VI</x:v>
      </x:c>
      <x:c r="J335" s="14" t="str">
        <x:v>P1</x:v>
      </x:c>
      <x:c r="K335" s="14" t="str">
        <x:v>Chưa bắt đầu</x:v>
      </x:c>
      <x:c r="L335" s="14" t="str"/>
      <x:c r="M335" s="14" t="str">
        <x:v>SOP hiệp đồng; checklist điều hành; kịch bản diễn tập bàn; 100% cơ sở ATS liên quan có SOP; diễn tập bàn tối thiểu 01 lần/năm; Theo từng sân bay/cơ sở ATS liên quan</x:v>
      </x:c>
      <x:c r="N335" s="14" t="str">
        <x:v>Tổng 2 nhiệm vụ liên quan.</x:v>
      </x:c>
    </x:row>
    <x:row r="336">
      <x:c r="A336" s="14" t="str">
        <x:v>PROC-0335</x:v>
      </x:c>
      <x:c r="B336" s="14" t="str">
        <x:v>VATM-0482; VATM-0482</x:v>
      </x:c>
      <x:c r="C336" s="14" t="str">
        <x:v>ANS - ATM/ATS/ATFM</x:v>
      </x:c>
      <x:c r="D336" s="14" t="str">
        <x:v>Cung cấp ATS/điều hành bay</x:v>
      </x:c>
      <x:c r="E336" s="14" t="str">
        <x:v>100% cơ sở ATS liên quan có SOP</x:v>
      </x:c>
      <x:c r="F336" s="14" t="str">
        <x:v>Quy trình/SOP</x:v>
      </x:c>
      <x:c r="G336" s="14" t="str">
        <x:v>Ban Không lưu</x:v>
      </x:c>
      <x:c r="H336" s="14" t="str">
        <x:v>Các Công ty Quản lý bay khu vực Bắc/Trung/Nam; Ban Không lưu</x:v>
      </x:c>
      <x:c r="I336" s="14" t="str">
        <x:v>Đ58-71, PL-VI</x:v>
      </x:c>
      <x:c r="J336" s="14" t="str">
        <x:v>P1</x:v>
      </x:c>
      <x:c r="K336" s="14" t="str">
        <x:v>Chưa bắt đầu</x:v>
      </x:c>
      <x:c r="L336" s="14" t="str"/>
      <x:c r="M336" s="14" t="str">
        <x:v>SOP hiệp đồng; checklist điều hành; kịch bản diễn tập bàn; 100% cơ sở ATS liên quan có SOP; diễn tập bàn tối thiểu 01 lần/năm; Theo từng sân bay/cơ sở ATS liên quan</x:v>
      </x:c>
      <x:c r="N336" s="14" t="str">
        <x:v>Tổng 2 nhiệm vụ liên quan.</x:v>
      </x:c>
    </x:row>
    <x:row r="337">
      <x:c r="A337" s="14" t="str">
        <x:v>PROC-0336</x:v>
      </x:c>
      <x:c r="B337" s="14" t="str">
        <x:v>VATM-0482</x:v>
      </x:c>
      <x:c r="C337" s="14" t="str">
        <x:v>ANS - ATM/ATS/ATFM</x:v>
      </x:c>
      <x:c r="D337" s="14" t="str">
        <x:v>Cung cấp ATS/điều hành bay</x:v>
      </x:c>
      <x:c r="E337" s="14" t="str">
        <x:v>Theo từng sân bay/cơ sở ATS liên quan SOP hiệp đồng</x:v>
      </x:c>
      <x:c r="F337" s="14" t="str">
        <x:v>Quy trình/SOP</x:v>
      </x:c>
      <x:c r="G337" s="14" t="str">
        <x:v>Ban Không lưu</x:v>
      </x:c>
      <x:c r="H337" s="14" t="str">
        <x:v>Các Công ty Quản lý bay khu vực Bắc/Trung/Nam; Ban Không lưu</x:v>
      </x:c>
      <x:c r="I337" s="14" t="str">
        <x:v>Đ58-71, PL-VI</x:v>
      </x:c>
      <x:c r="J337" s="14" t="str">
        <x:v>P1</x:v>
      </x:c>
      <x:c r="K337" s="14" t="str">
        <x:v>Chưa bắt đầu</x:v>
      </x:c>
      <x:c r="L337" s="14" t="str"/>
      <x:c r="M337" s="14" t="str">
        <x:v>SOP hiệp đồng; checklist điều hành; kịch bản diễn tập bàn; 100% cơ sở ATS liên quan có SOP; diễn tập bàn tối thiểu 01 lần/năm; Theo từng sân bay/cơ sở ATS liên quan</x:v>
      </x:c>
      <x:c r="N337" s="14" t="str">
        <x:v>Tổng 1 nhiệm vụ liên quan.</x:v>
      </x:c>
    </x:row>
    <x:row r="338">
      <x:c r="A338" s="14" t="str">
        <x:v>PROC-0337</x:v>
      </x:c>
      <x:c r="B338" s="14" t="str">
        <x:v>VATM-0484; VATM-0484</x:v>
      </x:c>
      <x:c r="C338" s="14" t="str">
        <x:v>ANS - AIS/AIM/Tin tức HK</x:v>
      </x:c>
      <x:c r="D338" s="14" t="str">
        <x:v>Dữ liệu địa hình/chướng ngại và bản đồ</x:v>
      </x:c>
      <x:c r="E338" s="14" t="str">
        <x:v>quy trình tiếp nhận/kiểm tra</x:v>
      </x:c>
      <x:c r="F338" s="14" t="str">
        <x:v>Quy trình/SOP</x:v>
      </x:c>
      <x:c r="G338" s="14" t="str">
        <x:v>Trung tâm Thông báo tin tức hàng không; Các Công ty Quản lý bay khu vực Bắc/Trung/Nam</x:v>
      </x:c>
      <x:c r="H338" s="14" t="str">
        <x:v>Các Công ty Quản lý bay khu vực Bắc/Trung/Nam; Trung tâm Thông báo tin tức hàng không</x:v>
      </x:c>
      <x:c r="I338" s="14" t="str">
        <x:v>Đ83-85, PL-II</x:v>
      </x:c>
      <x:c r="J338" s="14" t="str">
        <x:v>P1</x:v>
      </x:c>
      <x:c r="K338" s="14" t="str">
        <x:v>Chưa bắt đầu</x:v>
      </x:c>
      <x:c r="L338" s="14" t="str"/>
      <x:c r="M338" s="14" t="str">
        <x:v>CSDL chướng ngại vật; quy trình tiếp nhận/kiểm tra; mẫu báo cáo sai lệch; Dữ liệu có loại vật thể, WGS-84, chiều cao/mức cao, marking/lighting, effectivity; độ chính xác theo PL-II; 01 CSDL chung + đầu mối nhận dữ liệu</x:v>
      </x:c>
      <x:c r="N338" s="14" t="str">
        <x:v>Tổng 2 nhiệm vụ liên quan.</x:v>
      </x:c>
    </x:row>
    <x:row r="339">
      <x:c r="A339" s="14" t="str">
        <x:v>PROC-0338</x:v>
      </x:c>
      <x:c r="B339" s="14" t="str">
        <x:v>VATM-0485; VATM-0486; VATM-0486</x:v>
      </x:c>
      <x:c r="C339" s="14" t="str">
        <x:v>ANS - CNS/IT/Kỹ thuật</x:v>
      </x:c>
      <x:c r="D339" s="14" t="str">
        <x:v>CNS, trang thiết bị và bảo trì kỹ thuật</x:v>
      </x:c>
      <x:c r="E339" s="14" t="str">
        <x:v>Quy trình đánh giá</x:v>
      </x:c>
      <x:c r="F339" s="14" t="str">
        <x:v>Quy trình/SOP</x:v>
      </x:c>
      <x:c r="G339" s="14" t="str">
        <x:v>Ban Kỹ thuật - CNS/IT/Môi trường</x:v>
      </x:c>
      <x:c r="H339" s="14" t="str">
        <x:v>Các Công ty Quản lý bay khu vực Bắc/Trung/Nam; Ban Kỹ thuật - CNS/IT/Môi trường</x:v>
      </x:c>
      <x:c r="I339" s="14" t="str">
        <x:v>Đ82-86, PL-V, PL-Va; PL-IV, Đ80, Đ82, Đ86</x:v>
      </x:c>
      <x:c r="J339" s="14" t="str">
        <x:v>P1</x:v>
      </x:c>
      <x:c r="K339" s="14" t="str">
        <x:v>Chưa bắt đầu</x:v>
      </x:c>
      <x:c r="L339" s="14" t="str"/>
      <x:c r="M339" s="14" t="str">
        <x:v>Quy trình đánh giá; mẫu ý kiến kỹ thuật; sổ theo dõi chấp thuận độ cao; 100% ý kiến kỹ thuật có cơ sở dữ liệu, bản đồ và kết luận ảnh hưởng; Theo từng hồ sơ công trình được gửi tới VATM; Bộ bản đồ BRA; quy trình đánh giá; thư viện thông số CNS; hồ sơ ATSEP xác nhận; 100% đài trạm trọng yếu có BRA; hồ sơ được cập nhật khi thay đổi thiết bị/vị trí; Theo từng đài trạm CNS</x:v>
      </x:c>
      <x:c r="N339" s="14" t="str">
        <x:v>Tổng 3 nhiệm vụ liên quan.</x:v>
      </x:c>
    </x:row>
    <x:row r="340">
      <x:c r="A340" s="14" t="str">
        <x:v>PROC-0339</x:v>
      </x:c>
      <x:c r="B340" s="14" t="str">
        <x:v>VATM-0485</x:v>
      </x:c>
      <x:c r="C340" s="14" t="str">
        <x:v>ANS - AIS/AIM/Tin tức HK</x:v>
      </x:c>
      <x:c r="D340" s="14" t="str">
        <x:v>Dữ liệu địa hình/chướng ngại và bản đồ</x:v>
      </x:c>
      <x:c r="E340" s="14" t="str">
        <x:v>Theo từng hồ sơ công trình được gửi tới VATM Quy trình đánh giá</x:v>
      </x:c>
      <x:c r="F340" s="14" t="str">
        <x:v>Quy trình/SOP</x:v>
      </x:c>
      <x:c r="G340" s="14" t="str">
        <x:v>Trung tâm Thông báo tin tức hàng không; Ban Kỹ thuật - CNS/IT/Môi trường</x:v>
      </x:c>
      <x:c r="H340" s="14" t="str">
        <x:v>Các Công ty Quản lý bay khu vực Bắc/Trung/Nam; Trung tâm Thông báo tin tức hàng không</x:v>
      </x:c>
      <x:c r="I340" s="14" t="str">
        <x:v>Đ82-86, PL-V, PL-Va</x:v>
      </x:c>
      <x:c r="J340" s="14" t="str">
        <x:v>P1</x:v>
      </x:c>
      <x:c r="K340" s="14" t="str">
        <x:v>Chưa bắt đầu</x:v>
      </x:c>
      <x:c r="L340" s="14" t="str"/>
      <x:c r="M340" s="14" t="str">
        <x:v>Quy trình đánh giá; mẫu ý kiến kỹ thuật; sổ theo dõi chấp thuận độ cao; 100% ý kiến kỹ thuật có cơ sở dữ liệu, bản đồ và kết luận ảnh hưởng; Theo từng hồ sơ công trình được gửi tới VATM</x:v>
      </x:c>
      <x:c r="N340" s="14" t="str">
        <x:v>Tổng 1 nhiệm vụ liên quan.</x:v>
      </x:c>
    </x:row>
    <x:row r="341">
      <x:c r="A341" s="14" t="str">
        <x:v>PROC-0340</x:v>
      </x:c>
      <x:c r="B341" s="14" t="str">
        <x:v>VATM-0487</x:v>
      </x:c>
      <x:c r="C341" s="14" t="str">
        <x:v>ANS - AIS/AIM/Tin tức HK</x:v>
      </x:c>
      <x:c r="D341" s="14" t="str">
        <x:v>Phương thức bay, sơ đồ và công bố AIS</x:v>
      </x:c>
      <x:c r="E341" s="14" t="str">
        <x:v>Quy trình PANS-OPS/charts</x:v>
      </x:c>
      <x:c r="F341" s="14" t="str">
        <x:v>Quy trình/SOP</x:v>
      </x:c>
      <x:c r="G341" s="14" t="str">
        <x:v>Trung tâm Thông báo tin tức hàng không; Ban Không lưu</x:v>
      </x:c>
      <x:c r="H341" s="14" t="str">
        <x:v>Các Công ty Quản lý bay khu vực Bắc/Trung/Nam; Trung tâm Thông báo tin tức hàng không</x:v>
      </x:c>
      <x:c r="I341" s="14" t="str">
        <x:v>Đ87-98</x:v>
      </x:c>
      <x:c r="J341" s="14" t="str">
        <x:v>P1</x:v>
      </x:c>
      <x:c r="K341" s="14" t="str">
        <x:v>Chưa bắt đầu</x:v>
      </x:c>
      <x:c r="L341" s="14" t="str"/>
      <x:c r="M341" s="14" t="str">
        <x:v>Quy trình PANS-OPS/charts; hồ sơ khảo sát; ma trận trách nhiệm; 100% phương thức/sơ đồ có dữ liệu đầu vào hợp lệ, kiểm tra độc lập và hồ sơ phê chuẩn; Theo từng sân bay/phương thức/sơ đồ</x:v>
      </x:c>
      <x:c r="N341" s="14" t="str">
        <x:v>Tổng 1 nhiệm vụ liên quan.</x:v>
      </x:c>
    </x:row>
    <x:row r="342">
      <x:c r="A342" s="14" t="str">
        <x:v>PROC-0341</x:v>
      </x:c>
      <x:c r="B342" s="14" t="str">
        <x:v>VATM-0487</x:v>
      </x:c>
      <x:c r="C342" s="14" t="str">
        <x:v>ANS - AIS/AIM/Tin tức HK</x:v>
      </x:c>
      <x:c r="D342" s="14" t="str">
        <x:v>Phương thức bay, sơ đồ và công bố AIS</x:v>
      </x:c>
      <x:c r="E342" s="14" t="str">
        <x:v>Theo từng sân bay/phương thức/sơ đồ Quy trình PANS-OPS/charts</x:v>
      </x:c>
      <x:c r="F342" s="14" t="str">
        <x:v>Quy trình/SOP</x:v>
      </x:c>
      <x:c r="G342" s="14" t="str">
        <x:v>Trung tâm Thông báo tin tức hàng không; Ban Không lưu</x:v>
      </x:c>
      <x:c r="H342" s="14" t="str">
        <x:v>Các Công ty Quản lý bay khu vực Bắc/Trung/Nam; Trung tâm Thông báo tin tức hàng không</x:v>
      </x:c>
      <x:c r="I342" s="14" t="str">
        <x:v>Đ87-98</x:v>
      </x:c>
      <x:c r="J342" s="14" t="str">
        <x:v>P1</x:v>
      </x:c>
      <x:c r="K342" s="14" t="str">
        <x:v>Chưa bắt đầu</x:v>
      </x:c>
      <x:c r="L342" s="14" t="str"/>
      <x:c r="M342" s="14" t="str">
        <x:v>Quy trình PANS-OPS/charts; hồ sơ khảo sát; ma trận trách nhiệm; 100% phương thức/sơ đồ có dữ liệu đầu vào hợp lệ, kiểm tra độc lập và hồ sơ phê chuẩn; Theo từng sân bay/phương thức/sơ đồ</x:v>
      </x:c>
      <x:c r="N342" s="14" t="str">
        <x:v>Tổng 1 nhiệm vụ liên quan.</x:v>
      </x:c>
    </x:row>
    <x:row r="343">
      <x:c r="A343" s="14" t="str">
        <x:v>PROC-0342</x:v>
      </x:c>
      <x:c r="B343" s="14" t="str">
        <x:v>VATM-0489; VATM-0489</x:v>
      </x:c>
      <x:c r="C343" s="14" t="str">
        <x:v>ANS - AIS/AIM/Tin tức HK</x:v>
      </x:c>
      <x:c r="D343" s="14" t="str">
        <x:v>Dữ liệu địa hình/chướng ngại và bản đồ</x:v>
      </x:c>
      <x:c r="E343" s="14" t="str">
        <x:v>quy trình kiểm soát dữ liệu</x:v>
      </x:c>
      <x:c r="F343" s="14" t="str">
        <x:v>Quy trình/SOP</x:v>
      </x:c>
      <x:c r="G343" s="14" t="str">
        <x:v>Trung tâm Thông báo tin tức hàng không; Ban An toàn - Chất lượng</x:v>
      </x:c>
      <x:c r="H343" s="14" t="str">
        <x:v>Các Công ty Quản lý bay khu vực Bắc/Trung/Nam; Ban Kỹ thuật - CNS/IT/Môi trường; Trung tâm Khí tượng hàng không; Trung tâm Thông báo tin tức hàng không</x:v>
      </x:c>
      <x:c r="I343" s="14" t="str">
        <x:v>Đ111-115</x:v>
      </x:c>
      <x:c r="J343" s="14" t="str">
        <x:v>P1</x:v>
      </x:c>
      <x:c r="K343" s="14" t="str">
        <x:v>Chưa bắt đầu</x:v>
      </x:c>
      <x:c r="L343" s="14" t="str"/>
      <x:c r="M343" s="14" t="str">
        <x:v>Sổ tay QMS AIM; quy trình kiểm soát dữ liệu; log toàn vẹn/truy xuất; Dữ liệu chính xác, đầy đủ, kịp thời, nhất quán, hợp lệ, có thể kiểm chứng; 01 QMS AIM + quy trình dữ liệu</x:v>
      </x:c>
      <x:c r="N343" s="14" t="str">
        <x:v>Tổng 2 nhiệm vụ liên quan.</x:v>
      </x:c>
    </x:row>
    <x:row r="344">
      <x:c r="A344" s="14" t="str">
        <x:v>PROC-0343</x:v>
      </x:c>
      <x:c r="B344" s="14" t="str">
        <x:v>VATM-0489</x:v>
      </x:c>
      <x:c r="C344" s="14" t="str">
        <x:v>ANS - AIS/AIM/Tin tức HK</x:v>
      </x:c>
      <x:c r="D344" s="14" t="str">
        <x:v>Dữ liệu địa hình/chướng ngại và bản đồ</x:v>
      </x:c>
      <x:c r="E344" s="14" t="str">
        <x:v>01 QMS AIM + quy trình dữ liệu Sổ tay QMS AIM</x:v>
      </x:c>
      <x:c r="F344" s="14" t="str">
        <x:v>Quy trình/SOP</x:v>
      </x:c>
      <x:c r="G344" s="14" t="str">
        <x:v>Trung tâm Thông báo tin tức hàng không; Ban An toàn - Chất lượng</x:v>
      </x:c>
      <x:c r="H344" s="14" t="str">
        <x:v>Các Công ty Quản lý bay khu vực Bắc/Trung/Nam; Ban Kỹ thuật - CNS/IT/Môi trường; Trung tâm Khí tượng hàng không; Trung tâm Thông báo tin tức hàng không</x:v>
      </x:c>
      <x:c r="I344" s="14" t="str">
        <x:v>Đ111-115</x:v>
      </x:c>
      <x:c r="J344" s="14" t="str">
        <x:v>P1</x:v>
      </x:c>
      <x:c r="K344" s="14" t="str">
        <x:v>Chưa bắt đầu</x:v>
      </x:c>
      <x:c r="L344" s="14" t="str"/>
      <x:c r="M344" s="14" t="str">
        <x:v>Sổ tay QMS AIM; quy trình kiểm soát dữ liệu; log toàn vẹn/truy xuất; Dữ liệu chính xác, đầy đủ, kịp thời, nhất quán, hợp lệ, có thể kiểm chứng; 01 QMS AIM + quy trình dữ liệu</x:v>
      </x:c>
      <x:c r="N344" s="14" t="str">
        <x:v>Tổng 1 nhiệm vụ liên quan.</x:v>
      </x:c>
    </x:row>
    <x:row r="345">
      <x:c r="A345" s="14" t="str">
        <x:v>PROC-0344</x:v>
      </x:c>
      <x:c r="B345" s="14" t="str">
        <x:v>VATM-0489</x:v>
      </x:c>
      <x:c r="C345" s="14" t="str">
        <x:v>ANS - AIS/AIM/Tin tức HK</x:v>
      </x:c>
      <x:c r="D345" s="14" t="str">
        <x:v>Dữ liệu địa hình/chướng ngại và bản đồ</x:v>
      </x:c>
      <x:c r="E345" s="14" t="str">
        <x:v>01 QMS AIM + quy trình dữ liệu</x:v>
      </x:c>
      <x:c r="F345" s="14" t="str">
        <x:v>Quy trình/SOP</x:v>
      </x:c>
      <x:c r="G345" s="14" t="str">
        <x:v>Trung tâm Thông báo tin tức hàng không; Ban An toàn - Chất lượng</x:v>
      </x:c>
      <x:c r="H345" s="14" t="str">
        <x:v>Các Công ty Quản lý bay khu vực Bắc/Trung/Nam; Ban Kỹ thuật - CNS/IT/Môi trường; Trung tâm Khí tượng hàng không; Trung tâm Thông báo tin tức hàng không</x:v>
      </x:c>
      <x:c r="I345" s="14" t="str">
        <x:v>Đ111-115</x:v>
      </x:c>
      <x:c r="J345" s="14" t="str">
        <x:v>P1</x:v>
      </x:c>
      <x:c r="K345" s="14" t="str">
        <x:v>Chưa bắt đầu</x:v>
      </x:c>
      <x:c r="L345" s="14" t="str"/>
      <x:c r="M345" s="14" t="str">
        <x:v>Sổ tay QMS AIM; quy trình kiểm soát dữ liệu; log toàn vẹn/truy xuất; Dữ liệu chính xác, đầy đủ, kịp thời, nhất quán, hợp lệ, có thể kiểm chứng; 01 QMS AIM + quy trình dữ liệu</x:v>
      </x:c>
      <x:c r="N345" s="14" t="str">
        <x:v>Tổng 1 nhiệm vụ liên quan.</x:v>
      </x:c>
    </x:row>
    <x:row r="346">
      <x:c r="A346" s="14" t="str">
        <x:v>PROC-0345</x:v>
      </x:c>
      <x:c r="B346" s="14" t="str">
        <x:v>VATM-0490; VATM-0490</x:v>
      </x:c>
      <x:c r="C346" s="14" t="str">
        <x:v>ANS - AIS/AIM/Tin tức HK</x:v>
      </x:c>
      <x:c r="D346" s="14" t="str">
        <x:v>Dữ liệu địa hình/chướng ngại và bản đồ</x:v>
      </x:c>
      <x:c r="E346" s="14" t="str">
        <x:v>biểu mẫu yêu cầu dữ liệu</x:v>
      </x:c>
      <x:c r="F346" s="14" t="str">
        <x:v>Biểu mẫu/Checklist</x:v>
      </x:c>
      <x:c r="G346" s="14" t="str">
        <x:v>Trung tâm Thông báo tin tức hàng không</x:v>
      </x:c>
      <x:c r="H346" s="14" t="str">
        <x:v>Các Công ty Quản lý bay khu vực Bắc/Trung/Nam; Ban Kỹ thuật - CNS/IT/Môi trường; Trung tâm Khí tượng hàng không; Trung tâm Thông báo tin tức hàng không</x:v>
      </x:c>
      <x:c r="I346" s="14" t="str">
        <x:v>Đ113-114, Đ97</x:v>
      </x:c>
      <x:c r="J346" s="14" t="str">
        <x:v>P1</x:v>
      </x:c>
      <x:c r="K346" s="14" t="str">
        <x:v>Chưa bắt đầu</x:v>
      </x:c>
      <x:c r="L346" s="14" t="str"/>
      <x:c r="M346" s="14" t="str">
        <x:v>Danh mục người khởi tạo dữ liệu; MoU/SLA; lịch AIRAC; biểu mẫu yêu cầu dữ liệu; 100% người khởi tạo trọng yếu có thỏa thuận; không nhận dữ liệu không rõ nguồn; Tối thiểu theo nhóm dữ liệu AIP, PANS, MET, CNS, obstacle</x:v>
      </x:c>
      <x:c r="N346" s="14" t="str">
        <x:v>Tổng 2 nhiệm vụ liên quan.</x:v>
      </x:c>
    </x:row>
    <x:row r="347">
      <x:c r="A347" s="14" t="str">
        <x:v>PROC-0346</x:v>
      </x:c>
      <x:c r="B347" s="14" t="str">
        <x:v>VATM-0493</x:v>
      </x:c>
      <x:c r="C347" s="14" t="str">
        <x:v>Tuân thủ, pháp chế &amp; quản trị</x:v>
      </x:c>
      <x:c r="D347" s="14" t="str">
        <x:v>Giấy phép/phê chuẩn và register</x:v>
      </x:c>
      <x:c r="E347" s="14" t="str">
        <x:v>FRMS/Chương trình quản lý mệt mỏi</x:v>
      </x:c>
      <x:c r="F347" s="14" t="str">
        <x:v>Khác</x:v>
      </x:c>
      <x:c r="G347" s="14" t="str">
        <x:v>Văn phòng - Pháp chế; Ban Tổ chức cán bộ; Ban Không lưu; Ban An toàn - Chất lượng</x:v>
      </x:c>
      <x:c r="H347" s="14" t="str">
        <x:v>Trung tâm Huấn luyện đào tạo; Ban Không lưu; Các Công ty Quản lý bay khu vực Bắc/Trung/Nam; Văn phòng - Pháp chế</x:v>
      </x:c>
      <x:c r="I347" s="14" t="str">
        <x:v>Đ100</x:v>
      </x:c>
      <x:c r="J347" s="14" t="str">
        <x:v>P1</x:v>
      </x:c>
      <x:c r="K347" s="14" t="str">
        <x:v>Chưa bắt đầu</x:v>
      </x:c>
      <x:c r="L347" s="14" t="str"/>
      <x:c r="M347" s="14" t="str">
        <x:v>FRMS/Chương trình quản lý mệt mỏi; tiêu chí theo dõi ca kíp; báo cáo rủi ro mệt mỏi; 100% cơ sở ATS áp dụng; dữ liệu ca kíp được giám sát; hành động giảm rủi ro được theo dõi; 01 chương trình FRMS toàn ATS</x:v>
      </x:c>
      <x:c r="N347" s="14" t="str">
        <x:v>Tổng 1 nhiệm vụ liên quan.</x:v>
      </x:c>
    </x:row>
    <x:row r="348">
      <x:c r="A348" s="14" t="str">
        <x:v>PROC-0347</x:v>
      </x:c>
      <x:c r="B348" s="14" t="str">
        <x:v>VATM-0493</x:v>
      </x:c>
      <x:c r="C348" s="14" t="str">
        <x:v>Tuân thủ, pháp chế &amp; quản trị</x:v>
      </x:c>
      <x:c r="D348" s="14" t="str">
        <x:v>Giấy phép/phê chuẩn và register</x:v>
      </x:c>
      <x:c r="E348" s="14" t="str">
        <x:v>01 chương trình FRMS toàn ATS FRMS/Chương trình quản lý mệt mỏi</x:v>
      </x:c>
      <x:c r="F348" s="14" t="str">
        <x:v>Khác</x:v>
      </x:c>
      <x:c r="G348" s="14" t="str">
        <x:v>Văn phòng - Pháp chế; Ban Tổ chức cán bộ; Ban Không lưu; Ban An toàn - Chất lượng</x:v>
      </x:c>
      <x:c r="H348" s="14" t="str">
        <x:v>Trung tâm Huấn luyện đào tạo; Ban Không lưu; Các Công ty Quản lý bay khu vực Bắc/Trung/Nam; Văn phòng - Pháp chế</x:v>
      </x:c>
      <x:c r="I348" s="14" t="str">
        <x:v>Đ100</x:v>
      </x:c>
      <x:c r="J348" s="14" t="str">
        <x:v>P1</x:v>
      </x:c>
      <x:c r="K348" s="14" t="str">
        <x:v>Chưa bắt đầu</x:v>
      </x:c>
      <x:c r="L348" s="14" t="str"/>
      <x:c r="M348" s="14" t="str">
        <x:v>FRMS/Chương trình quản lý mệt mỏi; tiêu chí theo dõi ca kíp; báo cáo rủi ro mệt mỏi; 100% cơ sở ATS áp dụng; dữ liệu ca kíp được giám sát; hành động giảm rủi ro được theo dõi; 01 chương trình FRMS toàn ATS</x:v>
      </x:c>
      <x:c r="N348" s="14" t="str">
        <x:v>Tổng 1 nhiệm vụ liên quan.</x:v>
      </x:c>
    </x:row>
    <x:row r="349">
      <x:c r="A349" s="14" t="str">
        <x:v>PROC-0348</x:v>
      </x:c>
      <x:c r="B349" s="14" t="str">
        <x:v>VATM-0493</x:v>
      </x:c>
      <x:c r="C349" s="14" t="str">
        <x:v>Tuân thủ, pháp chế &amp; quản trị</x:v>
      </x:c>
      <x:c r="D349" s="14" t="str">
        <x:v>Giấy phép/phê chuẩn và register</x:v>
      </x:c>
      <x:c r="E349" s="14" t="str">
        <x:v>01 chương trình FRMS toàn ATS</x:v>
      </x:c>
      <x:c r="F349" s="14" t="str">
        <x:v>Khác</x:v>
      </x:c>
      <x:c r="G349" s="14" t="str">
        <x:v>Văn phòng - Pháp chế; Ban Tổ chức cán bộ; Ban Không lưu; Ban An toàn - Chất lượng</x:v>
      </x:c>
      <x:c r="H349" s="14" t="str">
        <x:v>Trung tâm Huấn luyện đào tạo; Ban Không lưu; Các Công ty Quản lý bay khu vực Bắc/Trung/Nam; Văn phòng - Pháp chế</x:v>
      </x:c>
      <x:c r="I349" s="14" t="str">
        <x:v>Đ100</x:v>
      </x:c>
      <x:c r="J349" s="14" t="str">
        <x:v>P1</x:v>
      </x:c>
      <x:c r="K349" s="14" t="str">
        <x:v>Chưa bắt đầu</x:v>
      </x:c>
      <x:c r="L349" s="14" t="str"/>
      <x:c r="M349" s="14" t="str">
        <x:v>FRMS/Chương trình quản lý mệt mỏi; tiêu chí theo dõi ca kíp; báo cáo rủi ro mệt mỏi; 100% cơ sở ATS áp dụng; dữ liệu ca kíp được giám sát; hành động giảm rủi ro được theo dõi; 01 chương trình FRMS toàn ATS</x:v>
      </x:c>
      <x:c r="N349" s="14" t="str">
        <x:v>Tổng 1 nhiệm vụ liên quan.</x:v>
      </x:c>
    </x:row>
    <x:row r="350">
      <x:c r="A350" s="14" t="str">
        <x:v>PROC-0349</x:v>
      </x:c>
      <x:c r="B350" s="14" t="str">
        <x:v>VATM-0495</x:v>
      </x:c>
      <x:c r="C350" s="14" t="str">
        <x:v>Tuân thủ, pháp chế &amp; quản trị</x:v>
      </x:c>
      <x:c r="D350" s="14" t="str">
        <x:v>Giấy phép/phê chuẩn và register</x:v>
      </x:c>
      <x:c r="E350" s="14" t="str">
        <x:v>Đề xuất VATM cho Chương trình ANS</x:v>
      </x:c>
      <x:c r="F350" s="14" t="str">
        <x:v>Khác</x:v>
      </x:c>
      <x:c r="G350" s="14" t="str">
        <x:v>Văn phòng - Pháp chế; Ban Không lưu; Ban Kỹ thuật - CNS/IT/Môi trường</x:v>
      </x:c>
      <x:c r="H350" s="14" t="str">
        <x:v>Văn phòng - Pháp chế</x:v>
      </x:c>
      <x:c r="I350" s="14" t="str">
        <x:v>Đ116-119</x:v>
      </x:c>
      <x:c r="J350" s="14" t="str">
        <x:v>P1</x:v>
      </x:c>
      <x:c r="K350" s="14" t="str">
        <x:v>Chưa bắt đầu</x:v>
      </x:c>
      <x:c r="L350" s="14" t="str"/>
      <x:c r="M350" s="14" t="str">
        <x:v>Đề xuất VATM cho Chương trình ANS; danh mục dự án; KPI; hồ sơ nguồn vốn; Có KPI đo lường an toàn, năng lực, hiệu quả, môi trường, số hóa; danh mục dự án được ưu tiên; 01 đề xuất chương trình + danh mục dự án</x:v>
      </x:c>
      <x:c r="N350" s="14" t="str">
        <x:v>Tổng 1 nhiệm vụ liên quan.</x:v>
      </x:c>
    </x:row>
    <x:row r="351">
      <x:c r="A351" s="14" t="str">
        <x:v>PROC-0350</x:v>
      </x:c>
      <x:c r="B351" s="14" t="str">
        <x:v>VATM-0495</x:v>
      </x:c>
      <x:c r="C351" s="14" t="str">
        <x:v>Tuân thủ, pháp chế &amp; quản trị</x:v>
      </x:c>
      <x:c r="D351" s="14" t="str">
        <x:v>Giấy phép/phê chuẩn và register</x:v>
      </x:c>
      <x:c r="E351" s="14" t="str">
        <x:v>01 đề xuất chương trình + danh mục dự án Đề xuất VATM cho Chương trình ANS</x:v>
      </x:c>
      <x:c r="F351" s="14" t="str">
        <x:v>Khác</x:v>
      </x:c>
      <x:c r="G351" s="14" t="str">
        <x:v>Văn phòng - Pháp chế; Ban Không lưu; Ban Kỹ thuật - CNS/IT/Môi trường</x:v>
      </x:c>
      <x:c r="H351" s="14" t="str">
        <x:v>Văn phòng - Pháp chế</x:v>
      </x:c>
      <x:c r="I351" s="14" t="str">
        <x:v>Đ116-119</x:v>
      </x:c>
      <x:c r="J351" s="14" t="str">
        <x:v>P1</x:v>
      </x:c>
      <x:c r="K351" s="14" t="str">
        <x:v>Chưa bắt đầu</x:v>
      </x:c>
      <x:c r="L351" s="14" t="str"/>
      <x:c r="M351" s="14" t="str">
        <x:v>Đề xuất VATM cho Chương trình ANS; danh mục dự án; KPI; hồ sơ nguồn vốn; Có KPI đo lường an toàn, năng lực, hiệu quả, môi trường, số hóa; danh mục dự án được ưu tiên; 01 đề xuất chương trình + danh mục dự án</x:v>
      </x:c>
      <x:c r="N351" s="14" t="str">
        <x:v>Tổng 1 nhiệm vụ liên quan.</x:v>
      </x:c>
    </x:row>
    <x:row r="352">
      <x:c r="A352" s="14" t="str">
        <x:v>PROC-0351</x:v>
      </x:c>
      <x:c r="B352" s="14" t="str">
        <x:v>VATM-0495</x:v>
      </x:c>
      <x:c r="C352" s="14" t="str">
        <x:v>Tuân thủ, pháp chế &amp; quản trị</x:v>
      </x:c>
      <x:c r="D352" s="14" t="str">
        <x:v>Giấy phép/phê chuẩn và register</x:v>
      </x:c>
      <x:c r="E352" s="14" t="str">
        <x:v>01 đề xuất chương trình + danh mục dự án</x:v>
      </x:c>
      <x:c r="F352" s="14" t="str">
        <x:v>Khác</x:v>
      </x:c>
      <x:c r="G352" s="14" t="str">
        <x:v>Văn phòng - Pháp chế; Ban Không lưu; Ban Kỹ thuật - CNS/IT/Môi trường</x:v>
      </x:c>
      <x:c r="H352" s="14" t="str">
        <x:v>Văn phòng - Pháp chế</x:v>
      </x:c>
      <x:c r="I352" s="14" t="str">
        <x:v>Đ116-119</x:v>
      </x:c>
      <x:c r="J352" s="14" t="str">
        <x:v>P1</x:v>
      </x:c>
      <x:c r="K352" s="14" t="str">
        <x:v>Chưa bắt đầu</x:v>
      </x:c>
      <x:c r="L352" s="14" t="str"/>
      <x:c r="M352" s="14" t="str">
        <x:v>Đề xuất VATM cho Chương trình ANS; danh mục dự án; KPI; hồ sơ nguồn vốn; Có KPI đo lường an toàn, năng lực, hiệu quả, môi trường, số hóa; danh mục dự án được ưu tiên; 01 đề xuất chương trình + danh mục dự án</x:v>
      </x:c>
      <x:c r="N352" s="14" t="str">
        <x:v>Tổng 1 nhiệm vụ liên quan.</x:v>
      </x:c>
    </x:row>
    <x:row r="353">
      <x:c r="A353" s="14" t="str">
        <x:v>PROC-0352</x:v>
      </x:c>
      <x:c r="B353" s="14" t="str">
        <x:v>VATM-0496; VATM-0496</x:v>
      </x:c>
      <x:c r="C353" s="14" t="str">
        <x:v>Tài chính - Kế hoạch đầu tư</x:v>
      </x:c>
      <x:c r="D353" s="14" t="str">
        <x:v>Kế hoạch vốn, đầu tư và mua sắm</x:v>
      </x:c>
      <x:c r="E353" s="14" t="str">
        <x:v>quy trình hạch toán</x:v>
      </x:c>
      <x:c r="F353" s="14" t="str">
        <x:v>Quy trình/SOP</x:v>
      </x:c>
      <x:c r="G353" s="14" t="str">
        <x:v>Ban Kế hoạch - Đầu tư; Ban Tài chính</x:v>
      </x:c>
      <x:c r="H353" s="14" t="str">
        <x:v>Ban Tổ chức cán bộ; Ban Không lưu; Ban Kỹ thuật - CNS/IT/Môi trường</x:v>
      </x:c>
      <x:c r="I353" s="14" t="str">
        <x:v>Đ119</x:v>
      </x:c>
      <x:c r="J353" s="14" t="str">
        <x:v>P1</x:v>
      </x:c>
      <x:c r="K353" s="14" t="str">
        <x:v>Chưa bắt đầu</x:v>
      </x:c>
      <x:c r="L353" s="14" t="str"/>
      <x:c r="M353" s="14" t="str">
        <x:v>Kế hoạch vốn; danh mục chi; quy trình hạch toán; báo cáo 2 năm từ 2027; Chi đúng nội dung Đ119; có chỉ số hiệu quả đầu tư và báo cáo định kỳ; Kế hoạch 2027-2030 + báo cáo 2 năm</x:v>
      </x:c>
      <x:c r="N353" s="14" t="str">
        <x:v>Tổng 2 nhiệm vụ liên quan.</x:v>
      </x:c>
    </x:row>
    <x:row r="354">
      <x:c r="A354" s="14" t="str">
        <x:v>PROC-0353</x:v>
      </x:c>
      <x:c r="B354" s="14" t="str">
        <x:v>VATM-0498; VATM-0498; VATM-0512; VATM-0512</x:v>
      </x:c>
      <x:c r="C354" s="14" t="str">
        <x:v>ANS - CNS/IT/Kỹ thuật</x:v>
      </x:c>
      <x:c r="D354" s="14" t="str">
        <x:v>CNS, trang thiết bị và bảo trì kỹ thuật</x:v>
      </x:c>
      <x:c r="E354" s="14" t="str">
        <x:v>quy chế phân quyền</x:v>
      </x:c>
      <x:c r="F354" s="14" t="str">
        <x:v>Quy trình/SOP</x:v>
      </x:c>
      <x:c r="G354" s="14" t="str">
        <x:v>Ban Kỹ thuật - CNS/IT/Môi trường; Ban Kế hoạch doanh nghiệp - Chuyển đổi số</x:v>
      </x:c>
      <x:c r="H354" s="14" t="str">
        <x:v>Các Công ty Quản lý bay khu vực Bắc/Trung/Nam; Trung tâm Thông báo tin tức hàng không; Trung tâm Quản lý luồng không lưu; Ban Kỹ thuật - CNS/IT/Môi trường</x:v>
      </x:c>
      <x:c r="I354" s="14" t="str">
        <x:v>Đ124-125, Đ94, Đ111; Điều 20-22</x:v>
      </x:c>
      <x:c r="J354" s="14" t="str">
        <x:v>P1</x:v>
      </x:c>
      <x:c r="K354" s="14" t="str">
        <x:v>Chưa bắt đầu</x:v>
      </x:c>
      <x:c r="L354" s="14" t="str"/>
      <x:c r="M354" s="14" t="str">
        <x:v>Kiến trúc dữ liệu; quy chế phân quyền; phương án dự phòng; kiểm thử an ninh; Kết nối an toàn, đúng mục đích, có phân quyền và kiểm tra định kỳ; 01 kiến trúc tích hợp + pilot; Kiến trúc kết nối; API/file exchange; quy chế phân quyền; SLA dữ liệu ≥95% đúng hạn; log truy cập lưu tối thiểu theo quy định nội bộ/pháp luật</x:v>
      </x:c>
      <x:c r="N354" s="14" t="str">
        <x:v>Tổng 4 nhiệm vụ liên quan.</x:v>
      </x:c>
    </x:row>
    <x:row r="355">
      <x:c r="A355" s="14" t="str">
        <x:v>PROC-0354</x:v>
      </x:c>
      <x:c r="B355" s="14" t="str">
        <x:v>VATM-0499; VATM-0499</x:v>
      </x:c>
      <x:c r="C355" s="14" t="str">
        <x:v>ANS - MET/Khí tượng hàng không</x:v>
      </x:c>
      <x:c r="D355" s="14" t="str">
        <x:v>Quan trắc, dự báo và cảnh báo MET</x:v>
      </x:c>
      <x:c r="E355" s="14" t="str">
        <x:v>quy trình cảnh báo/tư vấn</x:v>
      </x:c>
      <x:c r="F355" s="14" t="str">
        <x:v>Quy trình/SOP</x:v>
      </x:c>
      <x:c r="G355" s="14" t="str">
        <x:v>Trung tâm Khí tượng hàng không</x:v>
      </x:c>
      <x:c r="H355" s="14" t="str">
        <x:v>Các Công ty Quản lý bay khu vực Bắc/Trung/Nam; Ban Không lưu; Trung tâm Tìm kiếm cứu nạn hàng không; Trung tâm Khí tượng hàng không</x:v>
      </x:c>
      <x:c r="I355" s="14" t="str">
        <x:v>Đ109-110</x:v>
      </x:c>
      <x:c r="J355" s="14" t="str">
        <x:v>P2</x:v>
      </x:c>
      <x:c r="K355" s="14" t="str">
        <x:v>Chưa bắt đầu</x:v>
      </x:c>
      <x:c r="L355" s="14" t="str"/>
      <x:c r="M355" s="14" t="str">
        <x:v>Danh mục sản phẩm MET; SLA; quy trình cảnh báo/tư vấn; hồ sơ thiết bị; Sản phẩm đúng ICAO, đúng thời hạn; cảnh báo/tư vấn được truyền kịp thời tới người dùng; Toàn bộ sân bay/cơ sở MET VATM</x:v>
      </x:c>
      <x:c r="N355" s="14" t="str">
        <x:v>Tổng 2 nhiệm vụ liên quan.</x:v>
      </x:c>
    </x:row>
    <x:row r="356">
      <x:c r="A356" s="14" t="str">
        <x:v>PROC-0355</x:v>
      </x:c>
      <x:c r="B356" s="14" t="str">
        <x:v>VATM-0500; VATM-0500</x:v>
      </x:c>
      <x:c r="C356" s="14" t="str">
        <x:v>ANS - Tìm kiếm cứu nạn &amp; khẩn nguy</x:v>
      </x:c>
      <x:c r="D356" s="14" t="str">
        <x:v>SAR, khẩn nguy và hiệp đồng</x:v>
      </x:c>
      <x:c r="E356" s="14" t="str">
        <x:v>SOP xác định khu vực ưu tiên</x:v>
      </x:c>
      <x:c r="F356" s="14" t="str">
        <x:v>Quy trình/SOP</x:v>
      </x:c>
      <x:c r="G356" s="14" t="str">
        <x:v>Trung tâm Tìm kiếm cứu nạn hàng không</x:v>
      </x:c>
      <x:c r="H356" s="14" t="str">
        <x:v>Các Công ty Quản lý bay khu vực Bắc/Trung/Nam; Trung tâm Tìm kiếm cứu nạn hàng không</x:v>
      </x:c>
      <x:c r="I356" s="14" t="str">
        <x:v>Đ126-131</x:v>
      </x:c>
      <x:c r="J356" s="14" t="str">
        <x:v>P1</x:v>
      </x:c>
      <x:c r="K356" s="14" t="str">
        <x:v>Chưa bắt đầu</x:v>
      </x:c>
      <x:c r="L356" s="14" t="str"/>
      <x:c r="M356" s="14" t="str">
        <x:v>Kế hoạch SAR; SOP xác định khu vực ưu tiên; danh bạ phối hợp; log trực; Trực SAR 24/7; khu vực ưu tiên có cơ sở tính toán; phối hợp kịp thời; 01 kế hoạch toàn quốc + kế hoạch khu vực</x:v>
      </x:c>
      <x:c r="N356" s="14" t="str">
        <x:v>Tổng 2 nhiệm vụ liên quan.</x:v>
      </x:c>
    </x:row>
    <x:row r="357">
      <x:c r="A357" s="14" t="str">
        <x:v>PROC-0356</x:v>
      </x:c>
      <x:c r="B357" s="14" t="str">
        <x:v>VATM-0502; VATM-0502</x:v>
      </x:c>
      <x:c r="C357" s="14" t="str">
        <x:v>ANS - ATM/ATS/ATFM</x:v>
      </x:c>
      <x:c r="D357" s="14" t="str">
        <x:v>Cung cấp ATS/điều hành bay</x:v>
      </x:c>
      <x:c r="E357" s="14" t="str">
        <x:v>100% nhân sự trọng yếu hoàn thành đào tạo trước khi áp dụng SOP mới</x:v>
      </x:c>
      <x:c r="F357" s="14" t="str">
        <x:v>Quy trình/SOP</x:v>
      </x:c>
      <x:c r="G357" s="14" t="str">
        <x:v>Ban Không lưu; Văn phòng - Pháp chế; Trung tâm Huấn luyện đào tạo</x:v>
      </x:c>
      <x:c r="H357" s="14" t="str">
        <x:v>Các Công ty Quản lý bay khu vực Bắc/Trung/Nam; Ban Không lưu</x:v>
      </x:c>
      <x:c r="I357" s="14" t="str">
        <x:v>Toàn bộ</x:v>
      </x:c>
      <x:c r="J357" s="14" t="str">
        <x:v>P1</x:v>
      </x:c>
      <x:c r="K357" s="14" t="str">
        <x:v>Chưa bắt đầu</x:v>
      </x:c>
      <x:c r="L357" s="14" t="str"/>
      <x:c r="M357" s="14" t="str">
        <x:v>Chương trình đào tạo; tài liệu tóm tắt theo vai trò; bài kiểm tra; 100% nhân sự trọng yếu hoàn thành đào tạo trước khi áp dụng SOP mới; Tối thiểu 08 module theo nhóm nghiệp vụ</x:v>
      </x:c>
      <x:c r="N357" s="14" t="str">
        <x:v>Tổng 2 nhiệm vụ liên quan.</x:v>
      </x:c>
    </x:row>
    <x:row r="358">
      <x:c r="A358" s="14" t="str">
        <x:v>PROC-0357</x:v>
      </x:c>
      <x:c r="B358" s="14" t="str">
        <x:v>VATM-0502</x:v>
      </x:c>
      <x:c r="C358" s="14" t="str">
        <x:v>ANS - ATM/ATS/ATFM</x:v>
      </x:c>
      <x:c r="D358" s="14" t="str">
        <x:v>Cung cấp ATS/điều hành bay</x:v>
      </x:c>
      <x:c r="E358" s="14" t="str">
        <x:v>Tối thiểu 08 module theo nhóm nghiệp vụ Chương trình đào tạo</x:v>
      </x:c>
      <x:c r="F358" s="14" t="str">
        <x:v>Khác</x:v>
      </x:c>
      <x:c r="G358" s="14" t="str">
        <x:v>Ban Không lưu; Văn phòng - Pháp chế; Trung tâm Huấn luyện đào tạo</x:v>
      </x:c>
      <x:c r="H358" s="14" t="str">
        <x:v>Các Công ty Quản lý bay khu vực Bắc/Trung/Nam; Ban Không lưu</x:v>
      </x:c>
      <x:c r="I358" s="14" t="str">
        <x:v>Toàn bộ</x:v>
      </x:c>
      <x:c r="J358" s="14" t="str">
        <x:v>P1</x:v>
      </x:c>
      <x:c r="K358" s="14" t="str">
        <x:v>Chưa bắt đầu</x:v>
      </x:c>
      <x:c r="L358" s="14" t="str"/>
      <x:c r="M358" s="14" t="str">
        <x:v>Chương trình đào tạo; tài liệu tóm tắt theo vai trò; bài kiểm tra; 100% nhân sự trọng yếu hoàn thành đào tạo trước khi áp dụng SOP mới; Tối thiểu 08 module theo nhóm nghiệp vụ</x:v>
      </x:c>
      <x:c r="N358" s="14" t="str">
        <x:v>Tổng 1 nhiệm vụ liên quan.</x:v>
      </x:c>
    </x:row>
    <x:row r="359">
      <x:c r="A359" s="14" t="str">
        <x:v>PROC-0358</x:v>
      </x:c>
      <x:c r="B359" s="14" t="str">
        <x:v>VATM-0503; VATM-0503</x:v>
      </x:c>
      <x:c r="C359" s="14" t="str">
        <x:v>ANS - ATM/ATS/ATFM</x:v>
      </x:c>
      <x:c r="D359" s="14" t="str">
        <x:v>Cung cấp ATS/điều hành bay</x:v>
      </x:c>
      <x:c r="E359" s="14" t="str">
        <x:v>hướng dẫn gửi dữ liệu/hồ sơ</x:v>
      </x:c>
      <x:c r="F359" s="14" t="str">
        <x:v>Quy trình/SOP</x:v>
      </x:c>
      <x:c r="G359" s="14" t="str">
        <x:v>Ban Không lưu; Văn phòng - Pháp chế</x:v>
      </x:c>
      <x:c r="H359" s="14" t="str">
        <x:v>Các Công ty Quản lý bay khu vực Bắc/Trung/Nam; Ban Tài chính; Trung tâm Thông báo tin tức hàng không; Trung tâm Quản lý luồng không lưu; Ban Không lưu</x:v>
      </x:c>
      <x:c r="I359" s="14" t="str">
        <x:v>Đ15, Đ23, Đ114, Đ124</x:v>
      </x:c>
      <x:c r="J359" s="14" t="str">
        <x:v>P2</x:v>
      </x:c>
      <x:c r="K359" s="14" t="str">
        <x:v>Chưa bắt đầu</x:v>
      </x:c>
      <x:c r="L359" s="14" t="str"/>
      <x:c r="M359" s="14" t="str">
        <x:v>Danh bạ đầu mối; hướng dẫn gửi dữ liệu/hồ sơ; thông báo tới đối tác; Đầu mối rõ, hoạt động 24/7 nếu liên quan khai thác; giảm nhầm lẫn thẩm quyền; 01 gói truyền thông đối tác</x:v>
      </x:c>
      <x:c r="N359" s="14" t="str">
        <x:v>Tổng 2 nhiệm vụ liên quan.</x:v>
      </x:c>
    </x:row>
    <x:row r="360">
      <x:c r="A360" s="14" t="str">
        <x:v>PROC-0359</x:v>
      </x:c>
      <x:c r="B360" s="14" t="str">
        <x:v>VATM-0507; VATM-0507</x:v>
      </x:c>
      <x:c r="C360" s="14" t="str">
        <x:v>Tuân thủ, pháp chế &amp; quản trị</x:v>
      </x:c>
      <x:c r="D360" s="14" t="str">
        <x:v>Quản trị triển khai, RACI và báo cáo</x:v>
      </x:c>
      <x:c r="E360" s="14" t="str">
        <x:v>quy trình cập nhật yêu cầu NCTHK</x:v>
      </x:c>
      <x:c r="F360" s="14" t="str">
        <x:v>Quy trình/SOP</x:v>
      </x:c>
      <x:c r="G360" s="14" t="str">
        <x:v>Văn phòng - Pháp chế</x:v>
      </x:c>
      <x:c r="H360" s="14" t="str">
        <x:v>Văn phòng - Pháp chế; Ban An toàn - Chất lượng</x:v>
      </x:c>
      <x:c r="I360" s="14" t="str">
        <x:v>Điều 7-11</x:v>
      </x:c>
      <x:c r="J360" s="14" t="str">
        <x:v>P1</x:v>
      </x:c>
      <x:c r="K360" s="14" t="str">
        <x:v>Chưa bắt đầu</x:v>
      </x:c>
      <x:c r="L360" s="14" t="str"/>
      <x:c r="M360" s="14" t="str">
        <x:v>Sổ theo dõi pháp chế; quy trình cập nhật yêu cầu NCTHK; Cập nhật trong 03 ngày làm việc từ khi nhận văn bản/chỉ lệnh</x:v>
      </x:c>
      <x:c r="N360" s="14" t="str">
        <x:v>Tổng 2 nhiệm vụ liên quan.</x:v>
      </x:c>
    </x:row>
    <x:row r="361">
      <x:c r="A361" s="14" t="str">
        <x:v>PROC-0360</x:v>
      </x:c>
      <x:c r="B361" s="14" t="str">
        <x:v>VATM-0509</x:v>
      </x:c>
      <x:c r="C361" s="14" t="str">
        <x:v>Tuân thủ, dữ liệu &amp; chuyển đổi số</x:v>
      </x:c>
      <x:c r="D361" s="14" t="str">
        <x:v>Hồ sơ điện tử, CSDL và ký số</x:v>
      </x:c>
      <x:c r="E361" s="14" t="str">
        <x:v>SOP thủ tục với Cục HKVN</x:v>
      </x:c>
      <x:c r="F361" s="14" t="str">
        <x:v>Quy trình/SOP</x:v>
      </x:c>
      <x:c r="G361" s="14" t="str">
        <x:v>Ban Kế hoạch doanh nghiệp - Chuyển đổi số; Ban Kỹ thuật - CNS/IT/Môi trường; Văn phòng - Pháp chế</x:v>
      </x:c>
      <x:c r="H361" s="14" t="str">
        <x:v>Ban Tài chính; Văn phòng - Pháp chế</x:v>
      </x:c>
      <x:c r="I361" s="14" t="str">
        <x:v>Điều 5</x:v>
      </x:c>
      <x:c r="J361" s="14" t="str">
        <x:v>P1</x:v>
      </x:c>
      <x:c r="K361" s="14" t="str">
        <x:v>Chưa bắt đầu</x:v>
      </x:c>
      <x:c r="L361" s="14" t="str"/>
      <x:c r="M361" s="14" t="str">
        <x:v>SOP thủ tục với Cục HKVN; mẫu checklist hồ sơ; Không hồ sơ quá hạn do chậm nộp phí/bổ sung; log 100% hồ sơ</x:v>
      </x:c>
      <x:c r="N361" s="14" t="str">
        <x:v>Tổng 1 nhiệm vụ liên quan.</x:v>
      </x:c>
    </x:row>
    <x:row r="362">
      <x:c r="A362" s="14" t="str">
        <x:v>PROC-0361</x:v>
      </x:c>
      <x:c r="B362" s="14" t="str">
        <x:v>VATM-0509; VATM-0509</x:v>
      </x:c>
      <x:c r="C362" s="14" t="str">
        <x:v>Tuân thủ, dữ liệu &amp; chuyển đổi số</x:v>
      </x:c>
      <x:c r="D362" s="14" t="str">
        <x:v>Hồ sơ điện tử, CSDL và ký số</x:v>
      </x:c>
      <x:c r="E362" s="14" t="str">
        <x:v>mẫu checklist hồ sơ</x:v>
      </x:c>
      <x:c r="F362" s="14" t="str">
        <x:v>Biểu mẫu/Checklist</x:v>
      </x:c>
      <x:c r="G362" s="14" t="str">
        <x:v>Ban Kế hoạch doanh nghiệp - Chuyển đổi số; Ban Kỹ thuật - CNS/IT/Môi trường; Văn phòng - Pháp chế</x:v>
      </x:c>
      <x:c r="H362" s="14" t="str">
        <x:v>Ban Tài chính; Văn phòng - Pháp chế</x:v>
      </x:c>
      <x:c r="I362" s="14" t="str">
        <x:v>Điều 5</x:v>
      </x:c>
      <x:c r="J362" s="14" t="str">
        <x:v>P1</x:v>
      </x:c>
      <x:c r="K362" s="14" t="str">
        <x:v>Chưa bắt đầu</x:v>
      </x:c>
      <x:c r="L362" s="14" t="str"/>
      <x:c r="M362" s="14" t="str">
        <x:v>SOP thủ tục với Cục HKVN; mẫu checklist hồ sơ; Không hồ sơ quá hạn do chậm nộp phí/bổ sung; log 100% hồ sơ</x:v>
      </x:c>
      <x:c r="N362" s="14" t="str">
        <x:v>Tổng 2 nhiệm vụ liên quan.</x:v>
      </x:c>
    </x:row>
    <x:row r="363">
      <x:c r="A363" s="14" t="str">
        <x:v>PROC-0362</x:v>
      </x:c>
      <x:c r="B363" s="14" t="str">
        <x:v>VATM-0509</x:v>
      </x:c>
      <x:c r="C363" s="14" t="str">
        <x:v>Tuân thủ, dữ liệu &amp; chuyển đổi số</x:v>
      </x:c>
      <x:c r="D363" s="14" t="str">
        <x:v>Hồ sơ điện tử, CSDL và ký số</x:v>
      </x:c>
      <x:c r="E363" s="14" t="str">
        <x:v>log 100% hồ sơ SOP thủ tục với Cục HKVN</x:v>
      </x:c>
      <x:c r="F363" s="14" t="str">
        <x:v>Quy trình/SOP</x:v>
      </x:c>
      <x:c r="G363" s="14" t="str">
        <x:v>Ban Kế hoạch doanh nghiệp - Chuyển đổi số; Ban Kỹ thuật - CNS/IT/Môi trường; Văn phòng - Pháp chế</x:v>
      </x:c>
      <x:c r="H363" s="14" t="str">
        <x:v>Ban Tài chính; Văn phòng - Pháp chế</x:v>
      </x:c>
      <x:c r="I363" s="14" t="str">
        <x:v>Điều 5</x:v>
      </x:c>
      <x:c r="J363" s="14" t="str">
        <x:v>P1</x:v>
      </x:c>
      <x:c r="K363" s="14" t="str">
        <x:v>Chưa bắt đầu</x:v>
      </x:c>
      <x:c r="L363" s="14" t="str"/>
      <x:c r="M363" s="14" t="str">
        <x:v>SOP thủ tục với Cục HKVN; mẫu checklist hồ sơ; Không hồ sơ quá hạn do chậm nộp phí/bổ sung; log 100% hồ sơ</x:v>
      </x:c>
      <x:c r="N363" s="14" t="str">
        <x:v>Tổng 1 nhiệm vụ liên quan.</x:v>
      </x:c>
    </x:row>
    <x:row r="364">
      <x:c r="A364" s="14" t="str">
        <x:v>PROC-0363</x:v>
      </x:c>
      <x:c r="B364" s="14" t="str">
        <x:v>VATM-0510</x:v>
      </x:c>
      <x:c r="C364" s="14" t="str">
        <x:v>Tuân thủ, dữ liệu &amp; chuyển đổi số</x:v>
      </x:c>
      <x:c r="D364" s="14" t="str">
        <x:v>Hồ sơ điện tử, CSDL và ký số</x:v>
      </x:c>
      <x:c r="E364" s="14" t="str">
        <x:v>Quy chế</x:v>
      </x:c>
      <x:c r="F364" s="14" t="str">
        <x:v>Quy trình/SOP</x:v>
      </x:c>
      <x:c r="G364" s="14" t="str">
        <x:v>Ban Kế hoạch doanh nghiệp - Chuyển đổi số; Ban Kỹ thuật - CNS/IT/Môi trường</x:v>
      </x:c>
      <x:c r="H364" s="14" t="str">
        <x:v>Văn phòng - Pháp chế; Ban An toàn - Chất lượng</x:v>
      </x:c>
      <x:c r="I364" s="14" t="str">
        <x:v>Điều 6</x:v>
      </x:c>
      <x:c r="J364" s="14" t="str">
        <x:v>P1</x:v>
      </x:c>
      <x:c r="K364" s="14" t="str">
        <x:v>Chưa bắt đầu</x:v>
      </x:c>
      <x:c r="L364" s="14" t="str"/>
      <x:c r="M364" s="14" t="str">
        <x:v>Quy chế; ma trận loại chữ ký; tiêu chuẩn lưu trữ điện tử; 100% hồ sơ gửi cơ quan quản lý dùng chữ ký số hợp lệ; hồ sơ nội bộ có xác thực/lưu vết</x:v>
      </x:c>
      <x:c r="N364" s="14" t="str">
        <x:v>Tổng 1 nhiệm vụ liên quan.</x:v>
      </x:c>
    </x:row>
    <x:row r="365">
      <x:c r="A365" s="14" t="str">
        <x:v>PROC-0364</x:v>
      </x:c>
      <x:c r="B365" s="14" t="str">
        <x:v>VATM-0510</x:v>
      </x:c>
      <x:c r="C365" s="14" t="str">
        <x:v>Tuân thủ, dữ liệu &amp; chuyển đổi số</x:v>
      </x:c>
      <x:c r="D365" s="14" t="str">
        <x:v>Hồ sơ điện tử, CSDL và ký số</x:v>
      </x:c>
      <x:c r="E365" s="14" t="str">
        <x:v>hồ sơ nội bộ có xác thực/lưu vết Quy chế</x:v>
      </x:c>
      <x:c r="F365" s="14" t="str">
        <x:v>Quy trình/SOP</x:v>
      </x:c>
      <x:c r="G365" s="14" t="str">
        <x:v>Ban Kế hoạch doanh nghiệp - Chuyển đổi số; Ban Kỹ thuật - CNS/IT/Môi trường</x:v>
      </x:c>
      <x:c r="H365" s="14" t="str">
        <x:v>Văn phòng - Pháp chế; Ban An toàn - Chất lượng</x:v>
      </x:c>
      <x:c r="I365" s="14" t="str">
        <x:v>Điều 6</x:v>
      </x:c>
      <x:c r="J365" s="14" t="str">
        <x:v>P1</x:v>
      </x:c>
      <x:c r="K365" s="14" t="str">
        <x:v>Chưa bắt đầu</x:v>
      </x:c>
      <x:c r="L365" s="14" t="str"/>
      <x:c r="M365" s="14" t="str">
        <x:v>Quy chế; ma trận loại chữ ký; tiêu chuẩn lưu trữ điện tử; 100% hồ sơ gửi cơ quan quản lý dùng chữ ký số hợp lệ; hồ sơ nội bộ có xác thực/lưu vết</x:v>
      </x:c>
      <x:c r="N365" s="14" t="str">
        <x:v>Tổng 1 nhiệm vụ liên quan.</x:v>
      </x:c>
    </x:row>
    <x:row r="366">
      <x:c r="A366" s="14" t="str">
        <x:v>PROC-0365</x:v>
      </x:c>
      <x:c r="B366" s="14" t="str">
        <x:v>VATM-0514</x:v>
      </x:c>
      <x:c r="C366" s="14" t="str">
        <x:v>An toàn hàng không / SMS</x:v>
      </x:c>
      <x:c r="D366" s="14" t="str">
        <x:v>Khung SMS và quản trị an toàn</x:v>
      </x:c>
      <x:c r="E366" s="14" t="str">
        <x:v>SMS Manual revision</x:v>
      </x:c>
      <x:c r="F366" s="14" t="str">
        <x:v>Khác</x:v>
      </x:c>
      <x:c r="G366" s="14" t="str">
        <x:v>Ban An toàn - Chất lượng</x:v>
      </x:c>
      <x:c r="H366" s="14" t="str">
        <x:v>Các Công ty Quản lý bay khu vực Bắc/Trung/Nam; Ban An toàn - Chất lượng</x:v>
      </x:c>
      <x:c r="I366" s="14" t="str">
        <x:v>Điều 28-29,85</x:v>
      </x:c>
      <x:c r="J366" s="14" t="str">
        <x:v>P1</x:v>
      </x:c>
      <x:c r="K366" s="14" t="str">
        <x:v>Chưa bắt đầu</x:v>
      </x:c>
      <x:c r="L366" s="14" t="str"/>
      <x:c r="M366" s="14" t="str">
        <x:v>SMS Manual revision; hồ sơ trình NCTHK chấp thuận; Trình chấp thuận trong 12 tháng từ ngày hiệu lực; bao phủ ATS/CNS/MET/AIS/SAR</x:v>
      </x:c>
      <x:c r="N366" s="14" t="str">
        <x:v>Tổng 1 nhiệm vụ liên quan.</x:v>
      </x:c>
    </x:row>
    <x:row r="367">
      <x:c r="A367" s="14" t="str">
        <x:v>PROC-0366</x:v>
      </x:c>
      <x:c r="B367" s="14" t="str">
        <x:v>VATM-0514</x:v>
      </x:c>
      <x:c r="C367" s="14" t="str">
        <x:v>An toàn hàng không / SMS</x:v>
      </x:c>
      <x:c r="D367" s="14" t="str">
        <x:v>Khung SMS và quản trị an toàn</x:v>
      </x:c>
      <x:c r="E367" s="14" t="str">
        <x:v>bao phủ ATS/CNS/MET/AIS/SAR SMS Manual revision</x:v>
      </x:c>
      <x:c r="F367" s="14" t="str">
        <x:v>Khác</x:v>
      </x:c>
      <x:c r="G367" s="14" t="str">
        <x:v>Ban An toàn - Chất lượng</x:v>
      </x:c>
      <x:c r="H367" s="14" t="str">
        <x:v>Các Công ty Quản lý bay khu vực Bắc/Trung/Nam; Ban An toàn - Chất lượng</x:v>
      </x:c>
      <x:c r="I367" s="14" t="str">
        <x:v>Điều 28-29,85</x:v>
      </x:c>
      <x:c r="J367" s="14" t="str">
        <x:v>P1</x:v>
      </x:c>
      <x:c r="K367" s="14" t="str">
        <x:v>Chưa bắt đầu</x:v>
      </x:c>
      <x:c r="L367" s="14" t="str"/>
      <x:c r="M367" s="14" t="str">
        <x:v>SMS Manual revision; hồ sơ trình NCTHK chấp thuận; Trình chấp thuận trong 12 tháng từ ngày hiệu lực; bao phủ ATS/CNS/MET/AIS/SAR</x:v>
      </x:c>
      <x:c r="N367" s="14" t="str">
        <x:v>Tổng 1 nhiệm vụ liên quan.</x:v>
      </x:c>
    </x:row>
    <x:row r="368">
      <x:c r="A368" s="14" t="str">
        <x:v>PROC-0367</x:v>
      </x:c>
      <x:c r="B368" s="14" t="str">
        <x:v>VATM-0516; VATM-0516</x:v>
      </x:c>
      <x:c r="C368" s="14" t="str">
        <x:v>An toàn hàng không / SMS</x:v>
      </x:c>
      <x:c r="D368" s="14" t="str">
        <x:v>Khung SMS và quản trị an toàn</x:v>
      </x:c>
      <x:c r="E368" s="14" t="str">
        <x:v>hướng dẫn mã hóa</x:v>
      </x:c>
      <x:c r="F368" s="14" t="str">
        <x:v>Quy trình/SOP</x:v>
      </x:c>
      <x:c r="G368" s="14" t="str">
        <x:v>Ban An toàn - Chất lượng</x:v>
      </x:c>
      <x:c r="H368" s="14" t="str">
        <x:v>Ban Kế hoạch doanh nghiệp - Chuyển đổi số; Ban Không lưu; Ban Kỹ thuật - CNS/IT/Môi trường; Các Công ty Quản lý bay khu vực Bắc/Trung/Nam; Ban An toàn - Chất lượng</x:v>
      </x:c>
      <x:c r="I368" s="14" t="str">
        <x:v>Điều 30</x:v>
      </x:c>
      <x:c r="J368" s="14" t="str">
        <x:v>P1</x:v>
      </x:c>
      <x:c r="K368" s="14" t="str">
        <x:v>Chưa bắt đầu</x:v>
      </x:c>
      <x:c r="L368" s="14" t="str"/>
      <x:c r="M368" s="14" t="str">
        <x:v>Danh mục taxonomy; hướng dẫn mã hóa; 100% báo cáo mới có mã phân loại; mapping với hệ thống hiện hữu</x:v>
      </x:c>
      <x:c r="N368" s="14" t="str">
        <x:v>Tổng 2 nhiệm vụ liên quan.</x:v>
      </x:c>
    </x:row>
    <x:row r="369">
      <x:c r="A369" s="14" t="str">
        <x:v>PROC-0368</x:v>
      </x:c>
      <x:c r="B369" s="14" t="str">
        <x:v>VATM-0522</x:v>
      </x:c>
      <x:c r="C369" s="14" t="str">
        <x:v>An toàn hàng không / SMS</x:v>
      </x:c>
      <x:c r="D369" s="14" t="str">
        <x:v>Báo cáo MOR, sự cố và điều tra</x:v>
      </x:c>
      <x:c r="E369" s="14" t="str">
        <x:v>E-reporting/SOP</x:v>
      </x:c>
      <x:c r="F369" s="14" t="str">
        <x:v>Quy trình/SOP</x:v>
      </x:c>
      <x:c r="G369" s="14" t="str">
        <x:v>Ban An toàn - Chất lượng</x:v>
      </x:c>
      <x:c r="H369" s="14" t="str">
        <x:v>Ban Không lưu; Ban Kỹ thuật - CNS/IT/Môi trường; Trung tâm Khí tượng hàng không; Trung tâm Thông báo tin tức hàng không; Trung tâm Tìm kiếm cứu nạn hàng không; Các Công ty Quản lý bay khu vực Bắc/Trung/Nam; Ban An toàn - Chất lượng</x:v>
      </x:c>
      <x:c r="I369" s="14" t="str">
        <x:v>Điều 35</x:v>
      </x:c>
      <x:c r="J369" s="14" t="str">
        <x:v>P1</x:v>
      </x:c>
      <x:c r="K369" s="14" t="str">
        <x:v>Chưa bắt đầu</x:v>
      </x:c>
      <x:c r="L369" s="14" t="str"/>
      <x:c r="M369" s="14" t="str">
        <x:v>E-reporting/SOP; danh mục sự cố bắt buộc; quy trình thẩm tra; 100% sự cố bắt buộc báo cáo NCTHK tối đa 72 giờ; báo cáo nội bộ ngay theo cấp độ</x:v>
      </x:c>
      <x:c r="N369" s="14" t="str">
        <x:v>Tổng 1 nhiệm vụ liên quan.</x:v>
      </x:c>
    </x:row>
    <x:row r="370">
      <x:c r="A370" s="14" t="str">
        <x:v>PROC-0369</x:v>
      </x:c>
      <x:c r="B370" s="14" t="str">
        <x:v>VATM-0522; VATM-0522</x:v>
      </x:c>
      <x:c r="C370" s="14" t="str">
        <x:v>An toàn hàng không / SMS</x:v>
      </x:c>
      <x:c r="D370" s="14" t="str">
        <x:v>Báo cáo MOR, sự cố và điều tra</x:v>
      </x:c>
      <x:c r="E370" s="14" t="str">
        <x:v>quy trình thẩm tra</x:v>
      </x:c>
      <x:c r="F370" s="14" t="str">
        <x:v>Quy trình/SOP</x:v>
      </x:c>
      <x:c r="G370" s="14" t="str">
        <x:v>Ban An toàn - Chất lượng</x:v>
      </x:c>
      <x:c r="H370" s="14" t="str">
        <x:v>Ban Không lưu; Ban Kỹ thuật - CNS/IT/Môi trường; Trung tâm Khí tượng hàng không; Trung tâm Thông báo tin tức hàng không; Trung tâm Tìm kiếm cứu nạn hàng không; Các Công ty Quản lý bay khu vực Bắc/Trung/Nam; Ban An toàn - Chất lượng</x:v>
      </x:c>
      <x:c r="I370" s="14" t="str">
        <x:v>Điều 35</x:v>
      </x:c>
      <x:c r="J370" s="14" t="str">
        <x:v>P1</x:v>
      </x:c>
      <x:c r="K370" s="14" t="str">
        <x:v>Chưa bắt đầu</x:v>
      </x:c>
      <x:c r="L370" s="14" t="str"/>
      <x:c r="M370" s="14" t="str">
        <x:v>E-reporting/SOP; danh mục sự cố bắt buộc; quy trình thẩm tra; 100% sự cố bắt buộc báo cáo NCTHK tối đa 72 giờ; báo cáo nội bộ ngay theo cấp độ</x:v>
      </x:c>
      <x:c r="N370" s="14" t="str">
        <x:v>Tổng 2 nhiệm vụ liên quan.</x:v>
      </x:c>
    </x:row>
    <x:row r="371">
      <x:c r="A371" s="14" t="str">
        <x:v>PROC-0370</x:v>
      </x:c>
      <x:c r="B371" s="14" t="str">
        <x:v>VATM-0522</x:v>
      </x:c>
      <x:c r="C371" s="14" t="str">
        <x:v>An toàn hàng không / SMS</x:v>
      </x:c>
      <x:c r="D371" s="14" t="str">
        <x:v>Báo cáo MOR, sự cố và điều tra</x:v>
      </x:c>
      <x:c r="E371" s="14" t="str">
        <x:v>báo cáo nội bộ ngay theo cấp độ E-reporting/SOP</x:v>
      </x:c>
      <x:c r="F371" s="14" t="str">
        <x:v>Quy trình/SOP</x:v>
      </x:c>
      <x:c r="G371" s="14" t="str">
        <x:v>Ban An toàn - Chất lượng</x:v>
      </x:c>
      <x:c r="H371" s="14" t="str">
        <x:v>Ban Không lưu; Ban Kỹ thuật - CNS/IT/Môi trường; Trung tâm Khí tượng hàng không; Trung tâm Thông báo tin tức hàng không; Trung tâm Tìm kiếm cứu nạn hàng không; Các Công ty Quản lý bay khu vực Bắc/Trung/Nam; Ban An toàn - Chất lượng</x:v>
      </x:c>
      <x:c r="I371" s="14" t="str">
        <x:v>Điều 35</x:v>
      </x:c>
      <x:c r="J371" s="14" t="str">
        <x:v>P1</x:v>
      </x:c>
      <x:c r="K371" s="14" t="str">
        <x:v>Chưa bắt đầu</x:v>
      </x:c>
      <x:c r="L371" s="14" t="str"/>
      <x:c r="M371" s="14" t="str">
        <x:v>E-reporting/SOP; danh mục sự cố bắt buộc; quy trình thẩm tra; 100% sự cố bắt buộc báo cáo NCTHK tối đa 72 giờ; báo cáo nội bộ ngay theo cấp độ</x:v>
      </x:c>
      <x:c r="N371" s="14" t="str">
        <x:v>Tổng 1 nhiệm vụ liên quan.</x:v>
      </x:c>
    </x:row>
    <x:row r="372">
      <x:c r="A372" s="14" t="str">
        <x:v>PROC-0371</x:v>
      </x:c>
      <x:c r="B372" s="14" t="str">
        <x:v>VATM-0523</x:v>
      </x:c>
      <x:c r="C372" s="14" t="str">
        <x:v>An toàn hàng không / SMS</x:v>
      </x:c>
      <x:c r="D372" s="14" t="str">
        <x:v>Báo cáo MOR, sự cố và điều tra</x:v>
      </x:c>
      <x:c r="E372" s="14" t="str">
        <x:v>SOP ACCID/SINCID</x:v>
      </x:c>
      <x:c r="F372" s="14" t="str">
        <x:v>Quy trình/SOP</x:v>
      </x:c>
      <x:c r="G372" s="14" t="str">
        <x:v>Ban An toàn - Chất lượng</x:v>
      </x:c>
      <x:c r="H372" s="14" t="str">
        <x:v>Các Công ty Quản lý bay khu vực Bắc/Trung/Nam; Ban Không lưu; Trung tâm Tìm kiếm cứu nạn hàng không; Ban An toàn - Chất lượng</x:v>
      </x:c>
      <x:c r="I372" s="14" t="str">
        <x:v>Điều 35,67-68</x:v>
      </x:c>
      <x:c r="J372" s="14" t="str">
        <x:v>P1</x:v>
      </x:c>
      <x:c r="K372" s="14" t="str">
        <x:v>Chưa bắt đầu</x:v>
      </x:c>
      <x:c r="L372" s="14" t="str"/>
      <x:c r="M372" s="14" t="str">
        <x:v>SOP ACCID/SINCID; mẫu báo cáo 24h; hotline/đầu mối 24/7; 100% tình huống có log thời gian phát hiện/thông báo; kiểm tra diễn tập 2 lần/năm</x:v>
      </x:c>
      <x:c r="N372" s="14" t="str">
        <x:v>Tổng 1 nhiệm vụ liên quan.</x:v>
      </x:c>
    </x:row>
    <x:row r="373">
      <x:c r="A373" s="14" t="str">
        <x:v>PROC-0372</x:v>
      </x:c>
      <x:c r="B373" s="14" t="str">
        <x:v>VATM-0523</x:v>
      </x:c>
      <x:c r="C373" s="14" t="str">
        <x:v>An toàn hàng không / SMS</x:v>
      </x:c>
      <x:c r="D373" s="14" t="str">
        <x:v>Báo cáo MOR, sự cố và điều tra</x:v>
      </x:c>
      <x:c r="E373" s="14" t="str">
        <x:v>kiểm tra diễn tập 2 lần/năm SOP ACCID/SINCID</x:v>
      </x:c>
      <x:c r="F373" s="14" t="str">
        <x:v>Quy trình/SOP</x:v>
      </x:c>
      <x:c r="G373" s="14" t="str">
        <x:v>Ban An toàn - Chất lượng</x:v>
      </x:c>
      <x:c r="H373" s="14" t="str">
        <x:v>Các Công ty Quản lý bay khu vực Bắc/Trung/Nam; Ban Không lưu; Trung tâm Tìm kiếm cứu nạn hàng không; Ban An toàn - Chất lượng</x:v>
      </x:c>
      <x:c r="I373" s="14" t="str">
        <x:v>Điều 35,67-68</x:v>
      </x:c>
      <x:c r="J373" s="14" t="str">
        <x:v>P1</x:v>
      </x:c>
      <x:c r="K373" s="14" t="str">
        <x:v>Chưa bắt đầu</x:v>
      </x:c>
      <x:c r="L373" s="14" t="str"/>
      <x:c r="M373" s="14" t="str">
        <x:v>SOP ACCID/SINCID; mẫu báo cáo 24h; hotline/đầu mối 24/7; 100% tình huống có log thời gian phát hiện/thông báo; kiểm tra diễn tập 2 lần/năm</x:v>
      </x:c>
      <x:c r="N373" s="14" t="str">
        <x:v>Tổng 1 nhiệm vụ liên quan.</x:v>
      </x:c>
    </x:row>
    <x:row r="374">
      <x:c r="A374" s="14" t="str">
        <x:v>PROC-0373</x:v>
      </x:c>
      <x:c r="B374" s="14" t="str">
        <x:v>VATM-0528; VATM-0528</x:v>
      </x:c>
      <x:c r="C374" s="14" t="str">
        <x:v>Huấn luyện đào tạo &amp; nhân viên HK</x:v>
      </x:c>
      <x:c r="D374" s="14" t="str">
        <x:v>Giấy phép, năng định, chứng chỉ</x:v>
      </x:c>
      <x:c r="E374" s="14" t="str">
        <x:v>hướng dẫn hồ sơ Mẫu 02-04</x:v>
      </x:c>
      <x:c r="F374" s="14" t="str">
        <x:v>Quy trình/SOP</x:v>
      </x:c>
      <x:c r="G374" s="14" t="str">
        <x:v>Trung tâm Huấn luyện đào tạo; Ban Tổ chức cán bộ</x:v>
      </x:c>
      <x:c r="H374" s="14" t="str">
        <x:v>Văn phòng - Pháp chế; Ban Không lưu</x:v>
      </x:c>
      <x:c r="I374" s="14" t="str">
        <x:v>Điều 44-46</x:v>
      </x:c>
      <x:c r="J374" s="14" t="str">
        <x:v>P1</x:v>
      </x:c>
      <x:c r="K374" s="14" t="str">
        <x:v>Chưa bắt đầu</x:v>
      </x:c>
      <x:c r="L374" s="14" t="str"/>
      <x:c r="M374" s="14" t="str">
        <x:v>Kế hoạch khám; danh sách cơ sở y tế; hướng dẫn hồ sơ Mẫu 02-04; 100% ATCO có giấy chứng nhận sức khỏe hợp lệ theo quy định mới trước 01/07/2027</x:v>
      </x:c>
      <x:c r="N374" s="14" t="str">
        <x:v>Tổng 2 nhiệm vụ liên quan.</x:v>
      </x:c>
    </x:row>
    <x:row r="375">
      <x:c r="A375" s="14" t="str">
        <x:v>PROC-0374</x:v>
      </x:c>
      <x:c r="B375" s="14" t="str">
        <x:v>VATM-0529</x:v>
      </x:c>
      <x:c r="C375" s="14" t="str">
        <x:v>Huấn luyện đào tạo &amp; nhân viên HK</x:v>
      </x:c>
      <x:c r="D375" s="14" t="str">
        <x:v>Giấy phép, năng định, chứng chỉ</x:v>
      </x:c>
      <x:c r="E375" s="14" t="str">
        <x:v>Quy chế ca kíp/nghỉ bù</x:v>
      </x:c>
      <x:c r="F375" s="14" t="str">
        <x:v>Quy trình/SOP</x:v>
      </x:c>
      <x:c r="G375" s="14" t="str">
        <x:v>Trung tâm Huấn luyện đào tạo; Ban Tổ chức cán bộ</x:v>
      </x:c>
      <x:c r="H375" s="14" t="str">
        <x:v>Ban Không lưu; Ban Kỹ thuật - CNS/IT/Môi trường; Trung tâm Khí tượng hàng không; Trung tâm Thông báo tin tức hàng không; Trung tâm Tìm kiếm cứu nạn hàng không</x:v>
      </x:c>
      <x:c r="I375" s="14" t="str">
        <x:v>Điều 47</x:v>
      </x:c>
      <x:c r="J375" s="14" t="str">
        <x:v>P1</x:v>
      </x:c>
      <x:c r="K375" s="14" t="str">
        <x:v>Chưa bắt đầu</x:v>
      </x:c>
      <x:c r="L375" s="14" t="str"/>
      <x:c r="M375" s="14" t="str">
        <x:v>Quy chế ca kíp/nghỉ bù; fatigue risk register; 100% ca trực kiểm soát thời gian nghỉ; làm thêm vượt giới hạn phải có nghỉ bù tương ứng</x:v>
      </x:c>
      <x:c r="N375" s="14" t="str">
        <x:v>Tổng 1 nhiệm vụ liên quan.</x:v>
      </x:c>
    </x:row>
    <x:row r="376">
      <x:c r="A376" s="14" t="str">
        <x:v>PROC-0375</x:v>
      </x:c>
      <x:c r="B376" s="14" t="str">
        <x:v>VATM-0529</x:v>
      </x:c>
      <x:c r="C376" s="14" t="str">
        <x:v>Huấn luyện đào tạo &amp; nhân viên HK</x:v>
      </x:c>
      <x:c r="D376" s="14" t="str">
        <x:v>Giấy phép, năng định, chứng chỉ</x:v>
      </x:c>
      <x:c r="E376" s="14" t="str">
        <x:v>làm thêm vượt giới hạn phải có nghỉ bù tương ứng Quy chế ca kíp/nghỉ bù</x:v>
      </x:c>
      <x:c r="F376" s="14" t="str">
        <x:v>Quy trình/SOP</x:v>
      </x:c>
      <x:c r="G376" s="14" t="str">
        <x:v>Trung tâm Huấn luyện đào tạo; Ban Tổ chức cán bộ</x:v>
      </x:c>
      <x:c r="H376" s="14" t="str">
        <x:v>Ban Không lưu; Ban Kỹ thuật - CNS/IT/Môi trường; Trung tâm Khí tượng hàng không; Trung tâm Thông báo tin tức hàng không; Trung tâm Tìm kiếm cứu nạn hàng không</x:v>
      </x:c>
      <x:c r="I376" s="14" t="str">
        <x:v>Điều 47</x:v>
      </x:c>
      <x:c r="J376" s="14" t="str">
        <x:v>P1</x:v>
      </x:c>
      <x:c r="K376" s="14" t="str">
        <x:v>Chưa bắt đầu</x:v>
      </x:c>
      <x:c r="L376" s="14" t="str"/>
      <x:c r="M376" s="14" t="str">
        <x:v>Quy chế ca kíp/nghỉ bù; fatigue risk register; 100% ca trực kiểm soát thời gian nghỉ; làm thêm vượt giới hạn phải có nghỉ bù tương ứng</x:v>
      </x:c>
      <x:c r="N376" s="14" t="str">
        <x:v>Tổng 1 nhiệm vụ liên quan.</x:v>
      </x:c>
    </x:row>
    <x:row r="377">
      <x:c r="A377" s="14" t="str">
        <x:v>PROC-0376</x:v>
      </x:c>
      <x:c r="B377" s="14" t="str">
        <x:v>VATM-0531; VATM-0531</x:v>
      </x:c>
      <x:c r="C377" s="14" t="str">
        <x:v>Huấn luyện đào tạo &amp; nhân viên HK</x:v>
      </x:c>
      <x:c r="D377" s="14" t="str">
        <x:v>Giấy phép, năng định, chứng chỉ</x:v>
      </x:c>
      <x:c r="E377" s="14" t="str">
        <x:v>quy trình điều tra kỷ luật</x:v>
      </x:c>
      <x:c r="F377" s="14" t="str">
        <x:v>Quy trình/SOP</x:v>
      </x:c>
      <x:c r="G377" s="14" t="str">
        <x:v>Trung tâm Huấn luyện đào tạo; Ban Tổ chức cán bộ; Văn phòng - Pháp chế</x:v>
      </x:c>
      <x:c r="H377" s="14" t="str">
        <x:v>Ban An toàn - Chất lượng</x:v>
      </x:c>
      <x:c r="I377" s="14" t="str">
        <x:v>Điều 48</x:v>
      </x:c>
      <x:c r="J377" s="14" t="str">
        <x:v>P1</x:v>
      </x:c>
      <x:c r="K377" s="14" t="str">
        <x:v>Chưa bắt đầu</x:v>
      </x:c>
      <x:c r="L377" s="14" t="str"/>
      <x:c r="M377" s="14" t="str">
        <x:v>Nội quy sửa đổi; mẫu quyết định tạm đình chỉ; quy trình điều tra kỷ luật; Đúng pháp luật lao động; tách xử lý kỷ luật và biện pháp khẩn cấp an toàn</x:v>
      </x:c>
      <x:c r="N377" s="14" t="str">
        <x:v>Tổng 2 nhiệm vụ liên quan.</x:v>
      </x:c>
    </x:row>
    <x:row r="378">
      <x:c r="A378" s="14" t="str">
        <x:v>PROC-0377</x:v>
      </x:c>
      <x:c r="B378" s="14" t="str">
        <x:v>VATM-0533</x:v>
      </x:c>
      <x:c r="C378" s="14" t="str">
        <x:v>Huấn luyện đào tạo &amp; nhân viên HK</x:v>
      </x:c>
      <x:c r="D378" s="14" t="str">
        <x:v>Chương trình/cơ sở huấn luyện</x:v>
      </x:c>
      <x:c r="E378" s="14" t="str">
        <x:v>100% chương trình đang đào tạo có cơ sở pháp lý và phạm vi phê chuẩn Báo cáo pháp lý GCN</x:v>
      </x:c>
      <x:c r="F378" s="14" t="str">
        <x:v>Báo cáo</x:v>
      </x:c>
      <x:c r="G378" s="14" t="str">
        <x:v>Trung tâm Huấn luyện đào tạo; Ban Tổ chức cán bộ; Ban Không lưu</x:v>
      </x:c>
      <x:c r="H378" s="14" t="str">
        <x:v>Văn phòng - Pháp chế; Ban An toàn - Chất lượng</x:v>
      </x:c>
      <x:c r="I378" s="14" t="str">
        <x:v>Điều 49, Phụ lục I-II</x:v>
      </x:c>
      <x:c r="J378" s="14" t="str">
        <x:v>P1</x:v>
      </x:c>
      <x:c r="K378" s="14" t="str">
        <x:v>Chưa bắt đầu</x:v>
      </x:c>
      <x:c r="L378" s="14" t="str"/>
      <x:c r="M378" s="14" t="str">
        <x:v>Báo cáo pháp lý GCN; phạm vi đào tạo hiện hữu/đề xuất; 100% chương trình đang đào tạo có cơ sở pháp lý và phạm vi phê chuẩn</x:v>
      </x:c>
      <x:c r="N378" s="14" t="str">
        <x:v>Tổng 1 nhiệm vụ liên quan.</x:v>
      </x:c>
    </x:row>
    <x:row r="379">
      <x:c r="A379" s="14" t="str">
        <x:v>PROC-0378</x:v>
      </x:c>
      <x:c r="B379" s="14" t="str">
        <x:v>VATM-0533</x:v>
      </x:c>
      <x:c r="C379" s="14" t="str">
        <x:v>Huấn luyện đào tạo &amp; nhân viên HK</x:v>
      </x:c>
      <x:c r="D379" s="14" t="str">
        <x:v>Chương trình/cơ sở huấn luyện</x:v>
      </x:c>
      <x:c r="E379" s="14" t="str">
        <x:v>100% chương trình đang đào tạo có cơ sở pháp lý và phạm vi phê chuẩn</x:v>
      </x:c>
      <x:c r="F379" s="14" t="str">
        <x:v>Khác</x:v>
      </x:c>
      <x:c r="G379" s="14" t="str">
        <x:v>Trung tâm Huấn luyện đào tạo; Ban Tổ chức cán bộ; Ban Không lưu</x:v>
      </x:c>
      <x:c r="H379" s="14" t="str">
        <x:v>Văn phòng - Pháp chế; Ban An toàn - Chất lượng</x:v>
      </x:c>
      <x:c r="I379" s="14" t="str">
        <x:v>Điều 49, Phụ lục I-II</x:v>
      </x:c>
      <x:c r="J379" s="14" t="str">
        <x:v>P1</x:v>
      </x:c>
      <x:c r="K379" s="14" t="str">
        <x:v>Chưa bắt đầu</x:v>
      </x:c>
      <x:c r="L379" s="14" t="str"/>
      <x:c r="M379" s="14" t="str">
        <x:v>Báo cáo pháp lý GCN; phạm vi đào tạo hiện hữu/đề xuất; 100% chương trình đang đào tạo có cơ sở pháp lý và phạm vi phê chuẩn</x:v>
      </x:c>
      <x:c r="N379" s="14" t="str">
        <x:v>Tổng 1 nhiệm vụ liên quan.</x:v>
      </x:c>
    </x:row>
    <x:row r="380">
      <x:c r="A380" s="14" t="str">
        <x:v>PROC-0379</x:v>
      </x:c>
      <x:c r="B380" s="14" t="str">
        <x:v>VATM-0534</x:v>
      </x:c>
      <x:c r="C380" s="14" t="str">
        <x:v>Huấn luyện đào tạo &amp; nhân viên HK</x:v>
      </x:c>
      <x:c r="D380" s="14" t="str">
        <x:v>Chương trình/cơ sở huấn luyện</x:v>
      </x:c>
      <x:c r="E380" s="14" t="str">
        <x:v>ATO Manual, syllabus, giáo trình, quy trình kiểm tra/đánh giá</x:v>
      </x:c>
      <x:c r="F380" s="14" t="str">
        <x:v>Quy trình/SOP</x:v>
      </x:c>
      <x:c r="G380" s="14" t="str">
        <x:v>Trung tâm Huấn luyện đào tạo; Ban Tổ chức cán bộ</x:v>
      </x:c>
      <x:c r="H380" s="14" t="str">
        <x:v>Ban Không lưu; Ban Kỹ thuật - CNS/IT/Môi trường; Ban An toàn - Chất lượng; Trung tâm Khí tượng hàng không; Trung tâm Thông báo tin tức hàng không; Trung tâm Tìm kiếm cứu nạn hàng không</x:v>
      </x:c>
      <x:c r="I380" s="14" t="str">
        <x:v>Điều 49</x:v>
      </x:c>
      <x:c r="J380" s="14" t="str">
        <x:v>P1</x:v>
      </x:c>
      <x:c r="K380" s="14" t="str">
        <x:v>Chưa bắt đầu</x:v>
      </x:c>
      <x:c r="L380" s="14" t="str"/>
      <x:c r="M380" s="14" t="str">
        <x:v>ATO Manual, syllabus, giáo trình, quy trình kiểm tra/đánh giá; Tài liệu có version control; phù hợp chương trình Bộ Xây dựng và phạm vi phê chuẩn</x:v>
      </x:c>
      <x:c r="N380" s="14" t="str">
        <x:v>Tổng 1 nhiệm vụ liên quan.</x:v>
      </x:c>
    </x:row>
    <x:row r="381">
      <x:c r="A381" s="14" t="str">
        <x:v>PROC-0380</x:v>
      </x:c>
      <x:c r="B381" s="14" t="str">
        <x:v>VATM-0534</x:v>
      </x:c>
      <x:c r="C381" s="14" t="str">
        <x:v>Huấn luyện đào tạo &amp; nhân viên HK</x:v>
      </x:c>
      <x:c r="D381" s="14" t="str">
        <x:v>Chương trình/cơ sở huấn luyện</x:v>
      </x:c>
      <x:c r="E381" s="14" t="str">
        <x:v>phù hợp chương trình Bộ Xây dựng và phạm vi phê chuẩn ATO Manual, syllabus, giáo trình, quy trình kiểm tra/đánh giá</x:v>
      </x:c>
      <x:c r="F381" s="14" t="str">
        <x:v>Quy trình/SOP</x:v>
      </x:c>
      <x:c r="G381" s="14" t="str">
        <x:v>Trung tâm Huấn luyện đào tạo; Ban Tổ chức cán bộ</x:v>
      </x:c>
      <x:c r="H381" s="14" t="str">
        <x:v>Ban Không lưu; Ban Kỹ thuật - CNS/IT/Môi trường; Ban An toàn - Chất lượng; Trung tâm Khí tượng hàng không; Trung tâm Thông báo tin tức hàng không; Trung tâm Tìm kiếm cứu nạn hàng không</x:v>
      </x:c>
      <x:c r="I381" s="14" t="str">
        <x:v>Điều 49</x:v>
      </x:c>
      <x:c r="J381" s="14" t="str">
        <x:v>P1</x:v>
      </x:c>
      <x:c r="K381" s="14" t="str">
        <x:v>Chưa bắt đầu</x:v>
      </x:c>
      <x:c r="L381" s="14" t="str"/>
      <x:c r="M381" s="14" t="str">
        <x:v>ATO Manual, syllabus, giáo trình, quy trình kiểm tra/đánh giá; Tài liệu có version control; phù hợp chương trình Bộ Xây dựng và phạm vi phê chuẩn</x:v>
      </x:c>
      <x:c r="N381" s="14" t="str">
        <x:v>Tổng 1 nhiệm vụ liên quan.</x:v>
      </x:c>
    </x:row>
    <x:row r="382">
      <x:c r="A382" s="14" t="str">
        <x:v>PROC-0381</x:v>
      </x:c>
      <x:c r="B382" s="14" t="str">
        <x:v>VATM-0534</x:v>
      </x:c>
      <x:c r="C382" s="14" t="str">
        <x:v>Huấn luyện đào tạo &amp; nhân viên HK</x:v>
      </x:c>
      <x:c r="D382" s="14" t="str">
        <x:v>Chương trình/cơ sở huấn luyện</x:v>
      </x:c>
      <x:c r="E382" s="14" t="str">
        <x:v>phù hợp chương trình Bộ Xây dựng và phạm vi phê chuẩn</x:v>
      </x:c>
      <x:c r="F382" s="14" t="str">
        <x:v>Khác</x:v>
      </x:c>
      <x:c r="G382" s="14" t="str">
        <x:v>Trung tâm Huấn luyện đào tạo; Ban Tổ chức cán bộ</x:v>
      </x:c>
      <x:c r="H382" s="14" t="str">
        <x:v>Ban Không lưu; Ban Kỹ thuật - CNS/IT/Môi trường; Ban An toàn - Chất lượng; Trung tâm Khí tượng hàng không; Trung tâm Thông báo tin tức hàng không; Trung tâm Tìm kiếm cứu nạn hàng không</x:v>
      </x:c>
      <x:c r="I382" s="14" t="str">
        <x:v>Điều 49</x:v>
      </x:c>
      <x:c r="J382" s="14" t="str">
        <x:v>P1</x:v>
      </x:c>
      <x:c r="K382" s="14" t="str">
        <x:v>Chưa bắt đầu</x:v>
      </x:c>
      <x:c r="L382" s="14" t="str"/>
      <x:c r="M382" s="14" t="str">
        <x:v>ATO Manual, syllabus, giáo trình, quy trình kiểm tra/đánh giá; Tài liệu có version control; phù hợp chương trình Bộ Xây dựng và phạm vi phê chuẩn</x:v>
      </x:c>
      <x:c r="N382" s="14" t="str">
        <x:v>Tổng 1 nhiệm vụ liên quan.</x:v>
      </x:c>
    </x:row>
    <x:row r="383">
      <x:c r="A383" s="14" t="str">
        <x:v>PROC-0382</x:v>
      </x:c>
      <x:c r="B383" s="14" t="str">
        <x:v>VATM-0536; VATM-0536</x:v>
      </x:c>
      <x:c r="C383" s="14" t="str">
        <x:v>Huấn luyện đào tạo &amp; nhân viên HK</x:v>
      </x:c>
      <x:c r="D383" s="14" t="str">
        <x:v>Chương trình/cơ sở huấn luyện</x:v>
      </x:c>
      <x:c r="E383" s="14" t="str">
        <x:v>Có tối thiểu 01 simulator phù hợp chương trình ATCO</x:v>
      </x:c>
      <x:c r="F383" s="14" t="str">
        <x:v>Khác</x:v>
      </x:c>
      <x:c r="G383" s="14" t="str">
        <x:v>Trung tâm Huấn luyện đào tạo; Ban Tổ chức cán bộ</x:v>
      </x:c>
      <x:c r="H383" s="14" t="str">
        <x:v>Ban Kế hoạch - Đầu tư; Ban Kỹ thuật - CNS/IT/Môi trường; Trung tâm Khí tượng hàng không; Trung tâm Thông báo tin tức hàng không; Trung tâm Tìm kiếm cứu nạn hàng không</x:v>
      </x:c>
      <x:c r="I383" s="14" t="str">
        <x:v>Phụ lục II</x:v>
      </x:c>
      <x:c r="J383" s="14" t="str">
        <x:v>P1</x:v>
      </x:c>
      <x:c r="K383" s="14" t="str">
        <x:v>Chưa bắt đầu</x:v>
      </x:c>
      <x:c r="L383" s="14" t="str"/>
      <x:c r="M383" s="14" t="str">
        <x:v>Equipment GAP report; kế hoạch đầu tư; nhật ký kỹ thuật simulator; Có tối thiểu 01 simulator phù hợp chương trình ATCO; nhật ký kiểm tra trước/sau dùng</x:v>
      </x:c>
      <x:c r="N383" s="14" t="str">
        <x:v>Tổng 2 nhiệm vụ liên quan.</x:v>
      </x:c>
    </x:row>
    <x:row r="384">
      <x:c r="A384" s="14" t="str">
        <x:v>PROC-0383</x:v>
      </x:c>
      <x:c r="B384" s="14" t="str">
        <x:v>VATM-0541</x:v>
      </x:c>
      <x:c r="C384" s="14" t="str">
        <x:v>Huấn luyện đào tạo &amp; nhân viên HK</x:v>
      </x:c>
      <x:c r="D384" s="14" t="str">
        <x:v>Chương trình/cơ sở huấn luyện</x:v>
      </x:c>
      <x:c r="E384" s="14" t="str">
        <x:v>SOP thu hồi/hạn chế</x:v>
      </x:c>
      <x:c r="F384" s="14" t="str">
        <x:v>Quy trình/SOP</x:v>
      </x:c>
      <x:c r="G384" s="14" t="str">
        <x:v>Trung tâm Huấn luyện đào tạo; Ban Tổ chức cán bộ</x:v>
      </x:c>
      <x:c r="H384" s="14" t="str">
        <x:v>Văn phòng - Pháp chế</x:v>
      </x:c>
      <x:c r="I384" s="14" t="str">
        <x:v>Điều 53</x:v>
      </x:c>
      <x:c r="J384" s="14" t="str">
        <x:v>P2</x:v>
      </x:c>
      <x:c r="K384" s="14" t="str">
        <x:v>Chưa bắt đầu</x:v>
      </x:c>
      <x:c r="L384" s="14" t="str"/>
      <x:c r="M384" s="14" t="str">
        <x:v>SOP thu hồi/hạn chế; kế hoạch xử lý học viên; Không tuyển sinh/đào tạo ngoài phạm vi; thông báo học viên đúng hạn</x:v>
      </x:c>
      <x:c r="N384" s="14" t="str">
        <x:v>Tổng 1 nhiệm vụ liên quan.</x:v>
      </x:c>
    </x:row>
    <x:row r="385">
      <x:c r="A385" s="14" t="str">
        <x:v>PROC-0384</x:v>
      </x:c>
      <x:c r="B385" s="14" t="str">
        <x:v>VATM-0541</x:v>
      </x:c>
      <x:c r="C385" s="14" t="str">
        <x:v>Huấn luyện đào tạo &amp; nhân viên HK</x:v>
      </x:c>
      <x:c r="D385" s="14" t="str">
        <x:v>Chương trình/cơ sở huấn luyện</x:v>
      </x:c>
      <x:c r="E385" s="14" t="str">
        <x:v>thông báo học viên đúng hạn SOP thu hồi/hạn chế</x:v>
      </x:c>
      <x:c r="F385" s="14" t="str">
        <x:v>Quy trình/SOP</x:v>
      </x:c>
      <x:c r="G385" s="14" t="str">
        <x:v>Trung tâm Huấn luyện đào tạo; Ban Tổ chức cán bộ</x:v>
      </x:c>
      <x:c r="H385" s="14" t="str">
        <x:v>Văn phòng - Pháp chế</x:v>
      </x:c>
      <x:c r="I385" s="14" t="str">
        <x:v>Điều 53</x:v>
      </x:c>
      <x:c r="J385" s="14" t="str">
        <x:v>P2</x:v>
      </x:c>
      <x:c r="K385" s="14" t="str">
        <x:v>Chưa bắt đầu</x:v>
      </x:c>
      <x:c r="L385" s="14" t="str"/>
      <x:c r="M385" s="14" t="str">
        <x:v>SOP thu hồi/hạn chế; kế hoạch xử lý học viên; Không tuyển sinh/đào tạo ngoài phạm vi; thông báo học viên đúng hạn</x:v>
      </x:c>
      <x:c r="N385" s="14" t="str">
        <x:v>Tổng 1 nhiệm vụ liên quan.</x:v>
      </x:c>
    </x:row>
    <x:row r="386">
      <x:c r="A386" s="14" t="str">
        <x:v>PROC-0385</x:v>
      </x:c>
      <x:c r="B386" s="14" t="str">
        <x:v>VATM-0542; VATM-0542</x:v>
      </x:c>
      <x:c r="C386" s="14" t="str">
        <x:v>Huấn luyện đào tạo &amp; nhân viên HK</x:v>
      </x:c>
      <x:c r="D386" s="14" t="str">
        <x:v>Chương trình/cơ sở huấn luyện</x:v>
      </x:c>
      <x:c r="E386" s="14" t="str">
        <x:v>quy chế e-learning</x:v>
      </x:c>
      <x:c r="F386" s="14" t="str">
        <x:v>Quy trình/SOP</x:v>
      </x:c>
      <x:c r="G386" s="14" t="str">
        <x:v>Trung tâm Huấn luyện đào tạo; Ban Tổ chức cán bộ; Ban Kế hoạch doanh nghiệp - Chuyển đổi số; Ban Kỹ thuật - CNS/IT/Môi trường</x:v>
      </x:c>
      <x:c r="H386" s="14" t="str">
        <x:v>Văn phòng - Pháp chế; Ban Kỹ thuật - CNS/IT/Môi trường; Ban An toàn - Chất lượng</x:v>
      </x:c>
      <x:c r="I386" s="14" t="str">
        <x:v>Điều 54</x:v>
      </x:c>
      <x:c r="J386" s="14" t="str">
        <x:v>P1</x:v>
      </x:c>
      <x:c r="K386" s="14" t="str">
        <x:v>Chưa bắt đầu</x:v>
      </x:c>
      <x:c r="L386" s="14" t="str"/>
      <x:c r="M386" s="14" t="str">
        <x:v>LMS compliant; quy chế e-learning; log học tập/kiểm tra; 100% học viên định danh; log đầy đủ; an ninh mạng và dữ liệu cá nhân được kiểm soát</x:v>
      </x:c>
      <x:c r="N386" s="14" t="str">
        <x:v>Tổng 2 nhiệm vụ liên quan.</x:v>
      </x:c>
    </x:row>
    <x:row r="387">
      <x:c r="A387" s="14" t="str">
        <x:v>PROC-0386</x:v>
      </x:c>
      <x:c r="B387" s="14" t="str">
        <x:v>VATM-0543</x:v>
      </x:c>
      <x:c r="C387" s="14" t="str">
        <x:v>Tuân thủ, pháp chế &amp; quản trị</x:v>
      </x:c>
      <x:c r="D387" s="14" t="str">
        <x:v>Thanh tra, kiểm tra, audit tuân thủ</x:v>
      </x:c>
      <x:c r="E387" s="14" t="str">
        <x:v>SOP tiếp đoàn</x:v>
      </x:c>
      <x:c r="F387" s="14" t="str">
        <x:v>Quy trình/SOP</x:v>
      </x:c>
      <x:c r="G387" s="14" t="str">
        <x:v>Văn phòng - Pháp chế</x:v>
      </x:c>
      <x:c r="H387" s="14" t="str">
        <x:v>Ban An toàn - Chất lượng; Văn phòng - Pháp chế</x:v>
      </x:c>
      <x:c r="I387" s="14" t="str">
        <x:v>Điều 36-41</x:v>
      </x:c>
      <x:c r="J387" s="14" t="str">
        <x:v>P2</x:v>
      </x:c>
      <x:c r="K387" s="14" t="str">
        <x:v>Chưa bắt đầu</x:v>
      </x:c>
      <x:c r="L387" s="14" t="str"/>
      <x:c r="M387" s="14" t="str">
        <x:v>SOP tiếp đoàn; danh mục hồ sơ sẵn sàng; phân quyền cung cấp dữ liệu; 100% đơn vị trực tiếp có đầu mối; phản hồi yêu cầu giám sát đúng hạn</x:v>
      </x:c>
      <x:c r="N387" s="14" t="str">
        <x:v>Tổng 1 nhiệm vụ liên quan.</x:v>
      </x:c>
    </x:row>
    <x:row r="388">
      <x:c r="A388" s="14" t="str">
        <x:v>PROC-0387</x:v>
      </x:c>
      <x:c r="B388" s="14" t="str">
        <x:v>VATM-0543</x:v>
      </x:c>
      <x:c r="C388" s="14" t="str">
        <x:v>Tuân thủ, pháp chế &amp; quản trị</x:v>
      </x:c>
      <x:c r="D388" s="14" t="str">
        <x:v>Thanh tra, kiểm tra, audit tuân thủ</x:v>
      </x:c>
      <x:c r="E388" s="14" t="str">
        <x:v>phản hồi yêu cầu giám sát đúng hạn SOP tiếp đoàn</x:v>
      </x:c>
      <x:c r="F388" s="14" t="str">
        <x:v>Quy trình/SOP</x:v>
      </x:c>
      <x:c r="G388" s="14" t="str">
        <x:v>Văn phòng - Pháp chế</x:v>
      </x:c>
      <x:c r="H388" s="14" t="str">
        <x:v>Ban An toàn - Chất lượng; Văn phòng - Pháp chế</x:v>
      </x:c>
      <x:c r="I388" s="14" t="str">
        <x:v>Điều 36-41</x:v>
      </x:c>
      <x:c r="J388" s="14" t="str">
        <x:v>P2</x:v>
      </x:c>
      <x:c r="K388" s="14" t="str">
        <x:v>Chưa bắt đầu</x:v>
      </x:c>
      <x:c r="L388" s="14" t="str"/>
      <x:c r="M388" s="14" t="str">
        <x:v>SOP tiếp đoàn; danh mục hồ sơ sẵn sàng; phân quyền cung cấp dữ liệu; 100% đơn vị trực tiếp có đầu mối; phản hồi yêu cầu giám sát đúng hạn</x:v>
      </x:c>
      <x:c r="N388" s="14" t="str">
        <x:v>Tổng 1 nhiệm vụ liên quan.</x:v>
      </x:c>
    </x:row>
    <x:row r="389">
      <x:c r="A389" s="14" t="str">
        <x:v>PROC-0388</x:v>
      </x:c>
      <x:c r="B389" s="14" t="str">
        <x:v>VATM-0546</x:v>
      </x:c>
      <x:c r="C389" s="14" t="str">
        <x:v>ANS - Tìm kiếm cứu nạn &amp; khẩn nguy</x:v>
      </x:c>
      <x:c r="D389" s="14" t="str">
        <x:v>SAR, khẩn nguy và hiệp đồng</x:v>
      </x:c>
      <x:c r="E389" s="14" t="str">
        <x:v>SOP SAR/khẩn nguy</x:v>
      </x:c>
      <x:c r="F389" s="14" t="str">
        <x:v>Quy trình/SOP</x:v>
      </x:c>
      <x:c r="G389" s="14" t="str">
        <x:v>Trung tâm Tìm kiếm cứu nạn hàng không; Ban Không lưu</x:v>
      </x:c>
      <x:c r="H389" s="14" t="str">
        <x:v>Các Công ty Quản lý bay khu vực Bắc/Trung/Nam; Văn phòng - Pháp chế; Ban An toàn - Chất lượng; Trung tâm Tìm kiếm cứu nạn hàng không</x:v>
      </x:c>
      <x:c r="I389" s="14" t="str">
        <x:v>Điều 12,13,67</x:v>
      </x:c>
      <x:c r="J389" s="14" t="str">
        <x:v>P2</x:v>
      </x:c>
      <x:c r="K389" s="14" t="str">
        <x:v>Chưa bắt đầu</x:v>
      </x:c>
      <x:c r="L389" s="14" t="str"/>
      <x:c r="M389" s="14" t="str">
        <x:v>SOP SAR/khẩn nguy; danh bạ 24/7; kịch bản diễn tập; Diễn tập tối thiểu 01 lần/năm; kiểm tra hotline định kỳ</x:v>
      </x:c>
      <x:c r="N389" s="14" t="str">
        <x:v>Tổng 1 nhiệm vụ liên quan.</x:v>
      </x:c>
    </x:row>
    <x:row r="390">
      <x:c r="A390" s="14" t="str">
        <x:v>PROC-0389</x:v>
      </x:c>
      <x:c r="B390" s="14" t="str">
        <x:v>VATM-0546</x:v>
      </x:c>
      <x:c r="C390" s="14" t="str">
        <x:v>ANS - Tìm kiếm cứu nạn &amp; khẩn nguy</x:v>
      </x:c>
      <x:c r="D390" s="14" t="str">
        <x:v>SAR, khẩn nguy và hiệp đồng</x:v>
      </x:c>
      <x:c r="E390" s="14" t="str">
        <x:v>kiểm tra hotline định kỳ SOP SAR/khẩn nguy</x:v>
      </x:c>
      <x:c r="F390" s="14" t="str">
        <x:v>Quy trình/SOP</x:v>
      </x:c>
      <x:c r="G390" s="14" t="str">
        <x:v>Trung tâm Tìm kiếm cứu nạn hàng không; Ban Không lưu</x:v>
      </x:c>
      <x:c r="H390" s="14" t="str">
        <x:v>Các Công ty Quản lý bay khu vực Bắc/Trung/Nam; Văn phòng - Pháp chế; Ban An toàn - Chất lượng; Trung tâm Tìm kiếm cứu nạn hàng không</x:v>
      </x:c>
      <x:c r="I390" s="14" t="str">
        <x:v>Điều 12,13,67</x:v>
      </x:c>
      <x:c r="J390" s="14" t="str">
        <x:v>P2</x:v>
      </x:c>
      <x:c r="K390" s="14" t="str">
        <x:v>Chưa bắt đầu</x:v>
      </x:c>
      <x:c r="L390" s="14" t="str"/>
      <x:c r="M390" s="14" t="str">
        <x:v>SOP SAR/khẩn nguy; danh bạ 24/7; kịch bản diễn tập; Diễn tập tối thiểu 01 lần/năm; kiểm tra hotline định kỳ</x:v>
      </x:c>
      <x:c r="N390" s="14" t="str">
        <x:v>Tổng 1 nhiệm vụ liên quan.</x:v>
      </x:c>
    </x:row>
    <x:row r="391">
      <x:c r="A391" s="14" t="str">
        <x:v>PROC-0390</x:v>
      </x:c>
      <x:c r="B391" s="14" t="str">
        <x:v>VATM-0547</x:v>
      </x:c>
      <x:c r="C391" s="14" t="str">
        <x:v>ANS - Tìm kiếm cứu nạn &amp; khẩn nguy</x:v>
      </x:c>
      <x:c r="D391" s="14" t="str">
        <x:v>SAR, khẩn nguy và hiệp đồng</x:v>
      </x:c>
      <x:c r="E391" s="14" t="str">
        <x:v>Chương trình huấn luyện</x:v>
      </x:c>
      <x:c r="F391" s="14" t="str">
        <x:v>Khác</x:v>
      </x:c>
      <x:c r="G391" s="14" t="str">
        <x:v>Trung tâm Tìm kiếm cứu nạn hàng không; Ban Không lưu</x:v>
      </x:c>
      <x:c r="H391" s="14" t="str">
        <x:v>Các Công ty Quản lý bay khu vực Bắc/Trung/Nam; Trung tâm Tìm kiếm cứu nạn hàng không</x:v>
      </x:c>
      <x:c r="I391" s="14" t="str">
        <x:v>Điều 12</x:v>
      </x:c>
      <x:c r="J391" s="14" t="str">
        <x:v>P2</x:v>
      </x:c>
      <x:c r="K391" s="14" t="str">
        <x:v>Chưa bắt đầu</x:v>
      </x:c>
      <x:c r="L391" s="14" t="str"/>
      <x:c r="M391" s="14" t="str">
        <x:v>Chương trình huấn luyện; hồ sơ chứng nhận; ≥95% nhân viên liên quan hoàn thành huấn luyện mỗi năm</x:v>
      </x:c>
      <x:c r="N391" s="14" t="str">
        <x:v>Tổng 1 nhiệm vụ liên quan.</x:v>
      </x:c>
    </x:row>
    <x:row r="392">
      <x:c r="A392" s="14" t="str">
        <x:v>PROC-0391</x:v>
      </x:c>
      <x:c r="B392" s="14" t="str">
        <x:v>VATM-0547</x:v>
      </x:c>
      <x:c r="C392" s="14" t="str">
        <x:v>ANS - Tìm kiếm cứu nạn &amp; khẩn nguy</x:v>
      </x:c>
      <x:c r="D392" s="14" t="str">
        <x:v>SAR, khẩn nguy và hiệp đồng</x:v>
      </x:c>
      <x:c r="E392" s="14" t="str">
        <x:v>≥95% nhân viên liên quan hoàn thành huấn luyện mỗi năm Chương trình huấn luyện</x:v>
      </x:c>
      <x:c r="F392" s="14" t="str">
        <x:v>Khác</x:v>
      </x:c>
      <x:c r="G392" s="14" t="str">
        <x:v>Trung tâm Tìm kiếm cứu nạn hàng không; Ban Không lưu</x:v>
      </x:c>
      <x:c r="H392" s="14" t="str">
        <x:v>Các Công ty Quản lý bay khu vực Bắc/Trung/Nam; Trung tâm Tìm kiếm cứu nạn hàng không</x:v>
      </x:c>
      <x:c r="I392" s="14" t="str">
        <x:v>Điều 12</x:v>
      </x:c>
      <x:c r="J392" s="14" t="str">
        <x:v>P2</x:v>
      </x:c>
      <x:c r="K392" s="14" t="str">
        <x:v>Chưa bắt đầu</x:v>
      </x:c>
      <x:c r="L392" s="14" t="str"/>
      <x:c r="M392" s="14" t="str">
        <x:v>Chương trình huấn luyện; hồ sơ chứng nhận; ≥95% nhân viên liên quan hoàn thành huấn luyện mỗi năm</x:v>
      </x:c>
      <x:c r="N392" s="14" t="str">
        <x:v>Tổng 1 nhiệm vụ liên quan.</x:v>
      </x:c>
    </x:row>
    <x:row r="393">
      <x:c r="A393" s="14" t="str">
        <x:v>PROC-0392</x:v>
      </x:c>
      <x:c r="B393" s="14" t="str">
        <x:v>VATM-0548</x:v>
      </x:c>
      <x:c r="C393" s="14" t="str">
        <x:v>Tuân thủ, pháp chế &amp; quản trị</x:v>
      </x:c>
      <x:c r="D393" s="14" t="str">
        <x:v>Quản trị triển khai, RACI và báo cáo</x:v>
      </x:c>
      <x:c r="E393" s="14" t="str">
        <x:v>SOP phối hợp điều tra</x:v>
      </x:c>
      <x:c r="F393" s="14" t="str">
        <x:v>Quy trình/SOP</x:v>
      </x:c>
      <x:c r="G393" s="14" t="str">
        <x:v>Văn phòng - Pháp chế; Ban An toàn - Chất lượng</x:v>
      </x:c>
      <x:c r="H393" s="14" t="str">
        <x:v>Văn phòng - Pháp chế; Ban Không lưu; Ban Kỹ thuật - CNS/IT/Môi trường; Trung tâm Khí tượng hàng không; Trung tâm Thông báo tin tức hàng không; Trung tâm Tìm kiếm cứu nạn hàng không</x:v>
      </x:c>
      <x:c r="I393" s="14" t="str">
        <x:v>Điều 55-60</x:v>
      </x:c>
      <x:c r="J393" s="14" t="str">
        <x:v>P1</x:v>
      </x:c>
      <x:c r="K393" s="14" t="str">
        <x:v>Chưa bắt đầu</x:v>
      </x:c>
      <x:c r="L393" s="14" t="str"/>
      <x:c r="M393" s="14" t="str">
        <x:v>SOP phối hợp điều tra; danh sách đầu mối 24/7; Kích hoạt trong ≤30 phút từ thông tin ban đầu; log đầy đủ</x:v>
      </x:c>
      <x:c r="N393" s="14" t="str">
        <x:v>Tổng 1 nhiệm vụ liên quan.</x:v>
      </x:c>
    </x:row>
    <x:row r="394">
      <x:c r="A394" s="14" t="str">
        <x:v>PROC-0393</x:v>
      </x:c>
      <x:c r="B394" s="14" t="str">
        <x:v>VATM-0548</x:v>
      </x:c>
      <x:c r="C394" s="14" t="str">
        <x:v>Tuân thủ, pháp chế &amp; quản trị</x:v>
      </x:c>
      <x:c r="D394" s="14" t="str">
        <x:v>Quản trị triển khai, RACI và báo cáo</x:v>
      </x:c>
      <x:c r="E394" s="14" t="str">
        <x:v>log đầy đủ SOP phối hợp điều tra</x:v>
      </x:c>
      <x:c r="F394" s="14" t="str">
        <x:v>Quy trình/SOP</x:v>
      </x:c>
      <x:c r="G394" s="14" t="str">
        <x:v>Văn phòng - Pháp chế; Ban An toàn - Chất lượng</x:v>
      </x:c>
      <x:c r="H394" s="14" t="str">
        <x:v>Văn phòng - Pháp chế; Ban Không lưu; Ban Kỹ thuật - CNS/IT/Môi trường; Trung tâm Khí tượng hàng không; Trung tâm Thông báo tin tức hàng không; Trung tâm Tìm kiếm cứu nạn hàng không</x:v>
      </x:c>
      <x:c r="I394" s="14" t="str">
        <x:v>Điều 55-60</x:v>
      </x:c>
      <x:c r="J394" s="14" t="str">
        <x:v>P1</x:v>
      </x:c>
      <x:c r="K394" s="14" t="str">
        <x:v>Chưa bắt đầu</x:v>
      </x:c>
      <x:c r="L394" s="14" t="str"/>
      <x:c r="M394" s="14" t="str">
        <x:v>SOP phối hợp điều tra; danh sách đầu mối 24/7; Kích hoạt trong ≤30 phút từ thông tin ban đầu; log đầy đủ</x:v>
      </x:c>
      <x:c r="N394" s="14" t="str">
        <x:v>Tổng 1 nhiệm vụ liên quan.</x:v>
      </x:c>
    </x:row>
    <x:row r="395">
      <x:c r="A395" s="14" t="str">
        <x:v>PROC-0394</x:v>
      </x:c>
      <x:c r="B395" s="14" t="str">
        <x:v>VATM-0552</x:v>
      </x:c>
      <x:c r="C395" s="14" t="str">
        <x:v>Tuân thủ, pháp chế &amp; quản trị</x:v>
      </x:c>
      <x:c r="D395" s="14" t="str">
        <x:v>Quản trị triển khai, RACI và báo cáo</x:v>
      </x:c>
      <x:c r="E395" s="14" t="str">
        <x:v>Data preservation SOP</x:v>
      </x:c>
      <x:c r="F395" s="14" t="str">
        <x:v>Quy trình/SOP</x:v>
      </x:c>
      <x:c r="G395" s="14" t="str">
        <x:v>Văn phòng - Pháp chế; Ban Kế hoạch doanh nghiệp - Chuyển đổi số; Ban Kỹ thuật - CNS/IT/Môi trường; Ban An toàn - Chất lượng</x:v>
      </x:c>
      <x:c r="H395" s="14" t="str">
        <x:v>Văn phòng - Pháp chế; Ban Không lưu; Ban Kỹ thuật - CNS/IT/Môi trường; Trung tâm Khí tượng hàng không; Trung tâm Thông báo tin tức hàng không</x:v>
      </x:c>
      <x:c r="I395" s="14" t="str">
        <x:v>Điều 72</x:v>
      </x:c>
      <x:c r="J395" s="14" t="str">
        <x:v>P1</x:v>
      </x:c>
      <x:c r="K395" s="14" t="str">
        <x:v>Chưa bắt đầu</x:v>
      </x:c>
      <x:c r="L395" s="14" t="str"/>
      <x:c r="M395" s="14" t="str">
        <x:v>Data preservation SOP; checklist niêm phong/sao lưu; chain-of-custody; Không ghi đè/mất dữ liệu; có hash/lưu vết; quyền truy cập hạn chế</x:v>
      </x:c>
      <x:c r="N395" s="14" t="str">
        <x:v>Tổng 1 nhiệm vụ liên quan.</x:v>
      </x:c>
    </x:row>
    <x:row r="396">
      <x:c r="A396" s="14" t="str">
        <x:v>PROC-0395</x:v>
      </x:c>
      <x:c r="B396" s="14" t="str">
        <x:v>VATM-0552; VATM-0552</x:v>
      </x:c>
      <x:c r="C396" s="14" t="str">
        <x:v>Tuân thủ, pháp chế &amp; quản trị</x:v>
      </x:c>
      <x:c r="D396" s="14" t="str">
        <x:v>Quản trị triển khai, RACI và báo cáo</x:v>
      </x:c>
      <x:c r="E396" s="14" t="str">
        <x:v>checklist niêm phong/sao lưu</x:v>
      </x:c>
      <x:c r="F396" s="14" t="str">
        <x:v>Biểu mẫu/Checklist</x:v>
      </x:c>
      <x:c r="G396" s="14" t="str">
        <x:v>Văn phòng - Pháp chế; Ban Kế hoạch doanh nghiệp - Chuyển đổi số; Ban Kỹ thuật - CNS/IT/Môi trường; Ban An toàn - Chất lượng</x:v>
      </x:c>
      <x:c r="H396" s="14" t="str">
        <x:v>Văn phòng - Pháp chế; Ban Không lưu; Ban Kỹ thuật - CNS/IT/Môi trường; Trung tâm Khí tượng hàng không; Trung tâm Thông báo tin tức hàng không</x:v>
      </x:c>
      <x:c r="I396" s="14" t="str">
        <x:v>Điều 72</x:v>
      </x:c>
      <x:c r="J396" s="14" t="str">
        <x:v>P1</x:v>
      </x:c>
      <x:c r="K396" s="14" t="str">
        <x:v>Chưa bắt đầu</x:v>
      </x:c>
      <x:c r="L396" s="14" t="str"/>
      <x:c r="M396" s="14" t="str">
        <x:v>Data preservation SOP; checklist niêm phong/sao lưu; chain-of-custody; Không ghi đè/mất dữ liệu; có hash/lưu vết; quyền truy cập hạn chế</x:v>
      </x:c>
      <x:c r="N396" s="14" t="str">
        <x:v>Tổng 2 nhiệm vụ liên quan.</x:v>
      </x:c>
    </x:row>
    <x:row r="397">
      <x:c r="A397" s="14" t="str">
        <x:v>PROC-0396</x:v>
      </x:c>
      <x:c r="B397" s="14" t="str">
        <x:v>VATM-0552</x:v>
      </x:c>
      <x:c r="C397" s="14" t="str">
        <x:v>Tuân thủ, pháp chế &amp; quản trị</x:v>
      </x:c>
      <x:c r="D397" s="14" t="str">
        <x:v>Quản trị triển khai, RACI và báo cáo</x:v>
      </x:c>
      <x:c r="E397" s="14" t="str">
        <x:v>quyền truy cập hạn chế Data preservation SOP</x:v>
      </x:c>
      <x:c r="F397" s="14" t="str">
        <x:v>Quy trình/SOP</x:v>
      </x:c>
      <x:c r="G397" s="14" t="str">
        <x:v>Văn phòng - Pháp chế; Ban Kế hoạch doanh nghiệp - Chuyển đổi số; Ban Kỹ thuật - CNS/IT/Môi trường; Ban An toàn - Chất lượng</x:v>
      </x:c>
      <x:c r="H397" s="14" t="str">
        <x:v>Văn phòng - Pháp chế; Ban Không lưu; Ban Kỹ thuật - CNS/IT/Môi trường; Trung tâm Khí tượng hàng không; Trung tâm Thông báo tin tức hàng không</x:v>
      </x:c>
      <x:c r="I397" s="14" t="str">
        <x:v>Điều 72</x:v>
      </x:c>
      <x:c r="J397" s="14" t="str">
        <x:v>P1</x:v>
      </x:c>
      <x:c r="K397" s="14" t="str">
        <x:v>Chưa bắt đầu</x:v>
      </x:c>
      <x:c r="L397" s="14" t="str"/>
      <x:c r="M397" s="14" t="str">
        <x:v>Data preservation SOP; checklist niêm phong/sao lưu; chain-of-custody; Không ghi đè/mất dữ liệu; có hash/lưu vết; quyền truy cập hạn chế</x:v>
      </x:c>
      <x:c r="N397" s="14" t="str">
        <x:v>Tổng 1 nhiệm vụ liên quan.</x:v>
      </x:c>
    </x:row>
    <x:row r="398">
      <x:c r="A398" s="14" t="str">
        <x:v>PROC-0397</x:v>
      </x:c>
      <x:c r="B398" s="14" t="str">
        <x:v>VATM-0554</x:v>
      </x:c>
      <x:c r="C398" s="14" t="str">
        <x:v>Tuân thủ, pháp chế &amp; quản trị</x:v>
      </x:c>
      <x:c r="D398" s="14" t="str">
        <x:v>Quản trị triển khai, RACI và báo cáo</x:v>
      </x:c>
      <x:c r="E398" s="14" t="str">
        <x:v>SOP trưng dụng/hỗ trợ</x:v>
      </x:c>
      <x:c r="F398" s="14" t="str">
        <x:v>Quy trình/SOP</x:v>
      </x:c>
      <x:c r="G398" s="14" t="str">
        <x:v>Văn phòng - Pháp chế; Ban An toàn - Chất lượng</x:v>
      </x:c>
      <x:c r="H398" s="14" t="str">
        <x:v>Văn phòng - Pháp chế</x:v>
      </x:c>
      <x:c r="I398" s="14" t="str">
        <x:v>Điều 73</x:v>
      </x:c>
      <x:c r="J398" s="14" t="str">
        <x:v>P2</x:v>
      </x:c>
      <x:c r="K398" s="14" t="str">
        <x:v>Chưa bắt đầu</x:v>
      </x:c>
      <x:c r="L398" s="14" t="str"/>
      <x:c r="M398" s="14" t="str">
        <x:v>SOP trưng dụng/hỗ trợ; mẫu quyết định cử người; Đúng phạm vi yêu cầu; bảo đảm an toàn lao động và bảo mật thông tin</x:v>
      </x:c>
      <x:c r="N398" s="14" t="str">
        <x:v>Tổng 1 nhiệm vụ liên quan.</x:v>
      </x:c>
    </x:row>
    <x:row r="399">
      <x:c r="A399" s="14" t="str">
        <x:v>PROC-0398</x:v>
      </x:c>
      <x:c r="B399" s="14" t="str">
        <x:v>VATM-0554</x:v>
      </x:c>
      <x:c r="C399" s="14" t="str">
        <x:v>Tuân thủ, pháp chế &amp; quản trị</x:v>
      </x:c>
      <x:c r="D399" s="14" t="str">
        <x:v>Quản trị triển khai, RACI và báo cáo</x:v>
      </x:c>
      <x:c r="E399" s="14" t="str">
        <x:v>bảo đảm an toàn lao động và bảo mật thông tin SOP trưng dụng/hỗ trợ</x:v>
      </x:c>
      <x:c r="F399" s="14" t="str">
        <x:v>Quy trình/SOP</x:v>
      </x:c>
      <x:c r="G399" s="14" t="str">
        <x:v>Văn phòng - Pháp chế; Ban An toàn - Chất lượng</x:v>
      </x:c>
      <x:c r="H399" s="14" t="str">
        <x:v>Văn phòng - Pháp chế</x:v>
      </x:c>
      <x:c r="I399" s="14" t="str">
        <x:v>Điều 73</x:v>
      </x:c>
      <x:c r="J399" s="14" t="str">
        <x:v>P2</x:v>
      </x:c>
      <x:c r="K399" s="14" t="str">
        <x:v>Chưa bắt đầu</x:v>
      </x:c>
      <x:c r="L399" s="14" t="str"/>
      <x:c r="M399" s="14" t="str">
        <x:v>SOP trưng dụng/hỗ trợ; mẫu quyết định cử người; Đúng phạm vi yêu cầu; bảo đảm an toàn lao động và bảo mật thông tin</x:v>
      </x:c>
      <x:c r="N399" s="14" t="str">
        <x:v>Tổng 1 nhiệm vụ liên quan.</x:v>
      </x:c>
    </x:row>
    <x:row r="400">
      <x:c r="A400" s="14" t="str">
        <x:v>PROC-0399</x:v>
      </x:c>
      <x:c r="B400" s="14" t="str">
        <x:v>VATM-0555</x:v>
      </x:c>
      <x:c r="C400" s="14" t="str">
        <x:v>Tuân thủ, pháp chế &amp; quản trị</x:v>
      </x:c>
      <x:c r="D400" s="14" t="str">
        <x:v>Quản trị triển khai, RACI và báo cáo</x:v>
      </x:c>
      <x:c r="E400" s="14" t="str">
        <x:v>Quy trình disclosure</x:v>
      </x:c>
      <x:c r="F400" s="14" t="str">
        <x:v>Quy trình/SOP</x:v>
      </x:c>
      <x:c r="G400" s="14" t="str">
        <x:v>Văn phòng - Pháp chế</x:v>
      </x:c>
      <x:c r="H400" s="14" t="str">
        <x:v>Ban Kế hoạch doanh nghiệp - Chuyển đổi số; Ban Kỹ thuật - CNS/IT/Môi trường; Ban An toàn - Chất lượng; Văn phòng - Pháp chế</x:v>
      </x:c>
      <x:c r="I400" s="14" t="str">
        <x:v>Điều 74</x:v>
      </x:c>
      <x:c r="J400" s="14" t="str">
        <x:v>P2</x:v>
      </x:c>
      <x:c r="K400" s="14" t="str">
        <x:v>Chưa bắt đầu</x:v>
      </x:c>
      <x:c r="L400" s="14" t="str"/>
      <x:c r="M400" s="14" t="str">
        <x:v>Quy trình disclosure; ma trận thẩm quyền phê duyệt; Không cung cấp trái thẩm quyền; mọi yêu cầu có văn bản/log</x:v>
      </x:c>
      <x:c r="N400" s="14" t="str">
        <x:v>Tổng 1 nhiệm vụ liên quan.</x:v>
      </x:c>
    </x:row>
    <x:row r="401">
      <x:c r="A401" s="14" t="str">
        <x:v>PROC-0400</x:v>
      </x:c>
      <x:c r="B401" s="14" t="str">
        <x:v>VATM-0555</x:v>
      </x:c>
      <x:c r="C401" s="14" t="str">
        <x:v>Tuân thủ, pháp chế &amp; quản trị</x:v>
      </x:c>
      <x:c r="D401" s="14" t="str">
        <x:v>Quản trị triển khai, RACI và báo cáo</x:v>
      </x:c>
      <x:c r="E401" s="14" t="str">
        <x:v>mọi yêu cầu có văn bản/log Quy trình disclosure</x:v>
      </x:c>
      <x:c r="F401" s="14" t="str">
        <x:v>Quy trình/SOP</x:v>
      </x:c>
      <x:c r="G401" s="14" t="str">
        <x:v>Văn phòng - Pháp chế</x:v>
      </x:c>
      <x:c r="H401" s="14" t="str">
        <x:v>Ban Kế hoạch doanh nghiệp - Chuyển đổi số; Ban Kỹ thuật - CNS/IT/Môi trường; Ban An toàn - Chất lượng; Văn phòng - Pháp chế</x:v>
      </x:c>
      <x:c r="I401" s="14" t="str">
        <x:v>Điều 74</x:v>
      </x:c>
      <x:c r="J401" s="14" t="str">
        <x:v>P2</x:v>
      </x:c>
      <x:c r="K401" s="14" t="str">
        <x:v>Chưa bắt đầu</x:v>
      </x:c>
      <x:c r="L401" s="14" t="str"/>
      <x:c r="M401" s="14" t="str">
        <x:v>Quy trình disclosure; ma trận thẩm quyền phê duyệt; Không cung cấp trái thẩm quyền; mọi yêu cầu có văn bản/log</x:v>
      </x:c>
      <x:c r="N401" s="14" t="str">
        <x:v>Tổng 1 nhiệm vụ liên quan.</x:v>
      </x:c>
    </x:row>
    <x:row r="402">
      <x:c r="A402" s="14" t="str">
        <x:v>PROC-0401</x:v>
      </x:c>
      <x:c r="B402" s="14" t="str">
        <x:v>VATM-0556; VATM-0556</x:v>
      </x:c>
      <x:c r="C402" s="14" t="str">
        <x:v>Tuân thủ, pháp chế &amp; quản trị</x:v>
      </x:c>
      <x:c r="D402" s="14" t="str">
        <x:v>Quản trị triển khai, RACI và báo cáo</x:v>
      </x:c>
      <x:c r="E402" s="14" t="str">
        <x:v>checklist báo cáo</x:v>
      </x:c>
      <x:c r="F402" s="14" t="str">
        <x:v>Biểu mẫu/Checklist</x:v>
      </x:c>
      <x:c r="G402" s="14" t="str">
        <x:v>Văn phòng - Pháp chế; Ban An toàn - Chất lượng</x:v>
      </x:c>
      <x:c r="H402" s="14" t="str">
        <x:v>Ban Không lưu; Ban Kỹ thuật - CNS/IT/Môi trường; Trung tâm Khí tượng hàng không; Trung tâm Thông báo tin tức hàng không; Trung tâm Tìm kiếm cứu nạn hàng không; Văn phòng - Pháp chế</x:v>
      </x:c>
      <x:c r="I402" s="14" t="str">
        <x:v>Điều 77-79</x:v>
      </x:c>
      <x:c r="J402" s="14" t="str">
        <x:v>P2</x:v>
      </x:c>
      <x:c r="K402" s="14" t="str">
        <x:v>Chưa bắt đầu</x:v>
      </x:c>
      <x:c r="L402" s="14" t="str"/>
      <x:c r="M402" s="14" t="str">
        <x:v>Data package template; checklist báo cáo; Dữ liệu giao trước deadline của Hội đồng; định dạng chuẩn hóa</x:v>
      </x:c>
      <x:c r="N402" s="14" t="str">
        <x:v>Tổng 2 nhiệm vụ liên quan.</x:v>
      </x:c>
    </x:row>
    <x:row r="403">
      <x:c r="A403" s="14" t="str">
        <x:v>PROC-0402</x:v>
      </x:c>
      <x:c r="B403" s="14" t="str">
        <x:v>VATM-0563</x:v>
      </x:c>
      <x:c r="C403" s="14" t="str">
        <x:v>Tuân thủ, pháp chế &amp; quản trị</x:v>
      </x:c>
      <x:c r="D403" s="14" t="str">
        <x:v>Quản trị triển khai, RACI và báo cáo</x:v>
      </x:c>
      <x:c r="E403" s="14" t="str">
        <x:v>tránh trùng/chồng chéo quy trình Matrix liên thông hai NĐ</x:v>
      </x:c>
      <x:c r="F403" s="14" t="str">
        <x:v>Quy trình/SOP</x:v>
      </x:c>
      <x:c r="G403" s="14" t="str">
        <x:v>Văn phòng - Pháp chế</x:v>
      </x:c>
      <x:c r="H403" s="14" t="str">
        <x:v>Văn phòng - Pháp chế</x:v>
      </x:c>
      <x:c r="I403" s="14" t="str">
        <x:v>NĐ HĐB Điều 99-119</x:v>
      </x:c>
      <x:c r="J403" s="14" t="str">
        <x:v>P1</x:v>
      </x:c>
      <x:c r="K403" s="14" t="str">
        <x:v>Chưa bắt đầu</x:v>
      </x:c>
      <x:c r="L403" s="14" t="str"/>
      <x:c r="M403" s="14" t="str">
        <x:v>Matrix liên thông hai NĐ; danh mục nghĩa vụ VATM hợp nhất; Bao phủ 100% dịch vụ ANS VATM cung cấp; tránh trùng/chồng chéo quy trình</x:v>
      </x:c>
      <x:c r="N403" s="14" t="str">
        <x:v>Tổng 1 nhiệm vụ liên quan.</x:v>
      </x:c>
    </x:row>
    <x:row r="404">
      <x:c r="A404" s="14" t="str">
        <x:v>PROC-0403</x:v>
      </x:c>
      <x:c r="B404" s="14" t="str">
        <x:v>VATM-0563</x:v>
      </x:c>
      <x:c r="C404" s="14" t="str">
        <x:v>Tuân thủ, pháp chế &amp; quản trị</x:v>
      </x:c>
      <x:c r="D404" s="14" t="str">
        <x:v>Quản trị triển khai, RACI và báo cáo</x:v>
      </x:c>
      <x:c r="E404" s="14" t="str">
        <x:v>tránh trùng/chồng chéo quy trình</x:v>
      </x:c>
      <x:c r="F404" s="14" t="str">
        <x:v>Quy trình/SOP</x:v>
      </x:c>
      <x:c r="G404" s="14" t="str">
        <x:v>Văn phòng - Pháp chế</x:v>
      </x:c>
      <x:c r="H404" s="14" t="str">
        <x:v>Văn phòng - Pháp chế</x:v>
      </x:c>
      <x:c r="I404" s="14" t="str">
        <x:v>NĐ HĐB Điều 99-119</x:v>
      </x:c>
      <x:c r="J404" s="14" t="str">
        <x:v>P1</x:v>
      </x:c>
      <x:c r="K404" s="14" t="str">
        <x:v>Chưa bắt đầu</x:v>
      </x:c>
      <x:c r="L404" s="14" t="str"/>
      <x:c r="M404" s="14" t="str">
        <x:v>Matrix liên thông hai NĐ; danh mục nghĩa vụ VATM hợp nhất; Bao phủ 100% dịch vụ ANS VATM cung cấp; tránh trùng/chồng chéo quy trình</x:v>
      </x:c>
      <x:c r="N404" s="14" t="str">
        <x:v>Tổng 1 nhiệm vụ liên quan.</x:v>
      </x:c>
    </x:row>
    <x:row r="405">
      <x:c r="A405" s="14" t="str">
        <x:v>PROC-0404</x:v>
      </x:c>
      <x:c r="B405" s="14" t="str">
        <x:v>VATM-0564</x:v>
      </x:c>
      <x:c r="C405" s="14" t="str">
        <x:v>Tuân thủ, pháp chế &amp; quản trị</x:v>
      </x:c>
      <x:c r="D405" s="14" t="str">
        <x:v>Quản trị triển khai, RACI và báo cáo</x:v>
      </x:c>
      <x:c r="E405" s="14" t="str">
        <x:v>LOA/SOP phối hợp</x:v>
      </x:c>
      <x:c r="F405" s="14" t="str">
        <x:v>Quy trình/SOP</x:v>
      </x:c>
      <x:c r="G405" s="14" t="str">
        <x:v>Văn phòng - Pháp chế; Ban Không lưu; Trung tâm Quản lý luồng không lưu</x:v>
      </x:c>
      <x:c r="H405" s="14" t="str">
        <x:v>Văn phòng - Pháp chế; Ban Kế hoạch doanh nghiệp - Chuyển đổi số; Ban Kỹ thuật - CNS/IT/Môi trường</x:v>
      </x:c>
      <x:c r="I405" s="14" t="str">
        <x:v>NĐ HĐB Điều 101,122,124</x:v>
      </x:c>
      <x:c r="J405" s="14" t="str">
        <x:v>P2</x:v>
      </x:c>
      <x:c r="K405" s="14" t="str">
        <x:v>Chưa bắt đầu</x:v>
      </x:c>
      <x:c r="L405" s="14" t="str"/>
      <x:c r="M405" s="14" t="str">
        <x:v>LOA/SOP phối hợp; interface dữ liệu; Dữ liệu real-time/near-real-time theo thỏa thuận; test định kỳ</x:v>
      </x:c>
      <x:c r="N405" s="14" t="str">
        <x:v>Tổng 1 nhiệm vụ liên quan.</x:v>
      </x:c>
    </x:row>
    <x:row r="406">
      <x:c r="A406" s="14" t="str">
        <x:v>PROC-0405</x:v>
      </x:c>
      <x:c r="B406" s="14" t="str">
        <x:v>VATM-0564</x:v>
      </x:c>
      <x:c r="C406" s="14" t="str">
        <x:v>Tuân thủ, pháp chế &amp; quản trị</x:v>
      </x:c>
      <x:c r="D406" s="14" t="str">
        <x:v>Quản trị triển khai, RACI và báo cáo</x:v>
      </x:c>
      <x:c r="E406" s="14" t="str">
        <x:v>test định kỳ LOA/SOP phối hợp</x:v>
      </x:c>
      <x:c r="F406" s="14" t="str">
        <x:v>Quy trình/SOP</x:v>
      </x:c>
      <x:c r="G406" s="14" t="str">
        <x:v>Văn phòng - Pháp chế; Ban Không lưu; Trung tâm Quản lý luồng không lưu</x:v>
      </x:c>
      <x:c r="H406" s="14" t="str">
        <x:v>Văn phòng - Pháp chế; Ban Kế hoạch doanh nghiệp - Chuyển đổi số; Ban Kỹ thuật - CNS/IT/Môi trường</x:v>
      </x:c>
      <x:c r="I406" s="14" t="str">
        <x:v>NĐ HĐB Điều 101,122,124</x:v>
      </x:c>
      <x:c r="J406" s="14" t="str">
        <x:v>P2</x:v>
      </x:c>
      <x:c r="K406" s="14" t="str">
        <x:v>Chưa bắt đầu</x:v>
      </x:c>
      <x:c r="L406" s="14" t="str"/>
      <x:c r="M406" s="14" t="str">
        <x:v>LOA/SOP phối hợp; interface dữ liệu; Dữ liệu real-time/near-real-time theo thỏa thuận; test định kỳ</x:v>
      </x:c>
      <x:c r="N406" s="14" t="str">
        <x:v>Tổng 1 nhiệm vụ liên quan.</x:v>
      </x:c>
    </x:row>
    <x:row r="407">
      <x:c r="A407" s="14" t="str">
        <x:v>PROC-0406</x:v>
      </x:c>
      <x:c r="B407" s="14" t="str">
        <x:v>VATM-0566</x:v>
      </x:c>
      <x:c r="C407" s="14" t="str">
        <x:v>Tuân thủ, pháp chế &amp; quản trị</x:v>
      </x:c>
      <x:c r="D407" s="14" t="str">
        <x:v>Quản trị triển khai, RACI và báo cáo</x:v>
      </x:c>
      <x:c r="E407" s="14" t="str">
        <x:v>MET data preservation and reporting SOP</x:v>
      </x:c>
      <x:c r="F407" s="14" t="str">
        <x:v>Quy trình/SOP</x:v>
      </x:c>
      <x:c r="G407" s="14" t="str">
        <x:v>Văn phòng - Pháp chế; Trung tâm Khí tượng hàng không</x:v>
      </x:c>
      <x:c r="H407" s="14" t="str">
        <x:v>Ban Kế hoạch doanh nghiệp - Chuyển đổi số; Ban Không lưu; Ban Kỹ thuật - CNS/IT/Môi trường; Ban An toàn - Chất lượng; Văn phòng - Pháp chế</x:v>
      </x:c>
      <x:c r="I407" s="14" t="str">
        <x:v>NĐ HĐB Điều 109-110</x:v>
      </x:c>
      <x:c r="J407" s="14" t="str">
        <x:v>P2</x:v>
      </x:c>
      <x:c r="K407" s="14" t="str">
        <x:v>Chưa bắt đầu</x:v>
      </x:c>
      <x:c r="L407" s="14" t="str"/>
      <x:c r="M407" s="14" t="str">
        <x:v>MET data preservation and reporting SOP; Dữ liệu MET phục vụ chuyến bay/sự cố có nguồn gốc và timestamp rõ</x:v>
      </x:c>
      <x:c r="N407" s="14" t="str">
        <x:v>Tổng 1 nhiệm vụ liên quan.</x:v>
      </x:c>
    </x:row>
    <x:row r="408">
      <x:c r="A408" s="14" t="str">
        <x:v>PROC-0407</x:v>
      </x:c>
      <x:c r="B408" s="14" t="str">
        <x:v>VATM-0566</x:v>
      </x:c>
      <x:c r="C408" s="14" t="str">
        <x:v>Tuân thủ, pháp chế &amp; quản trị</x:v>
      </x:c>
      <x:c r="D408" s="14" t="str">
        <x:v>Quản trị triển khai, RACI và báo cáo</x:v>
      </x:c>
      <x:c r="E408" s="14" t="str">
        <x:v>Dữ liệu MET phục vụ chuyến bay/sự cố có nguồn gốc và timestamp rõ MET data preservation and reporting SOP</x:v>
      </x:c>
      <x:c r="F408" s="14" t="str">
        <x:v>Quy trình/SOP</x:v>
      </x:c>
      <x:c r="G408" s="14" t="str">
        <x:v>Văn phòng - Pháp chế; Trung tâm Khí tượng hàng không</x:v>
      </x:c>
      <x:c r="H408" s="14" t="str">
        <x:v>Ban Kế hoạch doanh nghiệp - Chuyển đổi số; Ban Không lưu; Ban Kỹ thuật - CNS/IT/Môi trường; Ban An toàn - Chất lượng; Văn phòng - Pháp chế</x:v>
      </x:c>
      <x:c r="I408" s="14" t="str">
        <x:v>NĐ HĐB Điều 109-110</x:v>
      </x:c>
      <x:c r="J408" s="14" t="str">
        <x:v>P2</x:v>
      </x:c>
      <x:c r="K408" s="14" t="str">
        <x:v>Chưa bắt đầu</x:v>
      </x:c>
      <x:c r="L408" s="14" t="str"/>
      <x:c r="M408" s="14" t="str">
        <x:v>MET data preservation and reporting SOP; Dữ liệu MET phục vụ chuyến bay/sự cố có nguồn gốc và timestamp rõ</x:v>
      </x:c>
      <x:c r="N408" s="14" t="str">
        <x:v>Tổng 1 nhiệm vụ liên quan.</x:v>
      </x:c>
    </x:row>
    <x:row r="409">
      <x:c r="A409" s="14" t="str">
        <x:v>PROC-0408</x:v>
      </x:c>
      <x:c r="B409" s="14" t="str">
        <x:v>VATM-0568</x:v>
      </x:c>
      <x:c r="C409" s="14" t="str">
        <x:v>Tuân thủ, pháp chế &amp; quản trị</x:v>
      </x:c>
      <x:c r="D409" s="14" t="str">
        <x:v>Quản trị triển khai, RACI và báo cáo</x:v>
      </x:c>
      <x:c r="E409" s="14" t="str">
        <x:v>SAR SOP update</x:v>
      </x:c>
      <x:c r="F409" s="14" t="str">
        <x:v>Quy trình/SOP</x:v>
      </x:c>
      <x:c r="G409" s="14" t="str">
        <x:v>Văn phòng - Pháp chế; Ban Không lưu; Trung tâm Tìm kiếm cứu nạn hàng không</x:v>
      </x:c>
      <x:c r="H409" s="14" t="str">
        <x:v>Văn phòng - Pháp chế; Ban An toàn - Chất lượng</x:v>
      </x:c>
      <x:c r="I409" s="14" t="str">
        <x:v>NĐ HĐB Điều 126-128</x:v>
      </x:c>
      <x:c r="J409" s="14" t="str">
        <x:v>P2</x:v>
      </x:c>
      <x:c r="K409" s="14" t="str">
        <x:v>Chưa bắt đầu</x:v>
      </x:c>
      <x:c r="L409" s="14" t="str"/>
      <x:c r="M409" s="14" t="str">
        <x:v>SAR SOP update; diễn tập; dữ liệu SAR preserved; Tối thiểu 01 diễn tập/năm; báo cáo sau diễn tập có CAP</x:v>
      </x:c>
      <x:c r="N409" s="14" t="str">
        <x:v>Tổng 1 nhiệm vụ liên quan.</x:v>
      </x:c>
    </x:row>
    <x:row r="410">
      <x:c r="A410" s="14" t="str">
        <x:v>PROC-0409</x:v>
      </x:c>
      <x:c r="B410" s="14" t="str">
        <x:v>VATM-0568</x:v>
      </x:c>
      <x:c r="C410" s="14" t="str">
        <x:v>Tuân thủ, pháp chế &amp; quản trị</x:v>
      </x:c>
      <x:c r="D410" s="14" t="str">
        <x:v>Quản trị triển khai, RACI và báo cáo</x:v>
      </x:c>
      <x:c r="E410" s="14" t="str">
        <x:v>báo cáo sau diễn tập có CAP SAR SOP update</x:v>
      </x:c>
      <x:c r="F410" s="14" t="str">
        <x:v>Quy trình/SOP</x:v>
      </x:c>
      <x:c r="G410" s="14" t="str">
        <x:v>Văn phòng - Pháp chế; Ban Không lưu; Trung tâm Tìm kiếm cứu nạn hàng không</x:v>
      </x:c>
      <x:c r="H410" s="14" t="str">
        <x:v>Văn phòng - Pháp chế; Ban An toàn - Chất lượng</x:v>
      </x:c>
      <x:c r="I410" s="14" t="str">
        <x:v>NĐ HĐB Điều 126-128</x:v>
      </x:c>
      <x:c r="J410" s="14" t="str">
        <x:v>P2</x:v>
      </x:c>
      <x:c r="K410" s="14" t="str">
        <x:v>Chưa bắt đầu</x:v>
      </x:c>
      <x:c r="L410" s="14" t="str"/>
      <x:c r="M410" s="14" t="str">
        <x:v>SAR SOP update; diễn tập; dữ liệu SAR preserved; Tối thiểu 01 diễn tập/năm; báo cáo sau diễn tập có CAP</x:v>
      </x:c>
      <x:c r="N410" s="14" t="str">
        <x:v>Tổng 1 nhiệm vụ liên quan.</x:v>
      </x:c>
    </x:row>
    <x:row r="411">
      <x:c r="A411" s="14" t="str">
        <x:v>PROC-0410</x:v>
      </x:c>
      <x:c r="B411" s="14" t="str">
        <x:v>VATM-0573; VATM-0573</x:v>
      </x:c>
      <x:c r="C411" s="14" t="str">
        <x:v>Tuân thủ, pháp chế &amp; quản trị</x:v>
      </x:c>
      <x:c r="D411" s="14" t="str">
        <x:v>Thanh tra, kiểm tra, audit tuân thủ</x:v>
      </x:c>
      <x:c r="E411" s="14" t="str">
        <x:v>checklist theo điều khoản</x:v>
      </x:c>
      <x:c r="F411" s="14" t="str">
        <x:v>Biểu mẫu/Checklist</x:v>
      </x:c>
      <x:c r="G411" s="14" t="str">
        <x:v>Văn phòng - Pháp chế; Ban An toàn - Chất lượng</x:v>
      </x:c>
      <x:c r="H411" s="14" t="str">
        <x:v>Văn phòng - Pháp chế</x:v>
      </x:c>
      <x:c r="I411" s="14" t="str">
        <x:v>Điều 26-32</x:v>
      </x:c>
      <x:c r="J411" s="14" t="str">
        <x:v>P2</x:v>
      </x:c>
      <x:c r="K411" s="14" t="str">
        <x:v>Chưa bắt đầu</x:v>
      </x:c>
      <x:c r="L411" s="14" t="str"/>
      <x:c r="M411" s="14" t="str">
        <x:v>Kế hoạch audit 2027; checklist theo điều khoản; Audit 100% lĩnh vực ATS/CNS/MET/AIS/SAR tối thiểu 1 lần/năm hoặc theo rủi ro</x:v>
      </x:c>
      <x:c r="N411" s="14" t="str">
        <x:v>Tổng 2 nhiệm vụ liên quan.</x:v>
      </x:c>
    </x:row>
    <x:row r="412">
      <x:c r="A412" s="14" t="str">
        <x:v>PROC-0411</x:v>
      </x:c>
      <x:c r="B412" s="14" t="str">
        <x:v>VATM-0575</x:v>
      </x:c>
      <x:c r="C412" s="14" t="str">
        <x:v>Tuân thủ, pháp chế &amp; quản trị</x:v>
      </x:c>
      <x:c r="D412" s="14" t="str">
        <x:v>Quản trị triển khai, RACI và báo cáo</x:v>
      </x:c>
      <x:c r="E412" s="14" t="str">
        <x:v>bản mới phê duyệt đúng quy trình Master document change plan</x:v>
      </x:c>
      <x:c r="F412" s="14" t="str">
        <x:v>Quy trình/SOP</x:v>
      </x:c>
      <x:c r="G412" s="14" t="str">
        <x:v>Văn phòng - Pháp chế; Ban An toàn - Chất lượng</x:v>
      </x:c>
      <x:c r="H412" s="14" t="str">
        <x:v>Ban Kế hoạch doanh nghiệp - Chuyển đổi số; Ban Kỹ thuật - CNS/IT/Môi trường; Văn phòng - Pháp chế</x:v>
      </x:c>
      <x:c r="I412" s="14" t="str">
        <x:v>Toàn dự thảo</x:v>
      </x:c>
      <x:c r="J412" s="14" t="str">
        <x:v>P1</x:v>
      </x:c>
      <x:c r="K412" s="14" t="str">
        <x:v>Chưa bắt đầu</x:v>
      </x:c>
      <x:c r="L412" s="14" t="str"/>
      <x:c r="M412" s="14" t="str">
        <x:v>Master document change plan; 100% tài liệu có owner, deadline, status; bản mới phê duyệt đúng quy trình</x:v>
      </x:c>
      <x:c r="N412" s="14" t="str">
        <x:v>Tổng 1 nhiệm vụ liên quan.</x:v>
      </x:c>
    </x:row>
    <x:row r="413">
      <x:c r="A413" s="14" t="str">
        <x:v>PROC-0412</x:v>
      </x:c>
      <x:c r="B413" s="14" t="str">
        <x:v>VATM-0575</x:v>
      </x:c>
      <x:c r="C413" s="14" t="str">
        <x:v>Tuân thủ, pháp chế &amp; quản trị</x:v>
      </x:c>
      <x:c r="D413" s="14" t="str">
        <x:v>Quản trị triển khai, RACI và báo cáo</x:v>
      </x:c>
      <x:c r="E413" s="14" t="str">
        <x:v>bản mới phê duyệt đúng quy trình</x:v>
      </x:c>
      <x:c r="F413" s="14" t="str">
        <x:v>Quy trình/SOP</x:v>
      </x:c>
      <x:c r="G413" s="14" t="str">
        <x:v>Văn phòng - Pháp chế; Ban An toàn - Chất lượng</x:v>
      </x:c>
      <x:c r="H413" s="14" t="str">
        <x:v>Ban Kế hoạch doanh nghiệp - Chuyển đổi số; Ban Kỹ thuật - CNS/IT/Môi trường; Văn phòng - Pháp chế</x:v>
      </x:c>
      <x:c r="I413" s="14" t="str">
        <x:v>Toàn dự thảo</x:v>
      </x:c>
      <x:c r="J413" s="14" t="str">
        <x:v>P1</x:v>
      </x:c>
      <x:c r="K413" s="14" t="str">
        <x:v>Chưa bắt đầu</x:v>
      </x:c>
      <x:c r="L413" s="14" t="str"/>
      <x:c r="M413" s="14" t="str">
        <x:v>Master document change plan; 100% tài liệu có owner, deadline, status; bản mới phê duyệt đúng quy trình</x:v>
      </x:c>
      <x:c r="N413" s="14" t="str">
        <x:v>Tổng 1 nhiệm vụ liên quan.</x:v>
      </x:c>
    </x:row>
    <x:row r="414">
      <x:c r="A414" s="14" t="str">
        <x:v>PROC-0413</x:v>
      </x:c>
      <x:c r="B414" s="14" t="str">
        <x:v>VATM-0579</x:v>
      </x:c>
      <x:c r="C414" s="14" t="str">
        <x:v>An toàn hàng không / SMS</x:v>
      </x:c>
      <x:c r="D414" s="14" t="str">
        <x:v>Quản lý rủi ro và thay đổi</x:v>
      </x:c>
      <x:c r="E414" s="14" t="str">
        <x:v>Văn bản xin hướng dẫn/biên bản làm việc nếu cần</x:v>
      </x:c>
      <x:c r="F414" s="14" t="str">
        <x:v>Quy trình/SOP</x:v>
      </x:c>
      <x:c r="G414" s="14" t="str">
        <x:v>Ban An toàn - Chất lượng; Văn phòng - Pháp chế; Ban Tài chính</x:v>
      </x:c>
      <x:c r="H414" s="14" t="str">
        <x:v>Các Công ty Quản lý bay khu vực Bắc/Trung/Nam; Ban Kế hoạch - Đầu tư; Ban An toàn - Chất lượng</x:v>
      </x:c>
      <x:c r="I414" s="14" t="str">
        <x:v>Điều 24</x:v>
      </x:c>
      <x:c r="J414" s="14" t="str">
        <x:v>P2</x:v>
      </x:c>
      <x:c r="K414" s="14" t="str">
        <x:v>Chưa bắt đầu</x:v>
      </x:c>
      <x:c r="L414" s="14" t="str"/>
      <x:c r="M414" s="14" t="str">
        <x:v>Văn bản xin hướng dẫn/biên bản làm việc nếu cần; Có kết luận bằng văn bản trước kỳ kê khai đầu tiên nếu áp dụng</x:v>
      </x:c>
      <x:c r="N414" s="14" t="str">
        <x:v>Tổng 1 nhiệm vụ liên quan.</x:v>
      </x:c>
    </x:row>
    <x:row r="415">
      <x:c r="A415" s="14" t="str">
        <x:v>PROC-0414</x:v>
      </x:c>
      <x:c r="B415" s="14" t="str">
        <x:v>VATM-0579</x:v>
      </x:c>
      <x:c r="C415" s="14" t="str">
        <x:v>An toàn hàng không / SMS</x:v>
      </x:c>
      <x:c r="D415" s="14" t="str">
        <x:v>Quản lý rủi ro và thay đổi</x:v>
      </x:c>
      <x:c r="E415" s="14" t="str">
        <x:v>Có kết luận bằng văn bản trước kỳ kê khai đầu tiên nếu áp dụng Văn bản xin hướng dẫn/biên bản làm việc nếu cần</x:v>
      </x:c>
      <x:c r="F415" s="14" t="str">
        <x:v>Quy trình/SOP</x:v>
      </x:c>
      <x:c r="G415" s="14" t="str">
        <x:v>Ban An toàn - Chất lượng; Văn phòng - Pháp chế; Ban Tài chính</x:v>
      </x:c>
      <x:c r="H415" s="14" t="str">
        <x:v>Các Công ty Quản lý bay khu vực Bắc/Trung/Nam; Ban Kế hoạch - Đầu tư; Ban An toàn - Chất lượng</x:v>
      </x:c>
      <x:c r="I415" s="14" t="str">
        <x:v>Điều 24</x:v>
      </x:c>
      <x:c r="J415" s="14" t="str">
        <x:v>P2</x:v>
      </x:c>
      <x:c r="K415" s="14" t="str">
        <x:v>Chưa bắt đầu</x:v>
      </x:c>
      <x:c r="L415" s="14" t="str"/>
      <x:c r="M415" s="14" t="str">
        <x:v>Văn bản xin hướng dẫn/biên bản làm việc nếu cần; Có kết luận bằng văn bản trước kỳ kê khai đầu tiên nếu áp dụng</x:v>
      </x:c>
      <x:c r="N415" s="14" t="str">
        <x:v>Tổng 1 nhiệm vụ liên quan.</x:v>
      </x:c>
    </x:row>
    <x:row r="416">
      <x:c r="A416" s="14" t="str">
        <x:v>PROC-0415</x:v>
      </x:c>
      <x:c r="B416" s="14" t="str">
        <x:v>VATM-0580; VATM-0580</x:v>
      </x:c>
      <x:c r="C416" s="14" t="str">
        <x:v>An toàn hàng không / SMS</x:v>
      </x:c>
      <x:c r="D416" s="14" t="str">
        <x:v>Quản lý rủi ro và thay đổi</x:v>
      </x:c>
      <x:c r="E416" s="14" t="str">
        <x:v>Không xung đột quy trình kỷ luật lao động</x:v>
      </x:c>
      <x:c r="F416" s="14" t="str">
        <x:v>Quy trình/SOP</x:v>
      </x:c>
      <x:c r="G416" s="14" t="str">
        <x:v>Ban An toàn - Chất lượng; Văn phòng - Pháp chế</x:v>
      </x:c>
      <x:c r="H416" s="14" t="str">
        <x:v>Các Công ty Quản lý bay khu vực Bắc/Trung/Nam; Ban An toàn - Chất lượng</x:v>
      </x:c>
      <x:c r="I416" s="14" t="str">
        <x:v>Điều 48</x:v>
      </x:c>
      <x:c r="J416" s="14" t="str">
        <x:v>P1</x:v>
      </x:c>
      <x:c r="K416" s="14" t="str">
        <x:v>Chưa bắt đầu</x:v>
      </x:c>
      <x:c r="L416" s="14" t="str"/>
      <x:c r="M416" s="14" t="str">
        <x:v>Phụ lục nội quy lao động; mẫu biên bản/ quyết định; Không xung đột quy trình kỷ luật lao động; bảo đảm an toàn là ưu tiên</x:v>
      </x:c>
      <x:c r="N416" s="14" t="str">
        <x:v>Tổng 2 nhiệm vụ liên quan.</x:v>
      </x:c>
    </x:row>
    <x:row r="417">
      <x:c r="A417" s="14" t="str">
        <x:v>PROC-0416</x:v>
      </x:c>
      <x:c r="B417" s="14" t="str">
        <x:v>VATM-0588</x:v>
      </x:c>
      <x:c r="C417" s="14" t="str">
        <x:v>ANS - ATM/ATS/ATFM</x:v>
      </x:c>
      <x:c r="D417" s="14" t="str">
        <x:v>Cung cấp ATS/điều hành bay</x:v>
      </x:c>
      <x:c r="E417" s="14" t="str">
        <x:v>Quy chế/LOA phối hợp</x:v>
      </x:c>
      <x:c r="F417" s="14" t="str">
        <x:v>Quy trình/SOP</x:v>
      </x:c>
      <x:c r="G417" s="14" t="str">
        <x:v>Ban Không lưu; Trung tâm Quản lý luồng không lưu</x:v>
      </x:c>
      <x:c r="H417" s="14" t="str">
        <x:v>Các Công ty Quản lý bay khu vực Bắc/Trung/Nam; Ban Không lưu</x:v>
      </x:c>
      <x:c r="I417" s="14" t="str">
        <x:v>Điều 39, 40, 121-125 dự thảo NĐ</x:v>
      </x:c>
      <x:c r="J417" s="14" t="str">
        <x:v>Rất cao</x:v>
      </x:c>
      <x:c r="K417" s="14" t="str">
        <x:v>Chưa bắt đầu</x:v>
      </x:c>
      <x:c r="L417" s="14" t="str"/>
      <x:c r="M417" s="14" t="str">
        <x:v>Quy chế/LOA phối hợp; đầu mối 24/7; checklist tình huống.; Dữ liệu, thông tin chuyến bay và giám sát được chia sẻ đúng phạm vi, đúng thời hạn.; Bảo đảm an toàn, bảo mật, phân quyền, dự phòng đường truyền.; Tối thiểu 01 quy chế cấp quốc gia/đơn vị; diễn tập định kỳ hằng năm.</x:v>
      </x:c>
      <x:c r="N417" s="14" t="str">
        <x:v>Tổng 1 nhiệm vụ liên quan.</x:v>
      </x:c>
    </x:row>
    <x:row r="418">
      <x:c r="A418" s="14" t="str">
        <x:v>PROC-0417</x:v>
      </x:c>
      <x:c r="B418" s="14" t="str">
        <x:v>VATM-0588; VATM-0588</x:v>
      </x:c>
      <x:c r="C418" s="14" t="str">
        <x:v>ANS - ATM/ATS/ATFM</x:v>
      </x:c>
      <x:c r="D418" s="14" t="str">
        <x:v>Cung cấp ATS/điều hành bay</x:v>
      </x:c>
      <x:c r="E418" s="14" t="str">
        <x:v>checklist tình huống</x:v>
      </x:c>
      <x:c r="F418" s="14" t="str">
        <x:v>Biểu mẫu/Checklist</x:v>
      </x:c>
      <x:c r="G418" s="14" t="str">
        <x:v>Ban Không lưu; Trung tâm Quản lý luồng không lưu</x:v>
      </x:c>
      <x:c r="H418" s="14" t="str">
        <x:v>Các Công ty Quản lý bay khu vực Bắc/Trung/Nam; Ban Không lưu</x:v>
      </x:c>
      <x:c r="I418" s="14" t="str">
        <x:v>Điều 39, 40, 121-125 dự thảo NĐ</x:v>
      </x:c>
      <x:c r="J418" s="14" t="str">
        <x:v>Rất cao</x:v>
      </x:c>
      <x:c r="K418" s="14" t="str">
        <x:v>Chưa bắt đầu</x:v>
      </x:c>
      <x:c r="L418" s="14" t="str"/>
      <x:c r="M418" s="14" t="str">
        <x:v>Quy chế/LOA phối hợp; đầu mối 24/7; checklist tình huống.; Dữ liệu, thông tin chuyến bay và giám sát được chia sẻ đúng phạm vi, đúng thời hạn.; Bảo đảm an toàn, bảo mật, phân quyền, dự phòng đường truyền.; Tối thiểu 01 quy chế cấp quốc gia/đơn vị; diễn tập định kỳ hằng năm.</x:v>
      </x:c>
      <x:c r="N418" s="14" t="str">
        <x:v>Tổng 2 nhiệm vụ liên quan.</x:v>
      </x:c>
    </x:row>
    <x:row r="419">
      <x:c r="A419" s="14" t="str">
        <x:v>PROC-0418</x:v>
      </x:c>
      <x:c r="B419" s="14" t="str">
        <x:v>VATM-0588; VATM-0588</x:v>
      </x:c>
      <x:c r="C419" s="14" t="str">
        <x:v>ANS - ATM/ATS/ATFM</x:v>
      </x:c>
      <x:c r="D419" s="14" t="str">
        <x:v>Cung cấp ATS/điều hành bay</x:v>
      </x:c>
      <x:c r="E419" s="14" t="str">
        <x:v>Tối thiểu 01 quy chế cấp quốc gia/đơn vị</x:v>
      </x:c>
      <x:c r="F419" s="14" t="str">
        <x:v>Quy trình/SOP</x:v>
      </x:c>
      <x:c r="G419" s="14" t="str">
        <x:v>Ban Không lưu; Trung tâm Quản lý luồng không lưu</x:v>
      </x:c>
      <x:c r="H419" s="14" t="str">
        <x:v>Các Công ty Quản lý bay khu vực Bắc/Trung/Nam; Ban Không lưu</x:v>
      </x:c>
      <x:c r="I419" s="14" t="str">
        <x:v>Điều 39, 40, 121-125 dự thảo NĐ</x:v>
      </x:c>
      <x:c r="J419" s="14" t="str">
        <x:v>Rất cao</x:v>
      </x:c>
      <x:c r="K419" s="14" t="str">
        <x:v>Chưa bắt đầu</x:v>
      </x:c>
      <x:c r="L419" s="14" t="str"/>
      <x:c r="M419" s="14" t="str">
        <x:v>Quy chế/LOA phối hợp; đầu mối 24/7; checklist tình huống.; Dữ liệu, thông tin chuyến bay và giám sát được chia sẻ đúng phạm vi, đúng thời hạn.; Bảo đảm an toàn, bảo mật, phân quyền, dự phòng đường truyền.; Tối thiểu 01 quy chế cấp quốc gia/đơn vị; diễn tập định kỳ hằng năm.</x:v>
      </x:c>
      <x:c r="N419" s="14" t="str">
        <x:v>Tổng 2 nhiệm vụ liên quan.</x:v>
      </x:c>
    </x:row>
    <x:row r="420">
      <x:c r="A420" s="14" t="str">
        <x:v>PROC-0419</x:v>
      </x:c>
      <x:c r="B420" s="14" t="str">
        <x:v>VATM-0588</x:v>
      </x:c>
      <x:c r="C420" s="14" t="str">
        <x:v>ANS - ATM/ATS/ATFM</x:v>
      </x:c>
      <x:c r="D420" s="14" t="str">
        <x:v>Cung cấp ATS/điều hành bay</x:v>
      </x:c>
      <x:c r="E420" s="14" t="str">
        <x:v>diễn tập định kỳ hằng năm. Quy chế/LOA phối hợp</x:v>
      </x:c>
      <x:c r="F420" s="14" t="str">
        <x:v>Quy trình/SOP</x:v>
      </x:c>
      <x:c r="G420" s="14" t="str">
        <x:v>Ban Không lưu; Trung tâm Quản lý luồng không lưu</x:v>
      </x:c>
      <x:c r="H420" s="14" t="str">
        <x:v>Các Công ty Quản lý bay khu vực Bắc/Trung/Nam; Ban Không lưu</x:v>
      </x:c>
      <x:c r="I420" s="14" t="str">
        <x:v>Điều 39, 40, 121-125 dự thảo NĐ</x:v>
      </x:c>
      <x:c r="J420" s="14" t="str">
        <x:v>Rất cao</x:v>
      </x:c>
      <x:c r="K420" s="14" t="str">
        <x:v>Chưa bắt đầu</x:v>
      </x:c>
      <x:c r="L420" s="14" t="str"/>
      <x:c r="M420" s="14" t="str">
        <x:v>Quy chế/LOA phối hợp; đầu mối 24/7; checklist tình huống.; Dữ liệu, thông tin chuyến bay và giám sát được chia sẻ đúng phạm vi, đúng thời hạn.; Bảo đảm an toàn, bảo mật, phân quyền, dự phòng đường truyền.; Tối thiểu 01 quy chế cấp quốc gia/đơn vị; diễn tập định kỳ hằng năm.</x:v>
      </x:c>
      <x:c r="N420" s="14" t="str">
        <x:v>Tổng 1 nhiệm vụ liên quan.</x:v>
      </x:c>
    </x:row>
    <x:row r="421">
      <x:c r="A421" s="14" t="str">
        <x:v>PROC-0420</x:v>
      </x:c>
      <x:c r="B421" s="14" t="str">
        <x:v>VATM-0589</x:v>
      </x:c>
      <x:c r="C421" s="14" t="str">
        <x:v>ANS - ATM/ATS/ATFM</x:v>
      </x:c>
      <x:c r="D421" s="14" t="str">
        <x:v>Cung cấp ATS/điều hành bay</x:v>
      </x:c>
      <x:c r="E421" s="14" t="str">
        <x:v>SOP ASM/FUA</x:v>
      </x:c>
      <x:c r="F421" s="14" t="str">
        <x:v>Quy trình/SOP</x:v>
      </x:c>
      <x:c r="G421" s="14" t="str">
        <x:v>Ban Không lưu; Trung tâm Quản lý luồng không lưu</x:v>
      </x:c>
      <x:c r="H421" s="14" t="str">
        <x:v>Các Công ty Quản lý bay khu vực Bắc/Trung/Nam; Ban Không lưu</x:v>
      </x:c>
      <x:c r="I421" s="14" t="str">
        <x:v>Điều 40</x:v>
      </x:c>
      <x:c r="J421" s="14" t="str">
        <x:v>Rất cao</x:v>
      </x:c>
      <x:c r="K421" s="14" t="str">
        <x:v>Chưa bắt đầu</x:v>
      </x:c>
      <x:c r="L421" s="14" t="str"/>
      <x:c r="M421" s="14" t="str">
        <x:v>SOP ASM/FUA; mẫu AUP/UUP; giao diện dữ liệu; quy trình NOTAM/AIRAC.; Giảm hạn chế vùng trời không cần thiết; thông tin vùng trời được cập nhật đúng thời hạn.; Tính chính xác, kịp thời, đồng bộ với AIM và ATFM.; 01 bộ SOP; báo cáo hiệu quả FUA hằng quý.</x:v>
      </x:c>
      <x:c r="N421" s="14" t="str">
        <x:v>Tổng 1 nhiệm vụ liên quan.</x:v>
      </x:c>
    </x:row>
    <x:row r="422">
      <x:c r="A422" s="14" t="str">
        <x:v>PROC-0421</x:v>
      </x:c>
      <x:c r="B422" s="14" t="str">
        <x:v>VATM-0589; VATM-0589</x:v>
      </x:c>
      <x:c r="C422" s="14" t="str">
        <x:v>ANS - ATM/ATS/ATFM</x:v>
      </x:c>
      <x:c r="D422" s="14" t="str">
        <x:v>Cung cấp ATS/điều hành bay</x:v>
      </x:c>
      <x:c r="E422" s="14" t="str">
        <x:v>quy trình NOTAM/AIRAC</x:v>
      </x:c>
      <x:c r="F422" s="14" t="str">
        <x:v>Quy trình/SOP</x:v>
      </x:c>
      <x:c r="G422" s="14" t="str">
        <x:v>Ban Không lưu; Trung tâm Quản lý luồng không lưu</x:v>
      </x:c>
      <x:c r="H422" s="14" t="str">
        <x:v>Các Công ty Quản lý bay khu vực Bắc/Trung/Nam; Ban Không lưu</x:v>
      </x:c>
      <x:c r="I422" s="14" t="str">
        <x:v>Điều 40</x:v>
      </x:c>
      <x:c r="J422" s="14" t="str">
        <x:v>Rất cao</x:v>
      </x:c>
      <x:c r="K422" s="14" t="str">
        <x:v>Chưa bắt đầu</x:v>
      </x:c>
      <x:c r="L422" s="14" t="str"/>
      <x:c r="M422" s="14" t="str">
        <x:v>SOP ASM/FUA; mẫu AUP/UUP; giao diện dữ liệu; quy trình NOTAM/AIRAC.; Giảm hạn chế vùng trời không cần thiết; thông tin vùng trời được cập nhật đúng thời hạn.; Tính chính xác, kịp thời, đồng bộ với AIM và ATFM.; 01 bộ SOP; báo cáo hiệu quả FUA hằng quý.</x:v>
      </x:c>
      <x:c r="N422" s="14" t="str">
        <x:v>Tổng 2 nhiệm vụ liên quan.</x:v>
      </x:c>
    </x:row>
    <x:row r="423">
      <x:c r="A423" s="14" t="str">
        <x:v>PROC-0422</x:v>
      </x:c>
      <x:c r="B423" s="14" t="str">
        <x:v>VATM-0589; VATM-0589</x:v>
      </x:c>
      <x:c r="C423" s="14" t="str">
        <x:v>ANS - ATM/ATS/ATFM</x:v>
      </x:c>
      <x:c r="D423" s="14" t="str">
        <x:v>Cung cấp ATS/điều hành bay</x:v>
      </x:c>
      <x:c r="E423" s="14" t="str">
        <x:v>01 bộ SOP</x:v>
      </x:c>
      <x:c r="F423" s="14" t="str">
        <x:v>Quy trình/SOP</x:v>
      </x:c>
      <x:c r="G423" s="14" t="str">
        <x:v>Ban Không lưu; Trung tâm Quản lý luồng không lưu</x:v>
      </x:c>
      <x:c r="H423" s="14" t="str">
        <x:v>Các Công ty Quản lý bay khu vực Bắc/Trung/Nam; Ban Không lưu</x:v>
      </x:c>
      <x:c r="I423" s="14" t="str">
        <x:v>Điều 40</x:v>
      </x:c>
      <x:c r="J423" s="14" t="str">
        <x:v>Rất cao</x:v>
      </x:c>
      <x:c r="K423" s="14" t="str">
        <x:v>Chưa bắt đầu</x:v>
      </x:c>
      <x:c r="L423" s="14" t="str"/>
      <x:c r="M423" s="14" t="str">
        <x:v>SOP ASM/FUA; mẫu AUP/UUP; giao diện dữ liệu; quy trình NOTAM/AIRAC.; Giảm hạn chế vùng trời không cần thiết; thông tin vùng trời được cập nhật đúng thời hạn.; Tính chính xác, kịp thời, đồng bộ với AIM và ATFM.; 01 bộ SOP; báo cáo hiệu quả FUA hằng quý.</x:v>
      </x:c>
      <x:c r="N423" s="14" t="str">
        <x:v>Tổng 2 nhiệm vụ liên quan.</x:v>
      </x:c>
    </x:row>
    <x:row r="424">
      <x:c r="A424" s="14" t="str">
        <x:v>PROC-0423</x:v>
      </x:c>
      <x:c r="B424" s="14" t="str">
        <x:v>VATM-0589</x:v>
      </x:c>
      <x:c r="C424" s="14" t="str">
        <x:v>ANS - ATM/ATS/ATFM</x:v>
      </x:c>
      <x:c r="D424" s="14" t="str">
        <x:v>Cung cấp ATS/điều hành bay</x:v>
      </x:c>
      <x:c r="E424" s="14" t="str">
        <x:v>báo cáo hiệu quả FUA hằng quý. SOP ASM/FUA</x:v>
      </x:c>
      <x:c r="F424" s="14" t="str">
        <x:v>Quy trình/SOP</x:v>
      </x:c>
      <x:c r="G424" s="14" t="str">
        <x:v>Ban Không lưu; Trung tâm Quản lý luồng không lưu</x:v>
      </x:c>
      <x:c r="H424" s="14" t="str">
        <x:v>Các Công ty Quản lý bay khu vực Bắc/Trung/Nam; Ban Không lưu</x:v>
      </x:c>
      <x:c r="I424" s="14" t="str">
        <x:v>Điều 40</x:v>
      </x:c>
      <x:c r="J424" s="14" t="str">
        <x:v>Rất cao</x:v>
      </x:c>
      <x:c r="K424" s="14" t="str">
        <x:v>Chưa bắt đầu</x:v>
      </x:c>
      <x:c r="L424" s="14" t="str"/>
      <x:c r="M424" s="14" t="str">
        <x:v>SOP ASM/FUA; mẫu AUP/UUP; giao diện dữ liệu; quy trình NOTAM/AIRAC.; Giảm hạn chế vùng trời không cần thiết; thông tin vùng trời được cập nhật đúng thời hạn.; Tính chính xác, kịp thời, đồng bộ với AIM và ATFM.; 01 bộ SOP; báo cáo hiệu quả FUA hằng quý.</x:v>
      </x:c>
      <x:c r="N424" s="14" t="str">
        <x:v>Tổng 1 nhiệm vụ liên quan.</x:v>
      </x:c>
    </x:row>
    <x:row r="425">
      <x:c r="A425" s="14" t="str">
        <x:v>PROC-0424</x:v>
      </x:c>
      <x:c r="B425" s="14" t="str">
        <x:v>VATM-0591</x:v>
      </x:c>
      <x:c r="C425" s="14" t="str">
        <x:v>ANS - ATM/ATS/ATFM</x:v>
      </x:c>
      <x:c r="D425" s="14" t="str">
        <x:v>Cung cấp ATS/điều hành bay</x:v>
      </x:c>
      <x:c r="E425" s="14" t="str">
        <x:v>SOP FPL/permit</x:v>
      </x:c>
      <x:c r="F425" s="14" t="str">
        <x:v>Quy trình/SOP</x:v>
      </x:c>
      <x:c r="G425" s="14" t="str">
        <x:v>Ban Không lưu; Trung tâm Quản lý luồng không lưu</x:v>
      </x:c>
      <x:c r="H425" s="14" t="str">
        <x:v>Các Công ty Quản lý bay khu vực Bắc/Trung/Nam; Ban Không lưu</x:v>
      </x:c>
      <x:c r="I425" s="14" t="str">
        <x:v>Điều 41; dự thảo NĐ Điều 14, 17, 24</x:v>
      </x:c>
      <x:c r="J425" s="14" t="str">
        <x:v>Rất cao</x:v>
      </x:c>
      <x:c r="K425" s="14" t="str">
        <x:v>Chưa bắt đầu</x:v>
      </x:c>
      <x:c r="L425" s="14" t="str"/>
      <x:c r="M425" s="14" t="str">
        <x:v>SOP FPL/permit; mẫu phản hồi; dashboard SLA; nhật ký thẩm quyền.; Không để FPL/permit sai lệch gây rủi ro; phản hồi đúng thời hạn.; Phân biệt rõ phản hồi thay phép bay, cấp/sửa/hủy phép bay và thông báo kế hoạch.; 01 SOP trung tâm; 100% nhân viên liên quan được huấn luyện.</x:v>
      </x:c>
      <x:c r="N425" s="14" t="str">
        <x:v>Tổng 1 nhiệm vụ liên quan.</x:v>
      </x:c>
    </x:row>
    <x:row r="426">
      <x:c r="A426" s="14" t="str">
        <x:v>PROC-0425</x:v>
      </x:c>
      <x:c r="B426" s="14" t="str">
        <x:v>VATM-0591; VATM-0591</x:v>
      </x:c>
      <x:c r="C426" s="14" t="str">
        <x:v>ANS - ATM/ATS/ATFM</x:v>
      </x:c>
      <x:c r="D426" s="14" t="str">
        <x:v>Cung cấp ATS/điều hành bay</x:v>
      </x:c>
      <x:c r="E426" s="14" t="str">
        <x:v>01 SOP trung tâm</x:v>
      </x:c>
      <x:c r="F426" s="14" t="str">
        <x:v>Quy trình/SOP</x:v>
      </x:c>
      <x:c r="G426" s="14" t="str">
        <x:v>Ban Không lưu; Trung tâm Quản lý luồng không lưu</x:v>
      </x:c>
      <x:c r="H426" s="14" t="str">
        <x:v>Các Công ty Quản lý bay khu vực Bắc/Trung/Nam; Ban Không lưu</x:v>
      </x:c>
      <x:c r="I426" s="14" t="str">
        <x:v>Điều 41; dự thảo NĐ Điều 14, 17, 24</x:v>
      </x:c>
      <x:c r="J426" s="14" t="str">
        <x:v>Rất cao</x:v>
      </x:c>
      <x:c r="K426" s="14" t="str">
        <x:v>Chưa bắt đầu</x:v>
      </x:c>
      <x:c r="L426" s="14" t="str"/>
      <x:c r="M426" s="14" t="str">
        <x:v>SOP FPL/permit; mẫu phản hồi; dashboard SLA; nhật ký thẩm quyền.; Không để FPL/permit sai lệch gây rủi ro; phản hồi đúng thời hạn.; Phân biệt rõ phản hồi thay phép bay, cấp/sửa/hủy phép bay và thông báo kế hoạch.; 01 SOP trung tâm; 100% nhân viên liên quan được huấn luyện.</x:v>
      </x:c>
      <x:c r="N426" s="14" t="str">
        <x:v>Tổng 2 nhiệm vụ liên quan.</x:v>
      </x:c>
    </x:row>
    <x:row r="427">
      <x:c r="A427" s="14" t="str">
        <x:v>PROC-0426</x:v>
      </x:c>
      <x:c r="B427" s="14" t="str">
        <x:v>VATM-0591</x:v>
      </x:c>
      <x:c r="C427" s="14" t="str">
        <x:v>ANS - ATM/ATS/ATFM</x:v>
      </x:c>
      <x:c r="D427" s="14" t="str">
        <x:v>Cung cấp ATS/điều hành bay</x:v>
      </x:c>
      <x:c r="E427" s="14" t="str">
        <x:v>100% nhân viên liên quan được huấn luyện. SOP FPL/permit</x:v>
      </x:c>
      <x:c r="F427" s="14" t="str">
        <x:v>Quy trình/SOP</x:v>
      </x:c>
      <x:c r="G427" s="14" t="str">
        <x:v>Ban Không lưu; Trung tâm Quản lý luồng không lưu</x:v>
      </x:c>
      <x:c r="H427" s="14" t="str">
        <x:v>Các Công ty Quản lý bay khu vực Bắc/Trung/Nam; Ban Không lưu</x:v>
      </x:c>
      <x:c r="I427" s="14" t="str">
        <x:v>Điều 41; dự thảo NĐ Điều 14, 17, 24</x:v>
      </x:c>
      <x:c r="J427" s="14" t="str">
        <x:v>Rất cao</x:v>
      </x:c>
      <x:c r="K427" s="14" t="str">
        <x:v>Chưa bắt đầu</x:v>
      </x:c>
      <x:c r="L427" s="14" t="str"/>
      <x:c r="M427" s="14" t="str">
        <x:v>SOP FPL/permit; mẫu phản hồi; dashboard SLA; nhật ký thẩm quyền.; Không để FPL/permit sai lệch gây rủi ro; phản hồi đúng thời hạn.; Phân biệt rõ phản hồi thay phép bay, cấp/sửa/hủy phép bay và thông báo kế hoạch.; 01 SOP trung tâm; 100% nhân viên liên quan được huấn luyện.</x:v>
      </x:c>
      <x:c r="N427" s="14" t="str">
        <x:v>Tổng 1 nhiệm vụ liên quan.</x:v>
      </x:c>
    </x:row>
    <x:row r="428">
      <x:c r="A428" s="14" t="str">
        <x:v>PROC-0427</x:v>
      </x:c>
      <x:c r="B428" s="14" t="str">
        <x:v>VATM-0592; VATM-0592</x:v>
      </x:c>
      <x:c r="C428" s="14" t="str">
        <x:v>ANS - ATM/ATS/ATFM</x:v>
      </x:c>
      <x:c r="D428" s="14" t="str">
        <x:v>Cung cấp ATS/điều hành bay</x:v>
      </x:c>
      <x:c r="E428" s="14" t="str">
        <x:v>checklist ATC</x:v>
      </x:c>
      <x:c r="F428" s="14" t="str">
        <x:v>Biểu mẫu/Checklist</x:v>
      </x:c>
      <x:c r="G428" s="14" t="str">
        <x:v>Ban Không lưu; Ban An ninh hàng không</x:v>
      </x:c>
      <x:c r="H428" s="14" t="str">
        <x:v>Các Công ty Quản lý bay khu vực Bắc/Trung/Nam; Ban Không lưu</x:v>
      </x:c>
      <x:c r="I428" s="14" t="str">
        <x:v>Điều 42, 94</x:v>
      </x:c>
      <x:c r="J428" s="14" t="str">
        <x:v>Rất cao</x:v>
      </x:c>
      <x:c r="K428" s="14" t="str">
        <x:v>Chưa bắt đầu</x:v>
      </x:c>
      <x:c r="L428" s="14" t="str"/>
      <x:c r="M428" s="14" t="str">
        <x:v>Kịch bản huấn luyện; biên bản diễn tập; checklist ATC.; KSVKL nắm đúng vai trò, liên lạc, phân cách, ưu tiên và báo cáo.; Không cung cấp chi tiết nhạy cảm vượt phạm vi an toàn/phối hợp; bảo mật hồ sơ.; Tối thiểu 01 diễn tập liên ngành/năm và 01 refresh training/năm.</x:v>
      </x:c>
      <x:c r="N428" s="14" t="str">
        <x:v>Tổng 2 nhiệm vụ liên quan.</x:v>
      </x:c>
    </x:row>
    <x:row r="429">
      <x:c r="A429" s="14" t="str">
        <x:v>PROC-0428</x:v>
      </x:c>
      <x:c r="B429" s="14" t="str">
        <x:v>VATM-0593; VATM-0593</x:v>
      </x:c>
      <x:c r="C429" s="14" t="str">
        <x:v>ANS - ATM/ATS/ATFM</x:v>
      </x:c>
      <x:c r="D429" s="14" t="str">
        <x:v>Cung cấp ATS/điều hành bay</x:v>
      </x:c>
      <x:c r="E429" s="14" t="str">
        <x:v>quy trình báo cáo hậu kiểm</x:v>
      </x:c>
      <x:c r="F429" s="14" t="str">
        <x:v>Quy trình/SOP</x:v>
      </x:c>
      <x:c r="G429" s="14" t="str">
        <x:v>Ban Không lưu; Trung tâm Thông báo tin tức hàng không</x:v>
      </x:c>
      <x:c r="H429" s="14" t="str">
        <x:v>Các Công ty Quản lý bay khu vực Bắc/Trung/Nam; Ban Không lưu</x:v>
      </x:c>
      <x:c r="I429" s="14" t="str">
        <x:v>Điều 45</x:v>
      </x:c>
      <x:c r="J429" s="14" t="str">
        <x:v>Cao</x:v>
      </x:c>
      <x:c r="K429" s="14" t="str">
        <x:v>Chưa bắt đầu</x:v>
      </x:c>
      <x:c r="L429" s="14" t="str"/>
      <x:c r="M429" s="14" t="str">
        <x:v>Danh mục khu vực; SOP; nội dung AIP/NOTAM; quy trình báo cáo hậu kiểm.; An toàn phân cách, giảm rủi ro cho mặt đất/mặt nước/môi trường.; Có đánh giá an toàn và phối hợp địa phương/cơ quan môi trường khi cần.; Mỗi FIR/khu vực sân bay trọng yếu có phương án hoặc căn cứ xử lý.</x:v>
      </x:c>
      <x:c r="N429" s="14" t="str">
        <x:v>Tổng 2 nhiệm vụ liên quan.</x:v>
      </x:c>
    </x:row>
    <x:row r="430">
      <x:c r="A430" s="14" t="str">
        <x:v>PROC-0429</x:v>
      </x:c>
      <x:c r="B430" s="14" t="str">
        <x:v>VATM-0594</x:v>
      </x:c>
      <x:c r="C430" s="14" t="str">
        <x:v>ANS - ATM/ATS/ATFM</x:v>
      </x:c>
      <x:c r="D430" s="14" t="str">
        <x:v>ATFM, năng lực và điều phối luồng</x:v>
      </x:c>
      <x:c r="E430" s="14" t="str">
        <x:v>Manual ATFM/CDM</x:v>
      </x:c>
      <x:c r="F430" s="14" t="str">
        <x:v>Khác</x:v>
      </x:c>
      <x:c r="G430" s="14" t="str">
        <x:v>Trung tâm Quản lý luồng không lưu; Ban Không lưu</x:v>
      </x:c>
      <x:c r="H430" s="14" t="str">
        <x:v>Các Công ty Quản lý bay khu vực Bắc/Trung/Nam; Trung tâm Quản lý luồng không lưu; Ban Không lưu</x:v>
      </x:c>
      <x:c r="I430" s="14" t="str">
        <x:v>Điều 37, 39, 41</x:v>
      </x:c>
      <x:c r="J430" s="14" t="str">
        <x:v>Cao</x:v>
      </x:c>
      <x:c r="K430" s="14" t="str">
        <x:v>Chưa bắt đầu</x:v>
      </x:c>
      <x:c r="L430" s="14" t="str"/>
      <x:c r="M430" s="14" t="str">
        <x:v>Manual ATFM/CDM; lịch họp CDM; báo cáo delay/capacity.; Điều tiết luồng thông suốt, giảm tắc nghẽn vùng trời/sân bay.; Dữ liệu minh bạch, lý do ATFM thống nhất, có hậu kiểm.; 01 mô hình toàn quốc; họp CDM định kỳ mùa/tuần/ngày theo nhu cầu.</x:v>
      </x:c>
      <x:c r="N430" s="14" t="str">
        <x:v>Tổng 1 nhiệm vụ liên quan.</x:v>
      </x:c>
    </x:row>
    <x:row r="431">
      <x:c r="A431" s="14" t="str">
        <x:v>PROC-0430</x:v>
      </x:c>
      <x:c r="B431" s="14" t="str">
        <x:v>VATM-0594</x:v>
      </x:c>
      <x:c r="C431" s="14" t="str">
        <x:v>ANS - ATM/ATS/ATFM</x:v>
      </x:c>
      <x:c r="D431" s="14" t="str">
        <x:v>ATFM, năng lực và điều phối luồng</x:v>
      </x:c>
      <x:c r="E431" s="14" t="str">
        <x:v>họp CDM định kỳ mùa/tuần/ngày theo nhu cầu. Manual ATFM/CDM</x:v>
      </x:c>
      <x:c r="F431" s="14" t="str">
        <x:v>Khác</x:v>
      </x:c>
      <x:c r="G431" s="14" t="str">
        <x:v>Trung tâm Quản lý luồng không lưu; Ban Không lưu</x:v>
      </x:c>
      <x:c r="H431" s="14" t="str">
        <x:v>Các Công ty Quản lý bay khu vực Bắc/Trung/Nam; Trung tâm Quản lý luồng không lưu; Ban Không lưu</x:v>
      </x:c>
      <x:c r="I431" s="14" t="str">
        <x:v>Điều 37, 39, 41</x:v>
      </x:c>
      <x:c r="J431" s="14" t="str">
        <x:v>Cao</x:v>
      </x:c>
      <x:c r="K431" s="14" t="str">
        <x:v>Chưa bắt đầu</x:v>
      </x:c>
      <x:c r="L431" s="14" t="str"/>
      <x:c r="M431" s="14" t="str">
        <x:v>Manual ATFM/CDM; lịch họp CDM; báo cáo delay/capacity.; Điều tiết luồng thông suốt, giảm tắc nghẽn vùng trời/sân bay.; Dữ liệu minh bạch, lý do ATFM thống nhất, có hậu kiểm.; 01 mô hình toàn quốc; họp CDM định kỳ mùa/tuần/ngày theo nhu cầu.</x:v>
      </x:c>
      <x:c r="N431" s="14" t="str">
        <x:v>Tổng 1 nhiệm vụ liên quan.</x:v>
      </x:c>
    </x:row>
    <x:row r="432">
      <x:c r="A432" s="14" t="str">
        <x:v>PROC-0431</x:v>
      </x:c>
      <x:c r="B432" s="14" t="str">
        <x:v>VATM-0597</x:v>
      </x:c>
      <x:c r="C432" s="14" t="str">
        <x:v>ANS - CNS/IT/Kỹ thuật</x:v>
      </x:c>
      <x:c r="D432" s="14" t="str">
        <x:v>CNS, trang thiết bị và bảo trì kỹ thuật</x:v>
      </x:c>
      <x:c r="E432" s="14" t="str">
        <x:v>SOP xử lý can nhiễu</x:v>
      </x:c>
      <x:c r="F432" s="14" t="str">
        <x:v>Quy trình/SOP</x:v>
      </x:c>
      <x:c r="G432" s="14" t="str">
        <x:v>Ban Kỹ thuật - CNS/IT/Môi trường</x:v>
      </x:c>
      <x:c r="H432" s="14" t="str">
        <x:v>Các Công ty Quản lý bay khu vực Bắc/Trung/Nam; Ban Kỹ thuật - CNS/IT/Môi trường</x:v>
      </x:c>
      <x:c r="I432" s="14" t="str">
        <x:v>Điều 44; Điều 12</x:v>
      </x:c>
      <x:c r="J432" s="14" t="str">
        <x:v>Cao</x:v>
      </x:c>
      <x:c r="K432" s="14" t="str">
        <x:v>Chưa bắt đầu</x:v>
      </x:c>
      <x:c r="L432" s="14" t="str"/>
      <x:c r="M432" s="14" t="str">
        <x:v>SOP xử lý can nhiễu; nhật ký sự cố; đường dây phối hợp cơ quan tần số.; Thời gian phát hiện, báo cáo, khoanh vùng, khắc phục đạt SLA.; Bảo đảm an toàn, liên tục dịch vụ, có phương án dự phòng.; Diễn tập can nhiễu/mất dịch vụ tối thiểu 01 lần/năm tại cơ sở trọng yếu.</x:v>
      </x:c>
      <x:c r="N432" s="14" t="str">
        <x:v>Tổng 1 nhiệm vụ liên quan.</x:v>
      </x:c>
    </x:row>
    <x:row r="433">
      <x:c r="A433" s="14" t="str">
        <x:v>PROC-0432</x:v>
      </x:c>
      <x:c r="B433" s="14" t="str">
        <x:v>VATM-0597</x:v>
      </x:c>
      <x:c r="C433" s="14" t="str">
        <x:v>ANS - CNS/IT/Kỹ thuật</x:v>
      </x:c>
      <x:c r="D433" s="14" t="str">
        <x:v>CNS, trang thiết bị và bảo trì kỹ thuật</x:v>
      </x:c>
      <x:c r="E433" s="14" t="str">
        <x:v>Diễn tập can nhiễu/mất dịch vụ tối thiểu 01 lần/năm tại cơ sở trọng yếu. SOP xử lý can nhiễu</x:v>
      </x:c>
      <x:c r="F433" s="14" t="str">
        <x:v>Quy trình/SOP</x:v>
      </x:c>
      <x:c r="G433" s="14" t="str">
        <x:v>Ban Kỹ thuật - CNS/IT/Môi trường</x:v>
      </x:c>
      <x:c r="H433" s="14" t="str">
        <x:v>Các Công ty Quản lý bay khu vực Bắc/Trung/Nam; Ban Kỹ thuật - CNS/IT/Môi trường</x:v>
      </x:c>
      <x:c r="I433" s="14" t="str">
        <x:v>Điều 44; Điều 12</x:v>
      </x:c>
      <x:c r="J433" s="14" t="str">
        <x:v>Cao</x:v>
      </x:c>
      <x:c r="K433" s="14" t="str">
        <x:v>Chưa bắt đầu</x:v>
      </x:c>
      <x:c r="L433" s="14" t="str"/>
      <x:c r="M433" s="14" t="str">
        <x:v>SOP xử lý can nhiễu; nhật ký sự cố; đường dây phối hợp cơ quan tần số.; Thời gian phát hiện, báo cáo, khoanh vùng, khắc phục đạt SLA.; Bảo đảm an toàn, liên tục dịch vụ, có phương án dự phòng.; Diễn tập can nhiễu/mất dịch vụ tối thiểu 01 lần/năm tại cơ sở trọng yếu.</x:v>
      </x:c>
      <x:c r="N433" s="14" t="str">
        <x:v>Tổng 1 nhiệm vụ liên quan.</x:v>
      </x:c>
    </x:row>
    <x:row r="434">
      <x:c r="A434" s="14" t="str">
        <x:v>PROC-0433</x:v>
      </x:c>
      <x:c r="B434" s="14" t="str">
        <x:v>VATM-0598</x:v>
      </x:c>
      <x:c r="C434" s="14" t="str">
        <x:v>ANS - CNS/IT/Kỹ thuật</x:v>
      </x:c>
      <x:c r="D434" s="14" t="str">
        <x:v>CNS, trang thiết bị và bảo trì kỹ thuật</x:v>
      </x:c>
      <x:c r="E434" s="14" t="str">
        <x:v>Quy trình đánh giá kỹ thuật</x:v>
      </x:c>
      <x:c r="F434" s="14" t="str">
        <x:v>Quy trình/SOP</x:v>
      </x:c>
      <x:c r="G434" s="14" t="str">
        <x:v>Ban Kỹ thuật - CNS/IT/Môi trường</x:v>
      </x:c>
      <x:c r="H434" s="14" t="str">
        <x:v>Các Công ty Quản lý bay khu vực Bắc/Trung/Nam; Ban Kỹ thuật - CNS/IT/Môi trường</x:v>
      </x:c>
      <x:c r="I434" s="14" t="str">
        <x:v>Điều 43, 47</x:v>
      </x:c>
      <x:c r="J434" s="14" t="str">
        <x:v>Rất cao</x:v>
      </x:c>
      <x:c r="K434" s="14" t="str">
        <x:v>Chưa bắt đầu</x:v>
      </x:c>
      <x:c r="L434" s="14" t="str"/>
      <x:c r="M434" s="14" t="str">
        <x:v>Quy trình đánh giá kỹ thuật; biểu mẫu ý kiến; cơ sở dữ liệu BRA/OLS liên quan CNS.; 100% hồ sơ công trình ảnh hưởng CNS được đánh giá đúng hạn và có kết luận rõ.; Dựa trên số liệu đo đạc, mô hình kỹ thuật, tiêu chuẩn ICAO/được phê duyệt.; Báo cáo đánh giá theo từng hồ sơ; danh mục cơ sở CNS cần bảo vệ.</x:v>
      </x:c>
      <x:c r="N434" s="14" t="str">
        <x:v>Tổng 1 nhiệm vụ liên quan.</x:v>
      </x:c>
    </x:row>
    <x:row r="435">
      <x:c r="A435" s="14" t="str">
        <x:v>PROC-0434</x:v>
      </x:c>
      <x:c r="B435" s="14" t="str">
        <x:v>VATM-0598; VATM-0598</x:v>
      </x:c>
      <x:c r="C435" s="14" t="str">
        <x:v>ANS - CNS/IT/Kỹ thuật</x:v>
      </x:c>
      <x:c r="D435" s="14" t="str">
        <x:v>CNS, trang thiết bị và bảo trì kỹ thuật</x:v>
      </x:c>
      <x:c r="E435" s="14" t="str">
        <x:v>biểu mẫu ý kiến</x:v>
      </x:c>
      <x:c r="F435" s="14" t="str">
        <x:v>Biểu mẫu/Checklist</x:v>
      </x:c>
      <x:c r="G435" s="14" t="str">
        <x:v>Ban Kỹ thuật - CNS/IT/Môi trường</x:v>
      </x:c>
      <x:c r="H435" s="14" t="str">
        <x:v>Các Công ty Quản lý bay khu vực Bắc/Trung/Nam; Ban Kỹ thuật - CNS/IT/Môi trường</x:v>
      </x:c>
      <x:c r="I435" s="14" t="str">
        <x:v>Điều 43, 47</x:v>
      </x:c>
      <x:c r="J435" s="14" t="str">
        <x:v>Rất cao</x:v>
      </x:c>
      <x:c r="K435" s="14" t="str">
        <x:v>Chưa bắt đầu</x:v>
      </x:c>
      <x:c r="L435" s="14" t="str"/>
      <x:c r="M435" s="14" t="str">
        <x:v>Quy trình đánh giá kỹ thuật; biểu mẫu ý kiến; cơ sở dữ liệu BRA/OLS liên quan CNS.; 100% hồ sơ công trình ảnh hưởng CNS được đánh giá đúng hạn và có kết luận rõ.; Dựa trên số liệu đo đạc, mô hình kỹ thuật, tiêu chuẩn ICAO/được phê duyệt.; Báo cáo đánh giá theo từng hồ sơ; danh mục cơ sở CNS cần bảo vệ.</x:v>
      </x:c>
      <x:c r="N435" s="14" t="str">
        <x:v>Tổng 2 nhiệm vụ liên quan.</x:v>
      </x:c>
    </x:row>
    <x:row r="436">
      <x:c r="A436" s="14" t="str">
        <x:v>PROC-0435</x:v>
      </x:c>
      <x:c r="B436" s="14" t="str">
        <x:v>VATM-0598</x:v>
      </x:c>
      <x:c r="C436" s="14" t="str">
        <x:v>ANS - CNS/IT/Kỹ thuật</x:v>
      </x:c>
      <x:c r="D436" s="14" t="str">
        <x:v>CNS, trang thiết bị và bảo trì kỹ thuật</x:v>
      </x:c>
      <x:c r="E436" s="14" t="str">
        <x:v>danh mục cơ sở CNS cần bảo vệ. Quy trình đánh giá kỹ thuật</x:v>
      </x:c>
      <x:c r="F436" s="14" t="str">
        <x:v>Quy trình/SOP</x:v>
      </x:c>
      <x:c r="G436" s="14" t="str">
        <x:v>Ban Kỹ thuật - CNS/IT/Môi trường</x:v>
      </x:c>
      <x:c r="H436" s="14" t="str">
        <x:v>Các Công ty Quản lý bay khu vực Bắc/Trung/Nam; Ban Kỹ thuật - CNS/IT/Môi trường</x:v>
      </x:c>
      <x:c r="I436" s="14" t="str">
        <x:v>Điều 43, 47</x:v>
      </x:c>
      <x:c r="J436" s="14" t="str">
        <x:v>Rất cao</x:v>
      </x:c>
      <x:c r="K436" s="14" t="str">
        <x:v>Chưa bắt đầu</x:v>
      </x:c>
      <x:c r="L436" s="14" t="str"/>
      <x:c r="M436" s="14" t="str">
        <x:v>Quy trình đánh giá kỹ thuật; biểu mẫu ý kiến; cơ sở dữ liệu BRA/OLS liên quan CNS.; 100% hồ sơ công trình ảnh hưởng CNS được đánh giá đúng hạn và có kết luận rõ.; Dựa trên số liệu đo đạc, mô hình kỹ thuật, tiêu chuẩn ICAO/được phê duyệt.; Báo cáo đánh giá theo từng hồ sơ; danh mục cơ sở CNS cần bảo vệ.</x:v>
      </x:c>
      <x:c r="N436" s="14" t="str">
        <x:v>Tổng 1 nhiệm vụ liên quan.</x:v>
      </x:c>
    </x:row>
    <x:row r="437">
      <x:c r="A437" s="14" t="str">
        <x:v>PROC-0436</x:v>
      </x:c>
      <x:c r="B437" s="14" t="str">
        <x:v>VATM-0600; VATM-0600; VATM-0617; VATM-0617</x:v>
      </x:c>
      <x:c r="C437" s="14" t="str">
        <x:v>ANS - AIS/AIM/Tin tức HK</x:v>
      </x:c>
      <x:c r="D437" s="14" t="str">
        <x:v>AIP/NOTAM/dữ liệu hàng không</x:v>
      </x:c>
      <x:c r="E437" s="14" t="str">
        <x:v>01 quy trình toàn VATM</x:v>
      </x:c>
      <x:c r="F437" s="14" t="str">
        <x:v>Quy trình/SOP</x:v>
      </x:c>
      <x:c r="G437" s="14" t="str">
        <x:v>Trung tâm Thông báo tin tức hàng không</x:v>
      </x:c>
      <x:c r="H437" s="14" t="str">
        <x:v>Các Công ty Quản lý bay khu vực Bắc/Trung/Nam; Trung tâm Thông báo tin tức hàng không</x:v>
      </x:c>
      <x:c r="I437" s="14" t="str">
        <x:v>Điều 8, 46, 47; Điều 95, 96</x:v>
      </x:c>
      <x:c r="J437" s="14" t="str">
        <x:v>Rất cao</x:v>
      </x:c>
      <x:c r="K437" s="14" t="str">
        <x:v>Chưa bắt đầu</x:v>
      </x:c>
      <x:c r="L437" s="14" t="str"/>
      <x:c r="M437" s="14" t="str">
        <x:v>Data chain procedure; danh mục người khởi tạo dữ liệu; SLA dữ liệu.; Dữ liệu chính xác, đầy đủ, kịp thời, truy xuất nguồn gốc.; Chuẩn hóa định dạng, WGS-84, toàn vẹn, bảo mật, kiểm soát phiên bản.; 01 quy trình toàn VATM; 100% data originators liên quan có thỏa thuận chính thức.; Quy trình audit support; danh mục tài liệu cung cấp; biên bản làm việc.; Phối hợp đúng thẩm quyền, đầy đủ, không lộ dữ liệu vượt phạm vi.; Có đầu mối tiếp nhận, kiểm soát tài liệu, xử lý phát hiện.; 01 quy trình toàn VATM; hồ sơ kiểm tra theo từng vụ việc.</x:v>
      </x:c>
      <x:c r="N437" s="14" t="str">
        <x:v>Tổng 4 nhiệm vụ liên quan.</x:v>
      </x:c>
    </x:row>
    <x:row r="438">
      <x:c r="A438" s="14" t="str">
        <x:v>PROC-0437</x:v>
      </x:c>
      <x:c r="B438" s="14" t="str">
        <x:v>VATM-0601; VATM-0601</x:v>
      </x:c>
      <x:c r="C438" s="14" t="str">
        <x:v>ANS - AIS/AIM/Tin tức HK</x:v>
      </x:c>
      <x:c r="D438" s="14" t="str">
        <x:v>AIP/NOTAM/dữ liệu hàng không</x:v>
      </x:c>
      <x:c r="E438" s="14" t="str">
        <x:v>checklist AIRAC</x:v>
      </x:c>
      <x:c r="F438" s="14" t="str">
        <x:v>Biểu mẫu/Checklist</x:v>
      </x:c>
      <x:c r="G438" s="14" t="str">
        <x:v>Trung tâm Thông báo tin tức hàng không</x:v>
      </x:c>
      <x:c r="H438" s="14" t="str">
        <x:v>Các Công ty Quản lý bay khu vực Bắc/Trung/Nam; Trung tâm Thông báo tin tức hàng không</x:v>
      </x:c>
      <x:c r="I438" s="14" t="str">
        <x:v>Điều 46, 47</x:v>
      </x:c>
      <x:c r="J438" s="14" t="str">
        <x:v>Rất cao</x:v>
      </x:c>
      <x:c r="K438" s="14" t="str">
        <x:v>Chưa bắt đầu</x:v>
      </x:c>
      <x:c r="L438" s="14" t="str"/>
      <x:c r="M438" s="14" t="str">
        <x:v>AIM publication calendar; checklist AIRAC; dashboard lỗi dữ liệu.; AIRAC đúng hạn ≥98%; lỗi dữ liệu nghiêm trọng bằng 0.; Có kiểm tra 2 cấp, phân quyền phê chuẩn, lưu vết thay đổi.; Lịch AIRAC cả năm; báo cáo chất lượng dữ liệu hằng quý.</x:v>
      </x:c>
      <x:c r="N438" s="14" t="str">
        <x:v>Tổng 2 nhiệm vụ liên quan.</x:v>
      </x:c>
    </x:row>
    <x:row r="439">
      <x:c r="A439" s="14" t="str">
        <x:v>PROC-0438</x:v>
      </x:c>
      <x:c r="B439" s="14" t="str">
        <x:v>VATM-0602; VATM-0602</x:v>
      </x:c>
      <x:c r="C439" s="14" t="str">
        <x:v>ANS - AIS/AIM/Tin tức HK</x:v>
      </x:c>
      <x:c r="D439" s="14" t="str">
        <x:v>AIP/NOTAM/dữ liệu hàng không</x:v>
      </x:c>
      <x:c r="E439" s="14" t="str">
        <x:v>biểu mẫu cập nhật</x:v>
      </x:c>
      <x:c r="F439" s="14" t="str">
        <x:v>Biểu mẫu/Checklist</x:v>
      </x:c>
      <x:c r="G439" s="14" t="str">
        <x:v>Trung tâm Thông báo tin tức hàng không</x:v>
      </x:c>
      <x:c r="H439" s="14" t="str">
        <x:v>Các Công ty Quản lý bay khu vực Bắc/Trung/Nam; Trung tâm Thông báo tin tức hàng không</x:v>
      </x:c>
      <x:c r="I439" s="14" t="str">
        <x:v>Điều 43, 46</x:v>
      </x:c>
      <x:c r="J439" s="14" t="str">
        <x:v>Rất cao</x:v>
      </x:c>
      <x:c r="K439" s="14" t="str">
        <x:v>Chưa bắt đầu</x:v>
      </x:c>
      <x:c r="L439" s="14" t="str"/>
      <x:c r="M439" s="14" t="str">
        <x:v>CSDL eTOD/obstacles; biểu mẫu cập nhật; quy trình kiểm tra chất lượng.; Dữ liệu chướng ngại vật có độ chính xác và toàn vẹn phù hợp quy định.; Có nguồn gốc rõ, cập nhật khi công trình hoàn thành/thay đổi/dỡ bỏ.; CSDL cho các cảng hàng không/sân bay có hoạt động dân dụng; ưu tiên sân bay trọng điểm trước.</x:v>
      </x:c>
      <x:c r="N439" s="14" t="str">
        <x:v>Tổng 2 nhiệm vụ liên quan.</x:v>
      </x:c>
    </x:row>
    <x:row r="440">
      <x:c r="A440" s="14" t="str">
        <x:v>PROC-0439</x:v>
      </x:c>
      <x:c r="B440" s="14" t="str">
        <x:v>VATM-0602; VATM-0602</x:v>
      </x:c>
      <x:c r="C440" s="14" t="str">
        <x:v>ANS - AIS/AIM/Tin tức HK</x:v>
      </x:c>
      <x:c r="D440" s="14" t="str">
        <x:v>AIP/NOTAM/dữ liệu hàng không</x:v>
      </x:c>
      <x:c r="E440" s="14" t="str">
        <x:v>quy trình kiểm tra chất lượng</x:v>
      </x:c>
      <x:c r="F440" s="14" t="str">
        <x:v>Quy trình/SOP</x:v>
      </x:c>
      <x:c r="G440" s="14" t="str">
        <x:v>Trung tâm Thông báo tin tức hàng không</x:v>
      </x:c>
      <x:c r="H440" s="14" t="str">
        <x:v>Các Công ty Quản lý bay khu vực Bắc/Trung/Nam; Trung tâm Thông báo tin tức hàng không</x:v>
      </x:c>
      <x:c r="I440" s="14" t="str">
        <x:v>Điều 43, 46</x:v>
      </x:c>
      <x:c r="J440" s="14" t="str">
        <x:v>Rất cao</x:v>
      </x:c>
      <x:c r="K440" s="14" t="str">
        <x:v>Chưa bắt đầu</x:v>
      </x:c>
      <x:c r="L440" s="14" t="str"/>
      <x:c r="M440" s="14" t="str">
        <x:v>CSDL eTOD/obstacles; biểu mẫu cập nhật; quy trình kiểm tra chất lượng.; Dữ liệu chướng ngại vật có độ chính xác và toàn vẹn phù hợp quy định.; Có nguồn gốc rõ, cập nhật khi công trình hoàn thành/thay đổi/dỡ bỏ.; CSDL cho các cảng hàng không/sân bay có hoạt động dân dụng; ưu tiên sân bay trọng điểm trước.</x:v>
      </x:c>
      <x:c r="N440" s="14" t="str">
        <x:v>Tổng 2 nhiệm vụ liên quan.</x:v>
      </x:c>
    </x:row>
    <x:row r="441">
      <x:c r="A441" s="14" t="str">
        <x:v>PROC-0440</x:v>
      </x:c>
      <x:c r="B441" s="14" t="str">
        <x:v>VATM-0603</x:v>
      </x:c>
      <x:c r="C441" s="14" t="str">
        <x:v>ANS - AIS/AIM/Tin tức HK</x:v>
      </x:c>
      <x:c r="D441" s="14" t="str">
        <x:v>AIP/NOTAM/dữ liệu hàng không</x:v>
      </x:c>
      <x:c r="E441" s="14" t="str">
        <x:v>Giao diện kết nối/API hoặc quy trình trao đổi</x:v>
      </x:c>
      <x:c r="F441" s="14" t="str">
        <x:v>Quy trình/SOP</x:v>
      </x:c>
      <x:c r="G441" s="14" t="str">
        <x:v>Trung tâm Thông báo tin tức hàng không; Ban Kế hoạch doanh nghiệp - Chuyển đổi số; Ban Kỹ thuật - CNS/IT/Môi trường</x:v>
      </x:c>
      <x:c r="H441" s="14" t="str">
        <x:v>Các Công ty Quản lý bay khu vực Bắc/Trung/Nam; Trung tâm Thông báo tin tức hàng không</x:v>
      </x:c>
      <x:c r="I441" s="14" t="str">
        <x:v>Điều 8, 82</x:v>
      </x:c>
      <x:c r="J441" s="14" t="str">
        <x:v>Cao</x:v>
      </x:c>
      <x:c r="K441" s="14" t="str">
        <x:v>Chưa bắt đầu</x:v>
      </x:c>
      <x:c r="L441" s="14" t="str"/>
      <x:c r="M441" s="14" t="str">
        <x:v>Giao diện kết nối/API hoặc quy trình trao đổi; data mapping; quy chế bảo mật.; Dữ liệu được chia sẻ đúng quyền, đúng mục đích, đúng tần suất.; Bảo vệ dữ liệu cá nhân/an toàn; không chia sẻ vượt thẩm quyền.; 01 kế hoạch kết nối; thử nghiệm kỹ thuật theo giai đoạn.</x:v>
      </x:c>
      <x:c r="N441" s="14" t="str">
        <x:v>Tổng 1 nhiệm vụ liên quan.</x:v>
      </x:c>
    </x:row>
    <x:row r="442">
      <x:c r="A442" s="14" t="str">
        <x:v>PROC-0441</x:v>
      </x:c>
      <x:c r="B442" s="14" t="str">
        <x:v>VATM-0603</x:v>
      </x:c>
      <x:c r="C442" s="14" t="str">
        <x:v>ANS - AIS/AIM/Tin tức HK</x:v>
      </x:c>
      <x:c r="D442" s="14" t="str">
        <x:v>AIP/NOTAM/dữ liệu hàng không</x:v>
      </x:c>
      <x:c r="E442" s="14" t="str">
        <x:v>thử nghiệm kỹ thuật theo giai đoạn. Giao diện kết nối/API hoặc quy trình trao đổi</x:v>
      </x:c>
      <x:c r="F442" s="14" t="str">
        <x:v>Quy trình/SOP</x:v>
      </x:c>
      <x:c r="G442" s="14" t="str">
        <x:v>Trung tâm Thông báo tin tức hàng không; Ban Kế hoạch doanh nghiệp - Chuyển đổi số; Ban Kỹ thuật - CNS/IT/Môi trường</x:v>
      </x:c>
      <x:c r="H442" s="14" t="str">
        <x:v>Các Công ty Quản lý bay khu vực Bắc/Trung/Nam; Trung tâm Thông báo tin tức hàng không</x:v>
      </x:c>
      <x:c r="I442" s="14" t="str">
        <x:v>Điều 8, 82</x:v>
      </x:c>
      <x:c r="J442" s="14" t="str">
        <x:v>Cao</x:v>
      </x:c>
      <x:c r="K442" s="14" t="str">
        <x:v>Chưa bắt đầu</x:v>
      </x:c>
      <x:c r="L442" s="14" t="str"/>
      <x:c r="M442" s="14" t="str">
        <x:v>Giao diện kết nối/API hoặc quy trình trao đổi; data mapping; quy chế bảo mật.; Dữ liệu được chia sẻ đúng quyền, đúng mục đích, đúng tần suất.; Bảo vệ dữ liệu cá nhân/an toàn; không chia sẻ vượt thẩm quyền.; 01 kế hoạch kết nối; thử nghiệm kỹ thuật theo giai đoạn.</x:v>
      </x:c>
      <x:c r="N442" s="14" t="str">
        <x:v>Tổng 1 nhiệm vụ liên quan.</x:v>
      </x:c>
    </x:row>
    <x:row r="443">
      <x:c r="A443" s="14" t="str">
        <x:v>PROC-0442</x:v>
      </x:c>
      <x:c r="B443" s="14" t="str">
        <x:v>VATM-0605; VATM-0605</x:v>
      </x:c>
      <x:c r="C443" s="14" t="str">
        <x:v>ANS - MET/Khí tượng hàng không</x:v>
      </x:c>
      <x:c r="D443" s="14" t="str">
        <x:v>Quan trắc, dự báo và cảnh báo MET</x:v>
      </x:c>
      <x:c r="E443" s="14" t="str">
        <x:v>quy trình phối hợp dữ liệu khí tượng</x:v>
      </x:c>
      <x:c r="F443" s="14" t="str">
        <x:v>Quy trình/SOP</x:v>
      </x:c>
      <x:c r="G443" s="14" t="str">
        <x:v>Trung tâm Khí tượng hàng không; Ban Kỹ thuật - CNS/IT/Môi trường</x:v>
      </x:c>
      <x:c r="H443" s="14" t="str">
        <x:v>Các Công ty Quản lý bay khu vực Bắc/Trung/Nam; Trung tâm Khí tượng hàng không</x:v>
      </x:c>
      <x:c r="I443" s="14" t="str">
        <x:v>Điều 47</x:v>
      </x:c>
      <x:c r="J443" s="14" t="str">
        <x:v>Cao</x:v>
      </x:c>
      <x:c r="K443" s="14" t="str">
        <x:v>Chưa bắt đầu</x:v>
      </x:c>
      <x:c r="L443" s="14" t="str"/>
      <x:c r="M443" s="14" t="str">
        <x:v>MET service catalogue; register hệ thống MET; quy trình phối hợp dữ liệu khí tượng.; Sản phẩm MET đáp ứng nhu cầu ATS, người khai thác và tiêu chuẩn ICAO.; Chính xác, kịp thời, có kiểm soát chất lượng và dự phòng.; 01 danh mục sản phẩm MET; báo cáo chất lượng MET hằng quý.</x:v>
      </x:c>
      <x:c r="N443" s="14" t="str">
        <x:v>Tổng 2 nhiệm vụ liên quan.</x:v>
      </x:c>
    </x:row>
    <x:row r="444">
      <x:c r="A444" s="14" t="str">
        <x:v>PROC-0443</x:v>
      </x:c>
      <x:c r="B444" s="14" t="str">
        <x:v>VATM-0606</x:v>
      </x:c>
      <x:c r="C444" s="14" t="str">
        <x:v>ANS - MET/Khí tượng hàng không</x:v>
      </x:c>
      <x:c r="D444" s="14" t="str">
        <x:v>Quan trắc, dự báo và cảnh báo MET</x:v>
      </x:c>
      <x:c r="E444" s="14" t="str">
        <x:v>Quy trình MET-ATFM</x:v>
      </x:c>
      <x:c r="F444" s="14" t="str">
        <x:v>Quy trình/SOP</x:v>
      </x:c>
      <x:c r="G444" s="14" t="str">
        <x:v>Trung tâm Khí tượng hàng không; Trung tâm Quản lý luồng không lưu</x:v>
      </x:c>
      <x:c r="H444" s="14" t="str">
        <x:v>Các Công ty Quản lý bay khu vực Bắc/Trung/Nam; Trung tâm Khí tượng hàng không</x:v>
      </x:c>
      <x:c r="I444" s="14" t="str">
        <x:v>Điều 9, 39, 47</x:v>
      </x:c>
      <x:c r="J444" s="14" t="str">
        <x:v>Cao</x:v>
      </x:c>
      <x:c r="K444" s="14" t="str">
        <x:v>Chưa bắt đầu</x:v>
      </x:c>
      <x:c r="L444" s="14" t="str"/>
      <x:c r="M444" s="14" t="str">
        <x:v>Quy trình MET-ATFM; dashboard thời tiết-năng lực; bản tin phối hợp.; Quyết định ATFM có căn cứ thời tiết; giảm đột biến chậm trễ do thiếu thông tin.; Dữ liệu thống nhất, cập nhật kịp thời, truy xuất được nguồn.; Bản tin theo ngày/giờ trong giai đoạn thời tiết phức tạp.</x:v>
      </x:c>
      <x:c r="N444" s="14" t="str">
        <x:v>Tổng 1 nhiệm vụ liên quan.</x:v>
      </x:c>
    </x:row>
    <x:row r="445">
      <x:c r="A445" s="14" t="str">
        <x:v>PROC-0444</x:v>
      </x:c>
      <x:c r="B445" s="14" t="str">
        <x:v>VATM-0606</x:v>
      </x:c>
      <x:c r="C445" s="14" t="str">
        <x:v>ANS - MET/Khí tượng hàng không</x:v>
      </x:c>
      <x:c r="D445" s="14" t="str">
        <x:v>Quan trắc, dự báo và cảnh báo MET</x:v>
      </x:c>
      <x:c r="E445" s="14" t="str">
        <x:v>Bản tin theo ngày/giờ trong giai đoạn thời tiết phức tạp. Quy trình MET-ATFM</x:v>
      </x:c>
      <x:c r="F445" s="14" t="str">
        <x:v>Quy trình/SOP</x:v>
      </x:c>
      <x:c r="G445" s="14" t="str">
        <x:v>Trung tâm Khí tượng hàng không; Trung tâm Quản lý luồng không lưu</x:v>
      </x:c>
      <x:c r="H445" s="14" t="str">
        <x:v>Các Công ty Quản lý bay khu vực Bắc/Trung/Nam; Trung tâm Khí tượng hàng không</x:v>
      </x:c>
      <x:c r="I445" s="14" t="str">
        <x:v>Điều 9, 39, 47</x:v>
      </x:c>
      <x:c r="J445" s="14" t="str">
        <x:v>Cao</x:v>
      </x:c>
      <x:c r="K445" s="14" t="str">
        <x:v>Chưa bắt đầu</x:v>
      </x:c>
      <x:c r="L445" s="14" t="str"/>
      <x:c r="M445" s="14" t="str">
        <x:v>Quy trình MET-ATFM; dashboard thời tiết-năng lực; bản tin phối hợp.; Quyết định ATFM có căn cứ thời tiết; giảm đột biến chậm trễ do thiếu thông tin.; Dữ liệu thống nhất, cập nhật kịp thời, truy xuất được nguồn.; Bản tin theo ngày/giờ trong giai đoạn thời tiết phức tạp.</x:v>
      </x:c>
      <x:c r="N445" s="14" t="str">
        <x:v>Tổng 1 nhiệm vụ liên quan.</x:v>
      </x:c>
    </x:row>
    <x:row r="446">
      <x:c r="A446" s="14" t="str">
        <x:v>PROC-0445</x:v>
      </x:c>
      <x:c r="B446" s="14" t="str">
        <x:v>VATM-0607; VATM-0607</x:v>
      </x:c>
      <x:c r="C446" s="14" t="str">
        <x:v>ANS - Tìm kiếm cứu nạn &amp; khẩn nguy</x:v>
      </x:c>
      <x:c r="D446" s="14" t="str">
        <x:v>SAR, khẩn nguy và hiệp đồng</x:v>
      </x:c>
      <x:c r="E446" s="14" t="str">
        <x:v>SOP RCC/alerting</x:v>
      </x:c>
      <x:c r="F446" s="14" t="str">
        <x:v>Quy trình/SOP</x:v>
      </x:c>
      <x:c r="G446" s="14" t="str">
        <x:v>Trung tâm Tìm kiếm cứu nạn hàng không</x:v>
      </x:c>
      <x:c r="H446" s="14" t="str">
        <x:v>Các Công ty Quản lý bay khu vực Bắc/Trung/Nam; Trung tâm Tìm kiếm cứu nạn hàng không</x:v>
      </x:c>
      <x:c r="I446" s="14" t="str">
        <x:v>Điều 48</x:v>
      </x:c>
      <x:c r="J446" s="14" t="str">
        <x:v>Rất cao</x:v>
      </x:c>
      <x:c r="K446" s="14" t="str">
        <x:v>Chưa bắt đầu</x:v>
      </x:c>
      <x:c r="L446" s="14" t="str"/>
      <x:c r="M446" s="14" t="str">
        <x:v>Kế hoạch SAR; danh bạ phối hợp; SOP RCC/alerting.; Kích hoạt và phối hợp SAR kịp thời, đúng thẩm quyền, đúng vùng trách nhiệm.; Thông tin liên lạc và dữ liệu chuyến bay sẵn sàng 24/7.; 01 kế hoạch toàn quốc và kế hoạch khu vực; kiểm tra liên lạc định kỳ.</x:v>
      </x:c>
      <x:c r="N446" s="14" t="str">
        <x:v>Tổng 2 nhiệm vụ liên quan.</x:v>
      </x:c>
    </x:row>
    <x:row r="447">
      <x:c r="A447" s="14" t="str">
        <x:v>PROC-0446</x:v>
      </x:c>
      <x:c r="B447" s="14" t="str">
        <x:v>VATM-0609</x:v>
      </x:c>
      <x:c r="C447" s="14" t="str">
        <x:v>An toàn hàng không / SMS</x:v>
      </x:c>
      <x:c r="D447" s="14" t="str">
        <x:v>Khung SMS và quản trị an toàn</x:v>
      </x:c>
      <x:c r="E447" s="14" t="str">
        <x:v>SMS Manual mới</x:v>
      </x:c>
      <x:c r="F447" s="14" t="str">
        <x:v>Khác</x:v>
      </x:c>
      <x:c r="G447" s="14" t="str">
        <x:v>Ban An toàn - Chất lượng</x:v>
      </x:c>
      <x:c r="H447" s="14" t="str">
        <x:v>Các Công ty Quản lý bay khu vực Bắc/Trung/Nam; Ban An toàn - Chất lượng</x:v>
      </x:c>
      <x:c r="I447" s="14" t="str">
        <x:v>Điều 79, 80, 81</x:v>
      </x:c>
      <x:c r="J447" s="14" t="str">
        <x:v>Rất cao</x:v>
      </x:c>
      <x:c r="K447" s="14" t="str">
        <x:v>Chưa bắt đầu</x:v>
      </x:c>
      <x:c r="L447" s="14" t="str"/>
      <x:c r="M447" s="14" t="str">
        <x:v>SMS Manual mới; quy trình SRM/SA/Promotion; danh mục SPI/SPT.; SMS phù hợp SSP, được CAAV giám sát và chứng minh hiệu lực.; Tài liệu có owner, kiểm soát phiên bản, đào tạo triển khai.; 01 SMS Manual toàn VATM và phụ lục đơn vị.</x:v>
      </x:c>
      <x:c r="N447" s="14" t="str">
        <x:v>Tổng 1 nhiệm vụ liên quan.</x:v>
      </x:c>
    </x:row>
    <x:row r="448">
      <x:c r="A448" s="14" t="str">
        <x:v>PROC-0447</x:v>
      </x:c>
      <x:c r="B448" s="14" t="str">
        <x:v>VATM-0609; VATM-0609</x:v>
      </x:c>
      <x:c r="C448" s="14" t="str">
        <x:v>An toàn hàng không / SMS</x:v>
      </x:c>
      <x:c r="D448" s="14" t="str">
        <x:v>Khung SMS và quản trị an toàn</x:v>
      </x:c>
      <x:c r="E448" s="14" t="str">
        <x:v>quy trình SRM/SA/Promotion</x:v>
      </x:c>
      <x:c r="F448" s="14" t="str">
        <x:v>Quy trình/SOP</x:v>
      </x:c>
      <x:c r="G448" s="14" t="str">
        <x:v>Ban An toàn - Chất lượng</x:v>
      </x:c>
      <x:c r="H448" s="14" t="str">
        <x:v>Các Công ty Quản lý bay khu vực Bắc/Trung/Nam; Ban An toàn - Chất lượng</x:v>
      </x:c>
      <x:c r="I448" s="14" t="str">
        <x:v>Điều 79, 80, 81</x:v>
      </x:c>
      <x:c r="J448" s="14" t="str">
        <x:v>Rất cao</x:v>
      </x:c>
      <x:c r="K448" s="14" t="str">
        <x:v>Chưa bắt đầu</x:v>
      </x:c>
      <x:c r="L448" s="14" t="str"/>
      <x:c r="M448" s="14" t="str">
        <x:v>SMS Manual mới; quy trình SRM/SA/Promotion; danh mục SPI/SPT.; SMS phù hợp SSP, được CAAV giám sát và chứng minh hiệu lực.; Tài liệu có owner, kiểm soát phiên bản, đào tạo triển khai.; 01 SMS Manual toàn VATM và phụ lục đơn vị.</x:v>
      </x:c>
      <x:c r="N448" s="14" t="str">
        <x:v>Tổng 2 nhiệm vụ liên quan.</x:v>
      </x:c>
    </x:row>
    <x:row r="449">
      <x:c r="A449" s="14" t="str">
        <x:v>PROC-0448</x:v>
      </x:c>
      <x:c r="B449" s="14" t="str">
        <x:v>VATM-0609</x:v>
      </x:c>
      <x:c r="C449" s="14" t="str">
        <x:v>An toàn hàng không / SMS</x:v>
      </x:c>
      <x:c r="D449" s="14" t="str">
        <x:v>Khung SMS và quản trị an toàn</x:v>
      </x:c>
      <x:c r="E449" s="14" t="str">
        <x:v>01 SMS Manual toàn VATM và phụ lục đơn vị. SMS Manual mới</x:v>
      </x:c>
      <x:c r="F449" s="14" t="str">
        <x:v>Khác</x:v>
      </x:c>
      <x:c r="G449" s="14" t="str">
        <x:v>Ban An toàn - Chất lượng</x:v>
      </x:c>
      <x:c r="H449" s="14" t="str">
        <x:v>Các Công ty Quản lý bay khu vực Bắc/Trung/Nam; Ban An toàn - Chất lượng</x:v>
      </x:c>
      <x:c r="I449" s="14" t="str">
        <x:v>Điều 79, 80, 81</x:v>
      </x:c>
      <x:c r="J449" s="14" t="str">
        <x:v>Rất cao</x:v>
      </x:c>
      <x:c r="K449" s="14" t="str">
        <x:v>Chưa bắt đầu</x:v>
      </x:c>
      <x:c r="L449" s="14" t="str"/>
      <x:c r="M449" s="14" t="str">
        <x:v>SMS Manual mới; quy trình SRM/SA/Promotion; danh mục SPI/SPT.; SMS phù hợp SSP, được CAAV giám sát và chứng minh hiệu lực.; Tài liệu có owner, kiểm soát phiên bản, đào tạo triển khai.; 01 SMS Manual toàn VATM và phụ lục đơn vị.</x:v>
      </x:c>
      <x:c r="N449" s="14" t="str">
        <x:v>Tổng 1 nhiệm vụ liên quan.</x:v>
      </x:c>
    </x:row>
    <x:row r="450">
      <x:c r="A450" s="14" t="str">
        <x:v>PROC-0449</x:v>
      </x:c>
      <x:c r="B450" s="14" t="str">
        <x:v>VATM-0609</x:v>
      </x:c>
      <x:c r="C450" s="14" t="str">
        <x:v>An toàn hàng không / SMS</x:v>
      </x:c>
      <x:c r="D450" s="14" t="str">
        <x:v>Khung SMS và quản trị an toàn</x:v>
      </x:c>
      <x:c r="E450" s="14" t="str">
        <x:v>01 SMS Manual toàn VATM và phụ lục đơn vị</x:v>
      </x:c>
      <x:c r="F450" s="14" t="str">
        <x:v>Khác</x:v>
      </x:c>
      <x:c r="G450" s="14" t="str">
        <x:v>Ban An toàn - Chất lượng</x:v>
      </x:c>
      <x:c r="H450" s="14" t="str">
        <x:v>Các Công ty Quản lý bay khu vực Bắc/Trung/Nam; Ban An toàn - Chất lượng</x:v>
      </x:c>
      <x:c r="I450" s="14" t="str">
        <x:v>Điều 79, 80, 81</x:v>
      </x:c>
      <x:c r="J450" s="14" t="str">
        <x:v>Rất cao</x:v>
      </x:c>
      <x:c r="K450" s="14" t="str">
        <x:v>Chưa bắt đầu</x:v>
      </x:c>
      <x:c r="L450" s="14" t="str"/>
      <x:c r="M450" s="14" t="str">
        <x:v>SMS Manual mới; quy trình SRM/SA/Promotion; danh mục SPI/SPT.; SMS phù hợp SSP, được CAAV giám sát và chứng minh hiệu lực.; Tài liệu có owner, kiểm soát phiên bản, đào tạo triển khai.; 01 SMS Manual toàn VATM và phụ lục đơn vị.</x:v>
      </x:c>
      <x:c r="N450" s="14" t="str">
        <x:v>Tổng 1 nhiệm vụ liên quan.</x:v>
      </x:c>
    </x:row>
    <x:row r="451">
      <x:c r="A451" s="14" t="str">
        <x:v>PROC-0450</x:v>
      </x:c>
      <x:c r="B451" s="14" t="str">
        <x:v>VATM-0610; VATM-0610</x:v>
      </x:c>
      <x:c r="C451" s="14" t="str">
        <x:v>An toàn hàng không / SMS</x:v>
      </x:c>
      <x:c r="D451" s="14" t="str">
        <x:v>Khung SMS và quản trị an toàn</x:v>
      </x:c>
      <x:c r="E451" s="14" t="str">
        <x:v>quy chế bảo vệ dữ liệu</x:v>
      </x:c>
      <x:c r="F451" s="14" t="str">
        <x:v>Quy trình/SOP</x:v>
      </x:c>
      <x:c r="G451" s="14" t="str">
        <x:v>Ban An toàn - Chất lượng; Ban Kế hoạch doanh nghiệp - Chuyển đổi số; Ban Kỹ thuật - CNS/IT/Môi trường</x:v>
      </x:c>
      <x:c r="H451" s="14" t="str">
        <x:v>Các Công ty Quản lý bay khu vực Bắc/Trung/Nam; Ban An toàn - Chất lượng</x:v>
      </x:c>
      <x:c r="I451" s="14" t="str">
        <x:v>Điều 81, 82</x:v>
      </x:c>
      <x:c r="J451" s="14" t="str">
        <x:v>Rất cao</x:v>
      </x:c>
      <x:c r="K451" s="14" t="str">
        <x:v>Chưa bắt đầu</x:v>
      </x:c>
      <x:c r="L451" s="14" t="str"/>
      <x:c r="M451" s="14" t="str">
        <x:v>Safety reporting system; taxonomy; dashboard an toàn; quy chế bảo vệ dữ liệu.; Báo cáo đúng hạn, phân tích xu hướng, cảnh báo rủi ro sớm.; Bảo mật, bảo vệ dữ liệu cá nhân, khuyến khích báo cáo tự nguyện.; Báo cáo tháng/quý; dữ liệu theo nhóm ATM/CNS/MET/AIS/SAR.</x:v>
      </x:c>
      <x:c r="N451" s="14" t="str">
        <x:v>Tổng 2 nhiệm vụ liên quan.</x:v>
      </x:c>
    </x:row>
    <x:row r="452">
      <x:c r="A452" s="14" t="str">
        <x:v>PROC-0451</x:v>
      </x:c>
      <x:c r="B452" s="14" t="str">
        <x:v>VATM-0612</x:v>
      </x:c>
      <x:c r="C452" s="14" t="str">
        <x:v>An toàn hàng không / SMS</x:v>
      </x:c>
      <x:c r="D452" s="14" t="str">
        <x:v>Khung SMS và quản trị an toàn</x:v>
      </x:c>
      <x:c r="E452" s="14" t="str">
        <x:v>01 bộ audit readiness checklist cho từng đơn vị. Audit support kit</x:v>
      </x:c>
      <x:c r="F452" s="14" t="str">
        <x:v>Biểu mẫu/Checklist</x:v>
      </x:c>
      <x:c r="G452" s="14" t="str">
        <x:v>Ban An toàn - Chất lượng</x:v>
      </x:c>
      <x:c r="H452" s="14" t="str">
        <x:v>Các Công ty Quản lý bay khu vực Bắc/Trung/Nam; Ban An toàn - Chất lượng</x:v>
      </x:c>
      <x:c r="I452" s="14" t="str">
        <x:v>Điều 85</x:v>
      </x:c>
      <x:c r="J452" s="14" t="str">
        <x:v>Trung bình</x:v>
      </x:c>
      <x:c r="K452" s="14" t="str">
        <x:v>Chưa bắt đầu</x:v>
      </x:c>
      <x:c r="L452" s="14" t="str"/>
      <x:c r="M452" s="14" t="str">
        <x:v>Audit support kit; register phát hiện/khắc phục.; Cuộc giám sát diễn ra đúng kế hoạch, hồ sơ đầy đủ, khắc phục hiệu quả.; Cung cấp tài liệu đúng thẩm quyền, bảo mật dữ liệu nhạy cảm.; 01 bộ audit readiness checklist cho từng đơn vị.</x:v>
      </x:c>
      <x:c r="N452" s="14" t="str">
        <x:v>Tổng 1 nhiệm vụ liên quan.</x:v>
      </x:c>
    </x:row>
    <x:row r="453">
      <x:c r="A453" s="14" t="str">
        <x:v>PROC-0452</x:v>
      </x:c>
      <x:c r="B453" s="14" t="str">
        <x:v>VATM-0612</x:v>
      </x:c>
      <x:c r="C453" s="14" t="str">
        <x:v>An toàn hàng không / SMS</x:v>
      </x:c>
      <x:c r="D453" s="14" t="str">
        <x:v>Khung SMS và quản trị an toàn</x:v>
      </x:c>
      <x:c r="E453" s="14" t="str">
        <x:v>01 bộ audit readiness checklist cho từng đơn vị</x:v>
      </x:c>
      <x:c r="F453" s="14" t="str">
        <x:v>Biểu mẫu/Checklist</x:v>
      </x:c>
      <x:c r="G453" s="14" t="str">
        <x:v>Ban An toàn - Chất lượng</x:v>
      </x:c>
      <x:c r="H453" s="14" t="str">
        <x:v>Các Công ty Quản lý bay khu vực Bắc/Trung/Nam; Ban An toàn - Chất lượng</x:v>
      </x:c>
      <x:c r="I453" s="14" t="str">
        <x:v>Điều 85</x:v>
      </x:c>
      <x:c r="J453" s="14" t="str">
        <x:v>Trung bình</x:v>
      </x:c>
      <x:c r="K453" s="14" t="str">
        <x:v>Chưa bắt đầu</x:v>
      </x:c>
      <x:c r="L453" s="14" t="str"/>
      <x:c r="M453" s="14" t="str">
        <x:v>Audit support kit; register phát hiện/khắc phục.; Cuộc giám sát diễn ra đúng kế hoạch, hồ sơ đầy đủ, khắc phục hiệu quả.; Cung cấp tài liệu đúng thẩm quyền, bảo mật dữ liệu nhạy cảm.; 01 bộ audit readiness checklist cho từng đơn vị.</x:v>
      </x:c>
      <x:c r="N453" s="14" t="str">
        <x:v>Tổng 1 nhiệm vụ liên quan.</x:v>
      </x:c>
    </x:row>
    <x:row r="454">
      <x:c r="A454" s="14" t="str">
        <x:v>PROC-0453</x:v>
      </x:c>
      <x:c r="B454" s="14" t="str">
        <x:v>VATM-0613</x:v>
      </x:c>
      <x:c r="C454" s="14" t="str">
        <x:v>An toàn hàng không / SMS</x:v>
      </x:c>
      <x:c r="D454" s="14" t="str">
        <x:v>Khung SMS và quản trị an toàn</x:v>
      </x:c>
      <x:c r="E454" s="14" t="str">
        <x:v>SOP bảo toàn chứng cứ</x:v>
      </x:c>
      <x:c r="F454" s="14" t="str">
        <x:v>Quy trình/SOP</x:v>
      </x:c>
      <x:c r="G454" s="14" t="str">
        <x:v>Ban An toàn - Chất lượng; Văn phòng - Pháp chế; Ban Kế hoạch doanh nghiệp - Chuyển đổi số; Ban Kỹ thuật - CNS/IT/Môi trường</x:v>
      </x:c>
      <x:c r="H454" s="14" t="str">
        <x:v>Các Công ty Quản lý bay khu vực Bắc/Trung/Nam; Ban An toàn - Chất lượng</x:v>
      </x:c>
      <x:c r="I454" s="14" t="str">
        <x:v>Điều 86, 87</x:v>
      </x:c>
      <x:c r="J454" s="14" t="str">
        <x:v>Rất cao</x:v>
      </x:c>
      <x:c r="K454" s="14" t="str">
        <x:v>Chưa bắt đầu</x:v>
      </x:c>
      <x:c r="L454" s="14" t="str"/>
      <x:c r="M454" s="14" t="str">
        <x:v>SOP bảo toàn chứng cứ; danh mục log/audio/radar/data; form bàn giao.; Dữ liệu được niêm phong/lưu vết, cung cấp đúng thẩm quyền và thời hạn.; Chain-of-custody rõ ràng, không sửa đổi dữ liệu gốc.; 01 SOP toàn VATM; huấn luyện cho 100% đơn vị có dữ liệu trọng yếu.</x:v>
      </x:c>
      <x:c r="N454" s="14" t="str">
        <x:v>Tổng 1 nhiệm vụ liên quan.</x:v>
      </x:c>
    </x:row>
    <x:row r="455">
      <x:c r="A455" s="14" t="str">
        <x:v>PROC-0454</x:v>
      </x:c>
      <x:c r="B455" s="14" t="str">
        <x:v>VATM-0613; VATM-0613</x:v>
      </x:c>
      <x:c r="C455" s="14" t="str">
        <x:v>An toàn hàng không / SMS</x:v>
      </x:c>
      <x:c r="D455" s="14" t="str">
        <x:v>Khung SMS và quản trị an toàn</x:v>
      </x:c>
      <x:c r="E455" s="14" t="str">
        <x:v>01 SOP toàn VATM</x:v>
      </x:c>
      <x:c r="F455" s="14" t="str">
        <x:v>Quy trình/SOP</x:v>
      </x:c>
      <x:c r="G455" s="14" t="str">
        <x:v>Ban An toàn - Chất lượng; Văn phòng - Pháp chế; Ban Kế hoạch doanh nghiệp - Chuyển đổi số; Ban Kỹ thuật - CNS/IT/Môi trường</x:v>
      </x:c>
      <x:c r="H455" s="14" t="str">
        <x:v>Các Công ty Quản lý bay khu vực Bắc/Trung/Nam; Ban An toàn - Chất lượng</x:v>
      </x:c>
      <x:c r="I455" s="14" t="str">
        <x:v>Điều 86, 87</x:v>
      </x:c>
      <x:c r="J455" s="14" t="str">
        <x:v>Rất cao</x:v>
      </x:c>
      <x:c r="K455" s="14" t="str">
        <x:v>Chưa bắt đầu</x:v>
      </x:c>
      <x:c r="L455" s="14" t="str"/>
      <x:c r="M455" s="14" t="str">
        <x:v>SOP bảo toàn chứng cứ; danh mục log/audio/radar/data; form bàn giao.; Dữ liệu được niêm phong/lưu vết, cung cấp đúng thẩm quyền và thời hạn.; Chain-of-custody rõ ràng, không sửa đổi dữ liệu gốc.; 01 SOP toàn VATM; huấn luyện cho 100% đơn vị có dữ liệu trọng yếu.</x:v>
      </x:c>
      <x:c r="N455" s="14" t="str">
        <x:v>Tổng 2 nhiệm vụ liên quan.</x:v>
      </x:c>
    </x:row>
    <x:row r="456">
      <x:c r="A456" s="14" t="str">
        <x:v>PROC-0455</x:v>
      </x:c>
      <x:c r="B456" s="14" t="str">
        <x:v>VATM-0613</x:v>
      </x:c>
      <x:c r="C456" s="14" t="str">
        <x:v>An toàn hàng không / SMS</x:v>
      </x:c>
      <x:c r="D456" s="14" t="str">
        <x:v>Khung SMS và quản trị an toàn</x:v>
      </x:c>
      <x:c r="E456" s="14" t="str">
        <x:v>huấn luyện cho 100% đơn vị có dữ liệu trọng yếu. SOP bảo toàn chứng cứ</x:v>
      </x:c>
      <x:c r="F456" s="14" t="str">
        <x:v>Quy trình/SOP</x:v>
      </x:c>
      <x:c r="G456" s="14" t="str">
        <x:v>Ban An toàn - Chất lượng; Văn phòng - Pháp chế; Ban Kế hoạch doanh nghiệp - Chuyển đổi số; Ban Kỹ thuật - CNS/IT/Môi trường</x:v>
      </x:c>
      <x:c r="H456" s="14" t="str">
        <x:v>Các Công ty Quản lý bay khu vực Bắc/Trung/Nam; Ban An toàn - Chất lượng</x:v>
      </x:c>
      <x:c r="I456" s="14" t="str">
        <x:v>Điều 86, 87</x:v>
      </x:c>
      <x:c r="J456" s="14" t="str">
        <x:v>Rất cao</x:v>
      </x:c>
      <x:c r="K456" s="14" t="str">
        <x:v>Chưa bắt đầu</x:v>
      </x:c>
      <x:c r="L456" s="14" t="str"/>
      <x:c r="M456" s="14" t="str">
        <x:v>SOP bảo toàn chứng cứ; danh mục log/audio/radar/data; form bàn giao.; Dữ liệu được niêm phong/lưu vết, cung cấp đúng thẩm quyền và thời hạn.; Chain-of-custody rõ ràng, không sửa đổi dữ liệu gốc.; 01 SOP toàn VATM; huấn luyện cho 100% đơn vị có dữ liệu trọng yếu.</x:v>
      </x:c>
      <x:c r="N456" s="14" t="str">
        <x:v>Tổng 1 nhiệm vụ liên quan.</x:v>
      </x:c>
    </x:row>
    <x:row r="457">
      <x:c r="A457" s="14" t="str">
        <x:v>PROC-0456</x:v>
      </x:c>
      <x:c r="B457" s="14" t="str">
        <x:v>VATM-0614</x:v>
      </x:c>
      <x:c r="C457" s="14" t="str">
        <x:v>An ninh hàng không</x:v>
      </x:c>
      <x:c r="D457" s="14" t="str">
        <x:v>Quản trị, phối hợp và giám sát ANHK</x:v>
      </x:c>
      <x:c r="E457" s="14" t="str">
        <x:v>Chương trình an ninh VATM</x:v>
      </x:c>
      <x:c r="F457" s="14" t="str">
        <x:v>Khác</x:v>
      </x:c>
      <x:c r="G457" s="14" t="str">
        <x:v>Ban An ninh hàng không</x:v>
      </x:c>
      <x:c r="H457" s="14" t="str">
        <x:v>Các Công ty Quản lý bay khu vực Bắc/Trung/Nam; Ban An ninh hàng không</x:v>
      </x:c>
      <x:c r="I457" s="14" t="str">
        <x:v>Điều 91-98</x:v>
      </x:c>
      <x:c r="J457" s="14" t="str">
        <x:v>Rất cao</x:v>
      </x:c>
      <x:c r="K457" s="14" t="str">
        <x:v>Chưa bắt đầu</x:v>
      </x:c>
      <x:c r="L457" s="14" t="str"/>
      <x:c r="M457" s="14" t="str">
        <x:v>Chương trình an ninh VATM; phụ lục cơ sở; hồ sơ trình phê duyệt.; Chương trình được phê duyệt và triển khai đầy đủ tại cơ sở ATS/CNS trọng yếu.; Phù hợp chương trình an ninh quốc gia, kiểm soát chất lượng và huấn luyện.; 01 chương trình cấp VATM; phụ lục cho cơ sở trọng yếu.</x:v>
      </x:c>
      <x:c r="N457" s="14" t="str">
        <x:v>Tổng 1 nhiệm vụ liên quan.</x:v>
      </x:c>
    </x:row>
    <x:row r="458">
      <x:c r="A458" s="14" t="str">
        <x:v>PROC-0457</x:v>
      </x:c>
      <x:c r="B458" s="14" t="str">
        <x:v>VATM-0614; VATM-0614</x:v>
      </x:c>
      <x:c r="C458" s="14" t="str">
        <x:v>An ninh hàng không</x:v>
      </x:c>
      <x:c r="D458" s="14" t="str">
        <x:v>Quản trị, phối hợp và giám sát ANHK</x:v>
      </x:c>
      <x:c r="E458" s="14" t="str">
        <x:v>Chương trình được phê duyệt và triển khai đầy đủ tại cơ sở ATS/CNS trọng yếu</x:v>
      </x:c>
      <x:c r="F458" s="14" t="str">
        <x:v>Hồ sơ phê duyệt</x:v>
      </x:c>
      <x:c r="G458" s="14" t="str">
        <x:v>Ban An ninh hàng không</x:v>
      </x:c>
      <x:c r="H458" s="14" t="str">
        <x:v>Các Công ty Quản lý bay khu vực Bắc/Trung/Nam; Ban An ninh hàng không</x:v>
      </x:c>
      <x:c r="I458" s="14" t="str">
        <x:v>Điều 91-98</x:v>
      </x:c>
      <x:c r="J458" s="14" t="str">
        <x:v>Rất cao</x:v>
      </x:c>
      <x:c r="K458" s="14" t="str">
        <x:v>Chưa bắt đầu</x:v>
      </x:c>
      <x:c r="L458" s="14" t="str"/>
      <x:c r="M458" s="14" t="str">
        <x:v>Chương trình an ninh VATM; phụ lục cơ sở; hồ sơ trình phê duyệt.; Chương trình được phê duyệt và triển khai đầy đủ tại cơ sở ATS/CNS trọng yếu.; Phù hợp chương trình an ninh quốc gia, kiểm soát chất lượng và huấn luyện.; 01 chương trình cấp VATM; phụ lục cho cơ sở trọng yếu.</x:v>
      </x:c>
      <x:c r="N458" s="14" t="str">
        <x:v>Tổng 2 nhiệm vụ liên quan.</x:v>
      </x:c>
    </x:row>
    <x:row r="459">
      <x:c r="A459" s="14" t="str">
        <x:v>PROC-0458</x:v>
      </x:c>
      <x:c r="B459" s="14" t="str">
        <x:v>VATM-0614; VATM-0614</x:v>
      </x:c>
      <x:c r="C459" s="14" t="str">
        <x:v>An ninh hàng không</x:v>
      </x:c>
      <x:c r="D459" s="14" t="str">
        <x:v>Quản trị, phối hợp và giám sát ANHK</x:v>
      </x:c>
      <x:c r="E459" s="14" t="str">
        <x:v>Phù hợp chương trình an ninh quốc gia, kiểm soát chất lượng và huấn luyện</x:v>
      </x:c>
      <x:c r="F459" s="14" t="str">
        <x:v>Khác</x:v>
      </x:c>
      <x:c r="G459" s="14" t="str">
        <x:v>Ban An ninh hàng không</x:v>
      </x:c>
      <x:c r="H459" s="14" t="str">
        <x:v>Các Công ty Quản lý bay khu vực Bắc/Trung/Nam; Ban An ninh hàng không</x:v>
      </x:c>
      <x:c r="I459" s="14" t="str">
        <x:v>Điều 91-98</x:v>
      </x:c>
      <x:c r="J459" s="14" t="str">
        <x:v>Rất cao</x:v>
      </x:c>
      <x:c r="K459" s="14" t="str">
        <x:v>Chưa bắt đầu</x:v>
      </x:c>
      <x:c r="L459" s="14" t="str"/>
      <x:c r="M459" s="14" t="str">
        <x:v>Chương trình an ninh VATM; phụ lục cơ sở; hồ sơ trình phê duyệt.; Chương trình được phê duyệt và triển khai đầy đủ tại cơ sở ATS/CNS trọng yếu.; Phù hợp chương trình an ninh quốc gia, kiểm soát chất lượng và huấn luyện.; 01 chương trình cấp VATM; phụ lục cho cơ sở trọng yếu.</x:v>
      </x:c>
      <x:c r="N459" s="14" t="str">
        <x:v>Tổng 2 nhiệm vụ liên quan.</x:v>
      </x:c>
    </x:row>
    <x:row r="460">
      <x:c r="A460" s="14" t="str">
        <x:v>PROC-0459</x:v>
      </x:c>
      <x:c r="B460" s="14" t="str">
        <x:v>VATM-0614; VATM-0614</x:v>
      </x:c>
      <x:c r="C460" s="14" t="str">
        <x:v>An ninh hàng không</x:v>
      </x:c>
      <x:c r="D460" s="14" t="str">
        <x:v>Quản trị, phối hợp và giám sát ANHK</x:v>
      </x:c>
      <x:c r="E460" s="14" t="str">
        <x:v>01 chương trình cấp VATM</x:v>
      </x:c>
      <x:c r="F460" s="14" t="str">
        <x:v>Khác</x:v>
      </x:c>
      <x:c r="G460" s="14" t="str">
        <x:v>Ban An ninh hàng không</x:v>
      </x:c>
      <x:c r="H460" s="14" t="str">
        <x:v>Các Công ty Quản lý bay khu vực Bắc/Trung/Nam; Ban An ninh hàng không</x:v>
      </x:c>
      <x:c r="I460" s="14" t="str">
        <x:v>Điều 91-98</x:v>
      </x:c>
      <x:c r="J460" s="14" t="str">
        <x:v>Rất cao</x:v>
      </x:c>
      <x:c r="K460" s="14" t="str">
        <x:v>Chưa bắt đầu</x:v>
      </x:c>
      <x:c r="L460" s="14" t="str"/>
      <x:c r="M460" s="14" t="str">
        <x:v>Chương trình an ninh VATM; phụ lục cơ sở; hồ sơ trình phê duyệt.; Chương trình được phê duyệt và triển khai đầy đủ tại cơ sở ATS/CNS trọng yếu.; Phù hợp chương trình an ninh quốc gia, kiểm soát chất lượng và huấn luyện.; 01 chương trình cấp VATM; phụ lục cho cơ sở trọng yếu.</x:v>
      </x:c>
      <x:c r="N460" s="14" t="str">
        <x:v>Tổng 2 nhiệm vụ liên quan.</x:v>
      </x:c>
    </x:row>
    <x:row r="461">
      <x:c r="A461" s="14" t="str">
        <x:v>PROC-0460</x:v>
      </x:c>
      <x:c r="B461" s="14" t="str">
        <x:v>VATM-0614</x:v>
      </x:c>
      <x:c r="C461" s="14" t="str">
        <x:v>An ninh hàng không</x:v>
      </x:c>
      <x:c r="D461" s="14" t="str">
        <x:v>Quản trị, phối hợp và giám sát ANHK</x:v>
      </x:c>
      <x:c r="E461" s="14" t="str">
        <x:v>phụ lục cho cơ sở trọng yếu. Chương trình an ninh VATM</x:v>
      </x:c>
      <x:c r="F461" s="14" t="str">
        <x:v>Khác</x:v>
      </x:c>
      <x:c r="G461" s="14" t="str">
        <x:v>Ban An ninh hàng không</x:v>
      </x:c>
      <x:c r="H461" s="14" t="str">
        <x:v>Các Công ty Quản lý bay khu vực Bắc/Trung/Nam; Ban An ninh hàng không</x:v>
      </x:c>
      <x:c r="I461" s="14" t="str">
        <x:v>Điều 91-98</x:v>
      </x:c>
      <x:c r="J461" s="14" t="str">
        <x:v>Rất cao</x:v>
      </x:c>
      <x:c r="K461" s="14" t="str">
        <x:v>Chưa bắt đầu</x:v>
      </x:c>
      <x:c r="L461" s="14" t="str"/>
      <x:c r="M461" s="14" t="str">
        <x:v>Chương trình an ninh VATM; phụ lục cơ sở; hồ sơ trình phê duyệt.; Chương trình được phê duyệt và triển khai đầy đủ tại cơ sở ATS/CNS trọng yếu.; Phù hợp chương trình an ninh quốc gia, kiểm soát chất lượng và huấn luyện.; 01 chương trình cấp VATM; phụ lục cho cơ sở trọng yếu.</x:v>
      </x:c>
      <x:c r="N461" s="14" t="str">
        <x:v>Tổng 1 nhiệm vụ liên quan.</x:v>
      </x:c>
    </x:row>
    <x:row r="462">
      <x:c r="A462" s="14" t="str">
        <x:v>PROC-0461</x:v>
      </x:c>
      <x:c r="B462" s="14" t="str">
        <x:v>VATM-0615; VATM-0615</x:v>
      </x:c>
      <x:c r="C462" s="14" t="str">
        <x:v>An ninh hàng không</x:v>
      </x:c>
      <x:c r="D462" s="14" t="str">
        <x:v>Quản trị, phối hợp và giám sát ANHK</x:v>
      </x:c>
      <x:c r="E462" s="14" t="str">
        <x:v>quy trình access control</x:v>
      </x:c>
      <x:c r="F462" s="14" t="str">
        <x:v>Quy trình/SOP</x:v>
      </x:c>
      <x:c r="G462" s="14" t="str">
        <x:v>Ban An ninh hàng không</x:v>
      </x:c>
      <x:c r="H462" s="14" t="str">
        <x:v>Các Công ty Quản lý bay khu vực Bắc/Trung/Nam; Ban An ninh hàng không</x:v>
      </x:c>
      <x:c r="I462" s="14" t="str">
        <x:v>Điều 12, 92, 98</x:v>
      </x:c>
      <x:c r="J462" s="14" t="str">
        <x:v>Rất cao</x:v>
      </x:c>
      <x:c r="K462" s="14" t="str">
        <x:v>Chưa bắt đầu</x:v>
      </x:c>
      <x:c r="L462" s="14" t="str"/>
      <x:c r="M462" s="14" t="str">
        <x:v>Danh mục khu vực hạn chế; quy trình access control; nhật ký kiểm tra.; Không có truy cập trái phép; hồ sơ ra/vào và nhà thầu rõ ràng.; Kết hợp bảo vệ vật lý và an ninh mạng; phân quyền theo nhiệm vụ.; 100% cơ sở trọng yếu có sơ đồ khu vực hạn chế và quy trình kiểm soát.</x:v>
      </x:c>
      <x:c r="N462" s="14" t="str">
        <x:v>Tổng 2 nhiệm vụ liên quan.</x:v>
      </x:c>
    </x:row>
    <x:row r="463">
      <x:c r="A463" s="14" t="str">
        <x:v>PROC-0462</x:v>
      </x:c>
      <x:c r="B463" s="14" t="str">
        <x:v>VATM-0615</x:v>
      </x:c>
      <x:c r="C463" s="14" t="str">
        <x:v>An ninh hàng không</x:v>
      </x:c>
      <x:c r="D463" s="14" t="str">
        <x:v>Quản trị, phối hợp và giám sát ANHK</x:v>
      </x:c>
      <x:c r="E463" s="14" t="str">
        <x:v>100% cơ sở trọng yếu có sơ đồ khu vực hạn chế và quy trình kiểm soát. Danh mục khu vực hạn chế</x:v>
      </x:c>
      <x:c r="F463" s="14" t="str">
        <x:v>Quy trình/SOP</x:v>
      </x:c>
      <x:c r="G463" s="14" t="str">
        <x:v>Ban An ninh hàng không</x:v>
      </x:c>
      <x:c r="H463" s="14" t="str">
        <x:v>Các Công ty Quản lý bay khu vực Bắc/Trung/Nam; Ban An ninh hàng không</x:v>
      </x:c>
      <x:c r="I463" s="14" t="str">
        <x:v>Điều 12, 92, 98</x:v>
      </x:c>
      <x:c r="J463" s="14" t="str">
        <x:v>Rất cao</x:v>
      </x:c>
      <x:c r="K463" s="14" t="str">
        <x:v>Chưa bắt đầu</x:v>
      </x:c>
      <x:c r="L463" s="14" t="str"/>
      <x:c r="M463" s="14" t="str">
        <x:v>Danh mục khu vực hạn chế; quy trình access control; nhật ký kiểm tra.; Không có truy cập trái phép; hồ sơ ra/vào và nhà thầu rõ ràng.; Kết hợp bảo vệ vật lý và an ninh mạng; phân quyền theo nhiệm vụ.; 100% cơ sở trọng yếu có sơ đồ khu vực hạn chế và quy trình kiểm soát.</x:v>
      </x:c>
      <x:c r="N463" s="14" t="str">
        <x:v>Tổng 1 nhiệm vụ liên quan.</x:v>
      </x:c>
    </x:row>
    <x:row r="464">
      <x:c r="A464" s="14" t="str">
        <x:v>PROC-0463</x:v>
      </x:c>
      <x:c r="B464" s="14" t="str">
        <x:v>VATM-0615</x:v>
      </x:c>
      <x:c r="C464" s="14" t="str">
        <x:v>An ninh hàng không</x:v>
      </x:c>
      <x:c r="D464" s="14" t="str">
        <x:v>Quản trị, phối hợp và giám sát ANHK</x:v>
      </x:c>
      <x:c r="E464" s="14" t="str">
        <x:v>100% cơ sở trọng yếu có sơ đồ khu vực hạn chế và quy trình kiểm soát</x:v>
      </x:c>
      <x:c r="F464" s="14" t="str">
        <x:v>Quy trình/SOP</x:v>
      </x:c>
      <x:c r="G464" s="14" t="str">
        <x:v>Ban An ninh hàng không</x:v>
      </x:c>
      <x:c r="H464" s="14" t="str">
        <x:v>Các Công ty Quản lý bay khu vực Bắc/Trung/Nam; Ban An ninh hàng không</x:v>
      </x:c>
      <x:c r="I464" s="14" t="str">
        <x:v>Điều 12, 92, 98</x:v>
      </x:c>
      <x:c r="J464" s="14" t="str">
        <x:v>Rất cao</x:v>
      </x:c>
      <x:c r="K464" s="14" t="str">
        <x:v>Chưa bắt đầu</x:v>
      </x:c>
      <x:c r="L464" s="14" t="str"/>
      <x:c r="M464" s="14" t="str">
        <x:v>Danh mục khu vực hạn chế; quy trình access control; nhật ký kiểm tra.; Không có truy cập trái phép; hồ sơ ra/vào và nhà thầu rõ ràng.; Kết hợp bảo vệ vật lý và an ninh mạng; phân quyền theo nhiệm vụ.; 100% cơ sở trọng yếu có sơ đồ khu vực hạn chế và quy trình kiểm soát.</x:v>
      </x:c>
      <x:c r="N464" s="14" t="str">
        <x:v>Tổng 1 nhiệm vụ liên quan.</x:v>
      </x:c>
    </x:row>
    <x:row r="465">
      <x:c r="A465" s="14" t="str">
        <x:v>PROC-0464</x:v>
      </x:c>
      <x:c r="B465" s="14" t="str">
        <x:v>VATM-0616</x:v>
      </x:c>
      <x:c r="C465" s="14" t="str">
        <x:v>An ninh hàng không</x:v>
      </x:c>
      <x:c r="D465" s="14" t="str">
        <x:v>Quản trị, phối hợp và giám sát ANHK</x:v>
      </x:c>
      <x:c r="E465" s="14" t="str">
        <x:v>SOP can thiệp bất hợp pháp</x:v>
      </x:c>
      <x:c r="F465" s="14" t="str">
        <x:v>Quy trình/SOP</x:v>
      </x:c>
      <x:c r="G465" s="14" t="str">
        <x:v>Ban An ninh hàng không; Ban Không lưu</x:v>
      </x:c>
      <x:c r="H465" s="14" t="str">
        <x:v>Các Công ty Quản lý bay khu vực Bắc/Trung/Nam; Ban An ninh hàng không</x:v>
      </x:c>
      <x:c r="I465" s="14" t="str">
        <x:v>Điều 94</x:v>
      </x:c>
      <x:c r="J465" s="14" t="str">
        <x:v>Rất cao</x:v>
      </x:c>
      <x:c r="K465" s="14" t="str">
        <x:v>Chưa bắt đầu</x:v>
      </x:c>
      <x:c r="L465" s="14" t="str"/>
      <x:c r="M465" s="14" t="str">
        <x:v>SOP can thiệp bất hợp pháp; kịch bản diễn tập; danh bạ bảo mật.; Tàu bay bị can thiệp bất hợp pháp được ưu tiên điều hành và trợ giúp.; Bảo mật, không làm lộ thông tin nhạy cảm, phối hợp đúng thẩm quyền.; 01 SOP; 01 diễn tập/tabletop/năm.</x:v>
      </x:c>
      <x:c r="N465" s="14" t="str">
        <x:v>Tổng 1 nhiệm vụ liên quan.</x:v>
      </x:c>
    </x:row>
    <x:row r="466">
      <x:c r="A466" s="14" t="str">
        <x:v>PROC-0465</x:v>
      </x:c>
      <x:c r="B466" s="14" t="str">
        <x:v>VATM-0616; VATM-0616</x:v>
      </x:c>
      <x:c r="C466" s="14" t="str">
        <x:v>An ninh hàng không</x:v>
      </x:c>
      <x:c r="D466" s="14" t="str">
        <x:v>Quản trị, phối hợp và giám sát ANHK</x:v>
      </x:c>
      <x:c r="E466" s="14" t="str">
        <x:v>01 SOP</x:v>
      </x:c>
      <x:c r="F466" s="14" t="str">
        <x:v>Quy trình/SOP</x:v>
      </x:c>
      <x:c r="G466" s="14" t="str">
        <x:v>Ban An ninh hàng không; Ban Không lưu</x:v>
      </x:c>
      <x:c r="H466" s="14" t="str">
        <x:v>Các Công ty Quản lý bay khu vực Bắc/Trung/Nam; Ban An ninh hàng không</x:v>
      </x:c>
      <x:c r="I466" s="14" t="str">
        <x:v>Điều 94</x:v>
      </x:c>
      <x:c r="J466" s="14" t="str">
        <x:v>Rất cao</x:v>
      </x:c>
      <x:c r="K466" s="14" t="str">
        <x:v>Chưa bắt đầu</x:v>
      </x:c>
      <x:c r="L466" s="14" t="str"/>
      <x:c r="M466" s="14" t="str">
        <x:v>SOP can thiệp bất hợp pháp; kịch bản diễn tập; danh bạ bảo mật.; Tàu bay bị can thiệp bất hợp pháp được ưu tiên điều hành và trợ giúp.; Bảo mật, không làm lộ thông tin nhạy cảm, phối hợp đúng thẩm quyền.; 01 SOP; 01 diễn tập/tabletop/năm.</x:v>
      </x:c>
      <x:c r="N466" s="14" t="str">
        <x:v>Tổng 2 nhiệm vụ liên quan.</x:v>
      </x:c>
    </x:row>
    <x:row r="467">
      <x:c r="A467" s="14" t="str">
        <x:v>PROC-0466</x:v>
      </x:c>
      <x:c r="B467" s="14" t="str">
        <x:v>VATM-0616</x:v>
      </x:c>
      <x:c r="C467" s="14" t="str">
        <x:v>An ninh hàng không</x:v>
      </x:c>
      <x:c r="D467" s="14" t="str">
        <x:v>Quản trị, phối hợp và giám sát ANHK</x:v>
      </x:c>
      <x:c r="E467" s="14" t="str">
        <x:v>01 diễn tập/tabletop/năm. SOP can thiệp bất hợp pháp</x:v>
      </x:c>
      <x:c r="F467" s="14" t="str">
        <x:v>Quy trình/SOP</x:v>
      </x:c>
      <x:c r="G467" s="14" t="str">
        <x:v>Ban An ninh hàng không; Ban Không lưu</x:v>
      </x:c>
      <x:c r="H467" s="14" t="str">
        <x:v>Các Công ty Quản lý bay khu vực Bắc/Trung/Nam; Ban An ninh hàng không</x:v>
      </x:c>
      <x:c r="I467" s="14" t="str">
        <x:v>Điều 94</x:v>
      </x:c>
      <x:c r="J467" s="14" t="str">
        <x:v>Rất cao</x:v>
      </x:c>
      <x:c r="K467" s="14" t="str">
        <x:v>Chưa bắt đầu</x:v>
      </x:c>
      <x:c r="L467" s="14" t="str"/>
      <x:c r="M467" s="14" t="str">
        <x:v>SOP can thiệp bất hợp pháp; kịch bản diễn tập; danh bạ bảo mật.; Tàu bay bị can thiệp bất hợp pháp được ưu tiên điều hành và trợ giúp.; Bảo mật, không làm lộ thông tin nhạy cảm, phối hợp đúng thẩm quyền.; 01 SOP; 01 diễn tập/tabletop/năm.</x:v>
      </x:c>
      <x:c r="N467" s="14" t="str">
        <x:v>Tổng 1 nhiệm vụ liên quan.</x:v>
      </x:c>
    </x:row>
    <x:row r="468">
      <x:c r="A468" s="14" t="str">
        <x:v>PROC-0467</x:v>
      </x:c>
      <x:c r="B468" s="14" t="str">
        <x:v>VATM-0617</x:v>
      </x:c>
      <x:c r="C468" s="14" t="str">
        <x:v>An ninh hàng không</x:v>
      </x:c>
      <x:c r="D468" s="14" t="str">
        <x:v>Quản trị, phối hợp và giám sát ANHK</x:v>
      </x:c>
      <x:c r="E468" s="14" t="str">
        <x:v>Quy trình audit support</x:v>
      </x:c>
      <x:c r="F468" s="14" t="str">
        <x:v>Quy trình/SOP</x:v>
      </x:c>
      <x:c r="G468" s="14" t="str">
        <x:v>Ban An ninh hàng không</x:v>
      </x:c>
      <x:c r="H468" s="14" t="str">
        <x:v>Các Công ty Quản lý bay khu vực Bắc/Trung/Nam; Ban An ninh hàng không</x:v>
      </x:c>
      <x:c r="I468" s="14" t="str">
        <x:v>Điều 95, 96</x:v>
      </x:c>
      <x:c r="J468" s="14" t="str">
        <x:v>Trung bình</x:v>
      </x:c>
      <x:c r="K468" s="14" t="str">
        <x:v>Chưa bắt đầu</x:v>
      </x:c>
      <x:c r="L468" s="14" t="str"/>
      <x:c r="M468" s="14" t="str">
        <x:v>Quy trình audit support; danh mục tài liệu cung cấp; biên bản làm việc.; Phối hợp đúng thẩm quyền, đầy đủ, không lộ dữ liệu vượt phạm vi.; Có đầu mối tiếp nhận, kiểm soát tài liệu, xử lý phát hiện.; 01 quy trình toàn VATM; hồ sơ kiểm tra theo từng vụ việc.</x:v>
      </x:c>
      <x:c r="N468" s="14" t="str">
        <x:v>Tổng 1 nhiệm vụ liên quan.</x:v>
      </x:c>
    </x:row>
    <x:row r="469">
      <x:c r="A469" s="14" t="str">
        <x:v>PROC-0468</x:v>
      </x:c>
      <x:c r="B469" s="14" t="str">
        <x:v>VATM-0617</x:v>
      </x:c>
      <x:c r="C469" s="14" t="str">
        <x:v>An ninh hàng không</x:v>
      </x:c>
      <x:c r="D469" s="14" t="str">
        <x:v>Quản trị, phối hợp và giám sát ANHK</x:v>
      </x:c>
      <x:c r="E469" s="14" t="str">
        <x:v>hồ sơ kiểm tra theo từng vụ việc. Quy trình audit support</x:v>
      </x:c>
      <x:c r="F469" s="14" t="str">
        <x:v>Quy trình/SOP</x:v>
      </x:c>
      <x:c r="G469" s="14" t="str">
        <x:v>Ban An ninh hàng không</x:v>
      </x:c>
      <x:c r="H469" s="14" t="str">
        <x:v>Các Công ty Quản lý bay khu vực Bắc/Trung/Nam; Ban An ninh hàng không</x:v>
      </x:c>
      <x:c r="I469" s="14" t="str">
        <x:v>Điều 95, 96</x:v>
      </x:c>
      <x:c r="J469" s="14" t="str">
        <x:v>Trung bình</x:v>
      </x:c>
      <x:c r="K469" s="14" t="str">
        <x:v>Chưa bắt đầu</x:v>
      </x:c>
      <x:c r="L469" s="14" t="str"/>
      <x:c r="M469" s="14" t="str">
        <x:v>Quy trình audit support; danh mục tài liệu cung cấp; biên bản làm việc.; Phối hợp đúng thẩm quyền, đầy đủ, không lộ dữ liệu vượt phạm vi.; Có đầu mối tiếp nhận, kiểm soát tài liệu, xử lý phát hiện.; 01 quy trình toàn VATM; hồ sơ kiểm tra theo từng vụ việc.</x:v>
      </x:c>
      <x:c r="N469" s="14" t="str">
        <x:v>Tổng 1 nhiệm vụ liên quan.</x:v>
      </x:c>
    </x:row>
    <x:row r="470">
      <x:c r="A470" s="14" t="str">
        <x:v>PROC-0469</x:v>
      </x:c>
      <x:c r="B470" s="14" t="str">
        <x:v>VATM-0619</x:v>
      </x:c>
      <x:c r="C470" s="14" t="str">
        <x:v>Huấn luyện đào tạo &amp; nhân viên HK</x:v>
      </x:c>
      <x:c r="D470" s="14" t="str">
        <x:v>Quản lý năng lực và hồ sơ đào tạo</x:v>
      </x:c>
      <x:c r="E470" s="14" t="str">
        <x:v>Đào tạo 100% nhân sự quản lý và vị trí tác nghiệp trọng yếu trong 2026-2027. Chương trình đào tạo</x:v>
      </x:c>
      <x:c r="F470" s="14" t="str">
        <x:v>Khác</x:v>
      </x:c>
      <x:c r="G470" s="14" t="str">
        <x:v>Trung tâm Huấn luyện đào tạo; Ban Tổ chức cán bộ</x:v>
      </x:c>
      <x:c r="H470" s="14" t="str">
        <x:v>Trung tâm Huấn luyện đào tạo; Ban Tổ chức cán bộ</x:v>
      </x:c>
      <x:c r="I470" s="14" t="str">
        <x:v>Điều 88; Điều 47</x:v>
      </x:c>
      <x:c r="J470" s="14" t="str">
        <x:v>Cao</x:v>
      </x:c>
      <x:c r="K470" s="14" t="str">
        <x:v>Chưa bắt đầu</x:v>
      </x:c>
      <x:c r="L470" s="14" t="str"/>
      <x:c r="M470" s="14" t="str">
        <x:v>Chương trình đào tạo; tài liệu e-learning; danh sách hoàn thành.; Nhân sự hiểu thay đổi pháp lý ảnh hưởng vị trí công tác.; Nội dung theo chức danh, có kiểm tra cuối khóa và lưu chứng cứ.; Đào tạo 100% nhân sự quản lý và vị trí tác nghiệp trọng yếu trong 2026-2027.</x:v>
      </x:c>
      <x:c r="N470" s="14" t="str">
        <x:v>Tổng 1 nhiệm vụ liên quan.</x:v>
      </x:c>
    </x:row>
    <x:row r="471">
      <x:c r="A471" s="14" t="str">
        <x:v>PROC-0470</x:v>
      </x:c>
      <x:c r="B471" s="14" t="str">
        <x:v>VATM-0621; VATM-0621</x:v>
      </x:c>
      <x:c r="C471" s="14" t="str">
        <x:v>Tài chính - Kế hoạch đầu tư</x:v>
      </x:c>
      <x:c r="D471" s="14" t="str">
        <x:v>Kế hoạch vốn, đầu tư và mua sắm</x:v>
      </x:c>
      <x:c r="E471" s="14" t="str">
        <x:v>quy trình hạch toán và báo cáo</x:v>
      </x:c>
      <x:c r="F471" s="14" t="str">
        <x:v>Quy trình/SOP</x:v>
      </x:c>
      <x:c r="G471" s="14" t="str">
        <x:v>Ban Kế hoạch - Đầu tư; Ban Tài chính</x:v>
      </x:c>
      <x:c r="H471" s="14" t="str">
        <x:v>Ban Tài chính; Ban Kế hoạch - Đầu tư</x:v>
      </x:c>
      <x:c r="I471" s="14" t="str">
        <x:v>Điều 103</x:v>
      </x:c>
      <x:c r="J471" s="14" t="str">
        <x:v>Rất cao</x:v>
      </x:c>
      <x:c r="K471" s="14" t="str">
        <x:v>Chưa bắt đầu</x:v>
      </x:c>
      <x:c r="L471" s="14" t="str"/>
      <x:c r="M471" s="14" t="str">
        <x:v>Đề án tài chính; danh mục chi; quy trình hạch toán và báo cáo.; Nguồn phí sử dụng đúng mục đích, minh bạch, có kiểm soát nội bộ.; Tách rõ căn cứ Luật và căn cứ NĐ/TT về tỷ lệ, quy trình.; 01 đề án cấp Tổng công ty; báo cáo định kỳ theo quy định.</x:v>
      </x:c>
      <x:c r="N471" s="14" t="str">
        <x:v>Tổng 2 nhiệm vụ liên quan.</x:v>
      </x:c>
    </x:row>
    <x:row r="472">
      <x:c r="A472" s="14" t="str">
        <x:v>PROC-0471</x:v>
      </x:c>
      <x:c r="B472" s="14" t="str">
        <x:v>VATM-0621; VATM-0621</x:v>
      </x:c>
      <x:c r="C472" s="14" t="str">
        <x:v>Tài chính - Kế hoạch đầu tư</x:v>
      </x:c>
      <x:c r="D472" s="14" t="str">
        <x:v>Kế hoạch vốn, đầu tư và mua sắm</x:v>
      </x:c>
      <x:c r="E472" s="14" t="str">
        <x:v>Tách rõ căn cứ Luật và căn cứ NĐ/TT về tỷ lệ, quy trình</x:v>
      </x:c>
      <x:c r="F472" s="14" t="str">
        <x:v>Quy trình/SOP</x:v>
      </x:c>
      <x:c r="G472" s="14" t="str">
        <x:v>Ban Kế hoạch - Đầu tư; Ban Tài chính</x:v>
      </x:c>
      <x:c r="H472" s="14" t="str">
        <x:v>Ban Tài chính; Ban Kế hoạch - Đầu tư</x:v>
      </x:c>
      <x:c r="I472" s="14" t="str">
        <x:v>Điều 103</x:v>
      </x:c>
      <x:c r="J472" s="14" t="str">
        <x:v>Rất cao</x:v>
      </x:c>
      <x:c r="K472" s="14" t="str">
        <x:v>Chưa bắt đầu</x:v>
      </x:c>
      <x:c r="L472" s="14" t="str"/>
      <x:c r="M472" s="14" t="str">
        <x:v>Đề án tài chính; danh mục chi; quy trình hạch toán và báo cáo.; Nguồn phí sử dụng đúng mục đích, minh bạch, có kiểm soát nội bộ.; Tách rõ căn cứ Luật và căn cứ NĐ/TT về tỷ lệ, quy trình.; 01 đề án cấp Tổng công ty; báo cáo định kỳ theo quy định.</x:v>
      </x:c>
      <x:c r="N472" s="14" t="str">
        <x:v>Tổng 2 nhiệm vụ liên quan.</x:v>
      </x:c>
    </x:row>
    <x:row r="473">
      <x:c r="A473" s="14" t="str">
        <x:v>PROC-0472</x:v>
      </x:c>
      <x:c r="B473" s="14" t="str">
        <x:v>VATM-0625; VATM-0625</x:v>
      </x:c>
      <x:c r="C473" s="14" t="str">
        <x:v>Tuân thủ, pháp chế &amp; quản trị</x:v>
      </x:c>
      <x:c r="D473" s="14" t="str">
        <x:v>Quản trị triển khai, RACI và báo cáo</x:v>
      </x:c>
      <x:c r="E473" s="14" t="str">
        <x:v>checklist đơn vị</x:v>
      </x:c>
      <x:c r="F473" s="14" t="str">
        <x:v>Biểu mẫu/Checklist</x:v>
      </x:c>
      <x:c r="G473" s="14" t="str">
        <x:v>Văn phòng - Pháp chế</x:v>
      </x:c>
      <x:c r="H473" s="14" t="str">
        <x:v>Văn phòng - Pháp chế</x:v>
      </x:c>
      <x:c r="I473" s="14" t="str">
        <x:v>Điều 106; kế hoạch triển khai</x:v>
      </x:c>
      <x:c r="J473" s="14" t="str">
        <x:v>Cao</x:v>
      </x:c>
      <x:c r="K473" s="14" t="str">
        <x:v>Chưa bắt đầu</x:v>
      </x:c>
      <x:c r="L473" s="14" t="str"/>
      <x:c r="M473" s="14" t="str">
        <x:v>Bản tin pháp lý; slide đào tạo; Q&amp;A nội bộ; checklist đơn vị.; Nhân sự nắm thay đổi ảnh hưởng công việc, không nhầm luật cũ/luật mới.; Thông điệp ngắn gọn, theo nghiệp vụ, có dẫn nguồn chính thức.; Tối thiểu 05 phiên phổ biến theo nhóm nghiệp vụ; lưu danh sách tham dự.</x:v>
      </x:c>
      <x:c r="N473" s="14" t="str">
        <x:v>Tổng 2 nhiệm vụ liên quan.</x:v>
      </x:c>
    </x:row>
    <x:row r="474">
      <x:c r="A474" s="14" t="str">
        <x:v>PROC-0473</x:v>
      </x:c>
      <x:c r="B474" s="14" t="str">
        <x:v>VATM-0626</x:v>
      </x:c>
      <x:c r="C474" s="14" t="str">
        <x:v>Tuân thủ, pháp chế &amp; quản trị</x:v>
      </x:c>
      <x:c r="D474" s="14" t="str">
        <x:v>Quản trị triển khai, RACI và báo cáo</x:v>
      </x:c>
      <x:c r="E474" s="14" t="str">
        <x:v>QMS manual/quality procedures</x:v>
      </x:c>
      <x:c r="F474" s="14" t="str">
        <x:v>Khác</x:v>
      </x:c>
      <x:c r="G474" s="14" t="str">
        <x:v>Văn phòng - Pháp chế; Ban An toàn - Chất lượng</x:v>
      </x:c>
      <x:c r="H474" s="14" t="str">
        <x:v>Văn phòng - Pháp chế</x:v>
      </x:c>
      <x:c r="I474" s="14" t="str">
        <x:v>Điều 47, 46, 79</x:v>
      </x:c>
      <x:c r="J474" s="14" t="str">
        <x:v>Cao</x:v>
      </x:c>
      <x:c r="K474" s="14" t="str">
        <x:v>Chưa bắt đầu</x:v>
      </x:c>
      <x:c r="L474" s="14" t="str"/>
      <x:c r="M474" s="14" t="str">
        <x:v>QMS manual/quality procedures; audit plan; nonconformity register.; Quy trình quan trọng có tiêu chí chất lượng và bằng chứng kiểm soát.; Audit dựa trên rủi ro, có đóng khắc phục và kiểm tra hiệu lực.; Ít nhất 01 audit nội bộ/năm cho mỗi lĩnh vực ANS trọng yếu.</x:v>
      </x:c>
      <x:c r="N474" s="14" t="str">
        <x:v>Tổng 1 nhiệm vụ liên quan.</x:v>
      </x:c>
    </x:row>
    <x:row r="475">
      <x:c r="A475" s="14" t="str">
        <x:v>PROC-0474</x:v>
      </x:c>
      <x:c r="B475" s="14" t="str">
        <x:v>VATM-0626; VATM-0626</x:v>
      </x:c>
      <x:c r="C475" s="14" t="str">
        <x:v>Tuân thủ, pháp chế &amp; quản trị</x:v>
      </x:c>
      <x:c r="D475" s="14" t="str">
        <x:v>Quản trị triển khai, RACI và báo cáo</x:v>
      </x:c>
      <x:c r="E475" s="14" t="str">
        <x:v>Quy trình quan trọng có tiêu chí chất lượng và bằng chứng kiểm soát</x:v>
      </x:c>
      <x:c r="F475" s="14" t="str">
        <x:v>Quy trình/SOP</x:v>
      </x:c>
      <x:c r="G475" s="14" t="str">
        <x:v>Văn phòng - Pháp chế; Ban An toàn - Chất lượng</x:v>
      </x:c>
      <x:c r="H475" s="14" t="str">
        <x:v>Văn phòng - Pháp chế</x:v>
      </x:c>
      <x:c r="I475" s="14" t="str">
        <x:v>Điều 47, 46, 79</x:v>
      </x:c>
      <x:c r="J475" s="14" t="str">
        <x:v>Cao</x:v>
      </x:c>
      <x:c r="K475" s="14" t="str">
        <x:v>Chưa bắt đầu</x:v>
      </x:c>
      <x:c r="L475" s="14" t="str"/>
      <x:c r="M475" s="14" t="str">
        <x:v>QMS manual/quality procedures; audit plan; nonconformity register.; Quy trình quan trọng có tiêu chí chất lượng và bằng chứng kiểm soát.; Audit dựa trên rủi ro, có đóng khắc phục và kiểm tra hiệu lực.; Ít nhất 01 audit nội bộ/năm cho mỗi lĩnh vực ANS trọng yếu.</x:v>
      </x:c>
      <x:c r="N475" s="14" t="str">
        <x:v>Tổng 2 nhiệm vụ liên quan.</x:v>
      </x:c>
    </x:row>
    <x:row r="476">
      <x:c r="A476" s="14" t="str">
        <x:v>PROC-0475</x:v>
      </x:c>
      <x:c r="B476" s="14" t="str">
        <x:v>VATM-0626</x:v>
      </x:c>
      <x:c r="C476" s="14" t="str">
        <x:v>Tuân thủ, pháp chế &amp; quản trị</x:v>
      </x:c>
      <x:c r="D476" s="14" t="str">
        <x:v>Quản trị triển khai, RACI và báo cáo</x:v>
      </x:c>
      <x:c r="E476" s="14" t="str">
        <x:v>Ít nhất 01 audit nội bộ/năm cho mỗi lĩnh vực ANS trọng yếu. QMS manual/quality procedures</x:v>
      </x:c>
      <x:c r="F476" s="14" t="str">
        <x:v>Khác</x:v>
      </x:c>
      <x:c r="G476" s="14" t="str">
        <x:v>Văn phòng - Pháp chế; Ban An toàn - Chất lượng</x:v>
      </x:c>
      <x:c r="H476" s="14" t="str">
        <x:v>Văn phòng - Pháp chế</x:v>
      </x:c>
      <x:c r="I476" s="14" t="str">
        <x:v>Điều 47, 46, 79</x:v>
      </x:c>
      <x:c r="J476" s="14" t="str">
        <x:v>Cao</x:v>
      </x:c>
      <x:c r="K476" s="14" t="str">
        <x:v>Chưa bắt đầu</x:v>
      </x:c>
      <x:c r="L476" s="14" t="str"/>
      <x:c r="M476" s="14" t="str">
        <x:v>QMS manual/quality procedures; audit plan; nonconformity register.; Quy trình quan trọng có tiêu chí chất lượng và bằng chứng kiểm soát.; Audit dựa trên rủi ro, có đóng khắc phục và kiểm tra hiệu lực.; Ít nhất 01 audit nội bộ/năm cho mỗi lĩnh vực ANS trọng yếu.</x:v>
      </x:c>
      <x:c r="N476" s="14" t="str">
        <x:v>Tổng 1 nhiệm vụ liên quan.</x:v>
      </x:c>
    </x:row>
    <x:row r="477">
      <x:c r="A477" s="14" t="str">
        <x:v>PROC-0476</x:v>
      </x:c>
      <x:c r="B477" s="14" t="str">
        <x:v>VATM-0631</x:v>
      </x:c>
      <x:c r="C477" s="14" t="str">
        <x:v>Tuân thủ, pháp chế &amp; quản trị</x:v>
      </x:c>
      <x:c r="D477" s="14" t="str">
        <x:v>Hợp tác quốc tế/đối ngoại chuyên ngành</x:v>
      </x:c>
      <x:c r="E477" s="14" t="str">
        <x:v>Tối thiểu 02 chương trình/năm hoặc theo kế hoạch nguồn lực. Kế hoạch hợp tác quốc tế ANS</x:v>
      </x:c>
      <x:c r="F477" s="14" t="str">
        <x:v>Quyết định/Kế hoạch</x:v>
      </x:c>
      <x:c r="G477" s="14" t="str">
        <x:v>Văn phòng - Pháp chế</x:v>
      </x:c>
      <x:c r="H477" s="14" t="str">
        <x:v>Văn phòng - Pháp chế</x:v>
      </x:c>
      <x:c r="I477" s="14" t="str">
        <x:v>Điều 47, 103</x:v>
      </x:c>
      <x:c r="J477" s="14" t="str">
        <x:v>Trung bình</x:v>
      </x:c>
      <x:c r="K477" s="14" t="str">
        <x:v>Chưa bắt đầu</x:v>
      </x:c>
      <x:c r="L477" s="14" t="str"/>
      <x:c r="M477" s="14" t="str">
        <x:v>Kế hoạch hợp tác quốc tế ANS; danh mục khóa/đề án.; Nâng cao năng lực nhân sự và tương thích hệ thống khu vực.; Có KPI sau đào tạo/chuyển giao công nghệ, tránh hình thức.; Tối thiểu 02 chương trình/năm hoặc theo kế hoạch nguồn lực.</x:v>
      </x:c>
      <x:c r="N477" s="14" t="str">
        <x:v>Tổng 1 nhiệm vụ liên quan.</x:v>
      </x:c>
    </x:row>
    <x:row r="478">
      <x:c r="A478" s="14" t="str">
        <x:v>PROC-0477</x:v>
      </x:c>
      <x:c r="B478" s="14" t="str">
        <x:v>VATM-0631</x:v>
      </x:c>
      <x:c r="C478" s="14" t="str">
        <x:v>Tuân thủ, pháp chế &amp; quản trị</x:v>
      </x:c>
      <x:c r="D478" s="14" t="str">
        <x:v>Hợp tác quốc tế/đối ngoại chuyên ngành</x:v>
      </x:c>
      <x:c r="E478" s="14" t="str">
        <x:v>Tối thiểu 02 chương trình/năm hoặc theo kế hoạch nguồn lực</x:v>
      </x:c>
      <x:c r="F478" s="14" t="str">
        <x:v>Quyết định/Kế hoạch</x:v>
      </x:c>
      <x:c r="G478" s="14" t="str">
        <x:v>Văn phòng - Pháp chế</x:v>
      </x:c>
      <x:c r="H478" s="14" t="str">
        <x:v>Văn phòng - Pháp chế</x:v>
      </x:c>
      <x:c r="I478" s="14" t="str">
        <x:v>Điều 47, 103</x:v>
      </x:c>
      <x:c r="J478" s="14" t="str">
        <x:v>Trung bình</x:v>
      </x:c>
      <x:c r="K478" s="14" t="str">
        <x:v>Chưa bắt đầu</x:v>
      </x:c>
      <x:c r="L478" s="14" t="str"/>
      <x:c r="M478" s="14" t="str">
        <x:v>Kế hoạch hợp tác quốc tế ANS; danh mục khóa/đề án.; Nâng cao năng lực nhân sự và tương thích hệ thống khu vực.; Có KPI sau đào tạo/chuyển giao công nghệ, tránh hình thức.; Tối thiểu 02 chương trình/năm hoặc theo kế hoạch nguồn lực.</x:v>
      </x:c>
      <x:c r="N478" s="14" t="str">
        <x:v>Tổng 1 nhiệm vụ liên quan.</x:v>
      </x:c>
    </x:row>
    <x:row r="479">
      <x:c r="A479" s="14" t="str">
        <x:v>PROC-0478</x:v>
      </x:c>
      <x:c r="B479" s="14" t="str">
        <x:v>VATM-0634; VATM-0634</x:v>
      </x:c>
      <x:c r="C479" s="14" t="str">
        <x:v>Quản lý khai thác cảng/sân bay</x:v>
      </x:c>
      <x:c r="D479" s="14" t="str">
        <x:v>Công trình, chướng ngại và thi công</x:v>
      </x:c>
      <x:c r="E479" s="14" t="str">
        <x:v>quy trình SLA phản hồi hồ sơ</x:v>
      </x:c>
      <x:c r="F479" s="14" t="str">
        <x:v>Quy trình/SOP</x:v>
      </x:c>
      <x:c r="G479" s="14" t="str">
        <x:v>Ban Kế hoạch - Đầu tư; Ban Không lưu; Ban Kỹ thuật - CNS/IT/Môi trường</x:v>
      </x:c>
      <x:c r="H479" s="14" t="str">
        <x:v>Các Công ty Quản lý bay khu vực Bắc/Trung/Nam; Ban Kế hoạch - Đầu tư; Ban Không lưu; Ban Kỹ thuật - CNS/IT/Môi trường</x:v>
      </x:c>
      <x:c r="I479" s="14" t="str">
        <x:v>Điều 29-36, 43</x:v>
      </x:c>
      <x:c r="J479" s="14" t="str">
        <x:v>Cao</x:v>
      </x:c>
      <x:c r="K479" s="14" t="str">
        <x:v>Chưa bắt đầu</x:v>
      </x:c>
      <x:c r="L479" s="14" t="str"/>
      <x:c r="M479" s="14" t="str">
        <x:v>Mẫu phiếu ý kiến chuyên ngành ANS; quy trình SLA phản hồi hồ sơ.; Ý kiến VATM kịp thời, thống nhất, có cơ sở an toàn/kỹ thuật.; Phản hồi theo thẩm quyền, không vượt quá chức năng quản lý nhà nước.; 100% hồ sơ có ảnh hưởng ANS được giao xử lý có phản hồi đúng hạn.</x:v>
      </x:c>
      <x:c r="N479" s="14" t="str">
        <x:v>Tổng 2 nhiệm vụ liên quan.</x:v>
      </x:c>
    </x:row>
    <x:row r="480">
      <x:c r="A480" s="14" t="str">
        <x:v>PROC-0479</x:v>
      </x:c>
      <x:c r="B480" s="14" t="str">
        <x:v>VATM-0635</x:v>
      </x:c>
      <x:c r="C480" s="14" t="str">
        <x:v>Quản lý khai thác cảng/sân bay</x:v>
      </x:c>
      <x:c r="D480" s="14" t="str">
        <x:v>Công trình, chướng ngại và thi công</x:v>
      </x:c>
      <x:c r="E480" s="14" t="str">
        <x:v>Quy trình tiếp nhận dữ liệu chướng ngại vật</x:v>
      </x:c>
      <x:c r="F480" s="14" t="str">
        <x:v>Quy trình/SOP</x:v>
      </x:c>
      <x:c r="G480" s="14" t="str">
        <x:v>Ban Kế hoạch - Đầu tư; Ban Không lưu; Ban Kỹ thuật - CNS/IT/Môi trường; Trung tâm Thông báo tin tức hàng không</x:v>
      </x:c>
      <x:c r="H480" s="14" t="str">
        <x:v>Các Công ty Quản lý bay khu vực Bắc/Trung/Nam; Ban Kế hoạch - Đầu tư; Ban Không lưu; Ban Kỹ thuật - CNS/IT/Môi trường</x:v>
      </x:c>
      <x:c r="I480" s="14" t="str">
        <x:v>Điều 43</x:v>
      </x:c>
      <x:c r="J480" s="14" t="str">
        <x:v>Cao</x:v>
      </x:c>
      <x:c r="K480" s="14" t="str">
        <x:v>Chưa bắt đầu</x:v>
      </x:c>
      <x:c r="L480" s="14" t="str"/>
      <x:c r="M480" s="14" t="str">
        <x:v>Quy trình tiếp nhận dữ liệu chướng ngại vật; đầu mối địa phương; mẫu dữ liệu.; Dữ liệu chướng ngại vật đến đúng địa chỉ, đúng thuộc tính, kịp thời.; Có xác nhận nguồn và kiểm tra chất lượng trước công bố/sử dụng.; Danh sách đầu mối 63 địa phương hoặc địa phương có sân bay/đài trạm trọng yếu.</x:v>
      </x:c>
      <x:c r="N480" s="14" t="str">
        <x:v>Tổng 1 nhiệm vụ liên quan.</x:v>
      </x:c>
    </x:row>
    <x:row r="481">
      <x:c r="A481" s="14" t="str">
        <x:v>PROC-0480</x:v>
      </x:c>
      <x:c r="B481" s="14" t="str">
        <x:v>VATM-0635</x:v>
      </x:c>
      <x:c r="C481" s="14" t="str">
        <x:v>Quản lý khai thác cảng/sân bay</x:v>
      </x:c>
      <x:c r="D481" s="14" t="str">
        <x:v>Công trình, chướng ngại và thi công</x:v>
      </x:c>
      <x:c r="E481" s="14" t="str">
        <x:v>Danh sách đầu mối 63 địa phương hoặc địa phương có sân bay/đài trạm trọng yếu. Quy trình tiếp nhận dữ liệu chướng ngại vật</x:v>
      </x:c>
      <x:c r="F481" s="14" t="str">
        <x:v>Quy trình/SOP</x:v>
      </x:c>
      <x:c r="G481" s="14" t="str">
        <x:v>Ban Kế hoạch - Đầu tư; Ban Không lưu; Ban Kỹ thuật - CNS/IT/Môi trường; Trung tâm Thông báo tin tức hàng không</x:v>
      </x:c>
      <x:c r="H481" s="14" t="str">
        <x:v>Các Công ty Quản lý bay khu vực Bắc/Trung/Nam; Ban Kế hoạch - Đầu tư; Ban Không lưu; Ban Kỹ thuật - CNS/IT/Môi trường</x:v>
      </x:c>
      <x:c r="I481" s="14" t="str">
        <x:v>Điều 43</x:v>
      </x:c>
      <x:c r="J481" s="14" t="str">
        <x:v>Cao</x:v>
      </x:c>
      <x:c r="K481" s="14" t="str">
        <x:v>Chưa bắt đầu</x:v>
      </x:c>
      <x:c r="L481" s="14" t="str"/>
      <x:c r="M481" s="14" t="str">
        <x:v>Quy trình tiếp nhận dữ liệu chướng ngại vật; đầu mối địa phương; mẫu dữ liệu.; Dữ liệu chướng ngại vật đến đúng địa chỉ, đúng thuộc tính, kịp thời.; Có xác nhận nguồn và kiểm tra chất lượng trước công bố/sử dụng.; Danh sách đầu mối 63 địa phương hoặc địa phương có sân bay/đài trạm trọng yếu.</x:v>
      </x:c>
      <x:c r="N481" s="14" t="str">
        <x:v>Tổng 1 nhiệm vụ liên quan.</x:v>
      </x:c>
    </x:row>
    <x:row r="482">
      <x:c r="A482" s="14" t="str">
        <x:v>PROC-0481</x:v>
      </x:c>
      <x:c r="B482" s="14" t="str">
        <x:v>VATM-0637; VATM-0637</x:v>
      </x:c>
      <x:c r="C482" s="14" t="str">
        <x:v>Tuân thủ, pháp chế &amp; quản trị</x:v>
      </x:c>
      <x:c r="D482" s="14" t="str">
        <x:v>Quản trị triển khai, RACI và báo cáo</x:v>
      </x:c>
      <x:c r="E482" s="14" t="str">
        <x:v>quy trình cấp quyền tạm thời</x:v>
      </x:c>
      <x:c r="F482" s="14" t="str">
        <x:v>Quy trình/SOP</x:v>
      </x:c>
      <x:c r="G482" s="14" t="str">
        <x:v>Văn phòng - Pháp chế; Ban Kế hoạch doanh nghiệp - Chuyển đổi số; Ban Kỹ thuật - CNS/IT/Môi trường; Ban An ninh hàng không</x:v>
      </x:c>
      <x:c r="H482" s="14" t="str">
        <x:v>Văn phòng - Pháp chế</x:v>
      </x:c>
      <x:c r="I482" s="14" t="str">
        <x:v>Điều 12, 94-98</x:v>
      </x:c>
      <x:c r="J482" s="14" t="str">
        <x:v>Cao</x:v>
      </x:c>
      <x:c r="K482" s="14" t="str">
        <x:v>Chưa bắt đầu</x:v>
      </x:c>
      <x:c r="L482" s="14" t="str"/>
      <x:c r="M482" s="14" t="str">
        <x:v>Phụ lục cam kết an ninh/an toàn; quy trình cấp quyền tạm thời.; Nhà thầu không tạo rủi ro an ninh/an toàn cho công trình/hệ thống ANS.; Có xác thực, giám sát, thu hồi quyền truy cập và báo cáo vi phạm.; Áp dụng cho 100% hợp đồng/nhà thầu tiếp cận khu vực/hệ thống trọng yếu.</x:v>
      </x:c>
      <x:c r="N482" s="14" t="str">
        <x:v>Tổng 2 nhiệm vụ liên quan.</x:v>
      </x:c>
    </x:row>
    <x:row r="483">
      <x:c r="A483" s="14" t="str">
        <x:v>PROC-0482</x:v>
      </x:c>
      <x:c r="B483" s="14" t="str">
        <x:v>VATM-0640</x:v>
      </x:c>
      <x:c r="C483" s="14" t="str">
        <x:v>Tuân thủ, pháp chế &amp; quản trị</x:v>
      </x:c>
      <x:c r="D483" s="14" t="str">
        <x:v>Quản trị triển khai, RACI và báo cáo</x:v>
      </x:c>
      <x:c r="E483" s="14" t="str">
        <x:v>Checklist cutover 01/07/2026</x:v>
      </x:c>
      <x:c r="F483" s="14" t="str">
        <x:v>Biểu mẫu/Checklist</x:v>
      </x:c>
      <x:c r="G483" s="14" t="str">
        <x:v>Văn phòng - Pháp chế; Ban An toàn - Chất lượng</x:v>
      </x:c>
      <x:c r="H483" s="14" t="str">
        <x:v>Văn phòng - Pháp chế</x:v>
      </x:c>
      <x:c r="I483" s="14" t="str">
        <x:v>Điều 106</x:v>
      </x:c>
      <x:c r="J483" s="14" t="str">
        <x:v>Rất cao</x:v>
      </x:c>
      <x:c r="K483" s="14" t="str">
        <x:v>Chưa bắt đầu</x:v>
      </x:c>
      <x:c r="L483" s="14" t="str"/>
      <x:c r="M483" s="14" t="str">
        <x:v>Checklist cutover 01/07/2026; biên bản xác nhận đơn vị.; Không xảy ra khoảng trống áp dụng pháp luật vào ngày hiệu lực.; Ký xác nhận bởi từng đơn vị; issue có owner và deadline.; 01 checklist toàn Tổng công ty; 100% đơn vị trọng yếu phản hồi.</x:v>
      </x:c>
      <x:c r="N483" s="14" t="str">
        <x:v>Tổng 1 nhiệm vụ liên quan.</x:v>
      </x:c>
    </x:row>
    <x:row r="484">
      <x:c r="A484" s="14" t="str">
        <x:v>PROC-0483</x:v>
      </x:c>
      <x:c r="B484" s="14" t="str">
        <x:v>VATM-0640; VATM-0640</x:v>
      </x:c>
      <x:c r="C484" s="14" t="str">
        <x:v>Tuân thủ, pháp chế &amp; quản trị</x:v>
      </x:c>
      <x:c r="D484" s="14" t="str">
        <x:v>Quản trị triển khai, RACI và báo cáo</x:v>
      </x:c>
      <x:c r="E484" s="14" t="str">
        <x:v>01 checklist toàn Tổng công ty</x:v>
      </x:c>
      <x:c r="F484" s="14" t="str">
        <x:v>Biểu mẫu/Checklist</x:v>
      </x:c>
      <x:c r="G484" s="14" t="str">
        <x:v>Văn phòng - Pháp chế; Ban An toàn - Chất lượng</x:v>
      </x:c>
      <x:c r="H484" s="14" t="str">
        <x:v>Văn phòng - Pháp chế</x:v>
      </x:c>
      <x:c r="I484" s="14" t="str">
        <x:v>Điều 106</x:v>
      </x:c>
      <x:c r="J484" s="14" t="str">
        <x:v>Rất cao</x:v>
      </x:c>
      <x:c r="K484" s="14" t="str">
        <x:v>Chưa bắt đầu</x:v>
      </x:c>
      <x:c r="L484" s="14" t="str"/>
      <x:c r="M484" s="14" t="str">
        <x:v>Checklist cutover 01/07/2026; biên bản xác nhận đơn vị.; Không xảy ra khoảng trống áp dụng pháp luật vào ngày hiệu lực.; Ký xác nhận bởi từng đơn vị; issue có owner và deadline.; 01 checklist toàn Tổng công ty; 100% đơn vị trọng yếu phản hồi.</x:v>
      </x:c>
      <x:c r="N484" s="14" t="str">
        <x:v>Tổng 2 nhiệm vụ liên quan.</x:v>
      </x:c>
    </x:row>
    <x:row r="485">
      <x:c r="A485" s="14" t="str">
        <x:v>PROC-0484</x:v>
      </x:c>
      <x:c r="B485" s="14" t="str">
        <x:v>VATM-0640</x:v>
      </x:c>
      <x:c r="C485" s="14" t="str">
        <x:v>Tuân thủ, pháp chế &amp; quản trị</x:v>
      </x:c>
      <x:c r="D485" s="14" t="str">
        <x:v>Quản trị triển khai, RACI và báo cáo</x:v>
      </x:c>
      <x:c r="E485" s="14" t="str">
        <x:v>100% đơn vị trọng yếu phản hồi. Checklist cutover 01/07/2026</x:v>
      </x:c>
      <x:c r="F485" s="14" t="str">
        <x:v>Biểu mẫu/Checklist</x:v>
      </x:c>
      <x:c r="G485" s="14" t="str">
        <x:v>Văn phòng - Pháp chế; Ban An toàn - Chất lượng</x:v>
      </x:c>
      <x:c r="H485" s="14" t="str">
        <x:v>Văn phòng - Pháp chế</x:v>
      </x:c>
      <x:c r="I485" s="14" t="str">
        <x:v>Điều 106</x:v>
      </x:c>
      <x:c r="J485" s="14" t="str">
        <x:v>Rất cao</x:v>
      </x:c>
      <x:c r="K485" s="14" t="str">
        <x:v>Chưa bắt đầu</x:v>
      </x:c>
      <x:c r="L485" s="14" t="str"/>
      <x:c r="M485" s="14" t="str">
        <x:v>Checklist cutover 01/07/2026; biên bản xác nhận đơn vị.; Không xảy ra khoảng trống áp dụng pháp luật vào ngày hiệu lực.; Ký xác nhận bởi từng đơn vị; issue có owner và deadline.; 01 checklist toàn Tổng công ty; 100% đơn vị trọng yếu phản hồi.</x:v>
      </x:c>
      <x:c r="N485" s="14" t="str">
        <x:v>Tổng 1 nhiệm vụ liên quan.</x:v>
      </x:c>
    </x:row>
  </x:sheetData>
  <x:dataValidations count="2">
    <x:dataValidation type="list" sqref="K2:K485">
      <x:formula1>"Chưa bắt đầu,Đang thực hiện,Đang chờ phối hợp,Hoàn thành,Quá hạn,Không áp dụng,Cần rà soát thêm"</x:formula1>
    </x:dataValidation>
    <x:dataValidation type="list" sqref="J2:J485">
      <x:formula1>"P1,P2,P3,Rất cao,Cao,Trung bình,Thấp"</x:formula1>
    </x:dataValidation>
  </x:dataValidations>
  <x:pageMargins left="0.7" right="0.7" top="0.75" bottom="0.75" header="0.3" footer="0.3"/>
  <x:tableParts count="1">
    <x:tablePart xmlns:r="http://schemas.openxmlformats.org/officeDocument/2006/relationships" r:id="R3510f6c5ef9c4265"/>
  </x:tableParts>
</x:worksheet>
</file>

<file path=xl/worksheets/sheet8.xml><?xml version="1.0" encoding="utf-8"?>
<x:worksheet xmlns:x="http://schemas.openxmlformats.org/spreadsheetml/2006/main">
  <x:sheetFormatPr defaultRowHeight="15"/>
  <x:cols>
    <x:col min="1" max="1" width="8" hidden="0" customWidth="1"/>
    <x:col min="2" max="2" width="40" hidden="0" customWidth="1"/>
    <x:col min="3" max="3" width="40" hidden="0" customWidth="1"/>
    <x:col min="4" max="4" width="24" hidden="0" customWidth="1"/>
    <x:col min="5" max="5" width="18" hidden="0" customWidth="1"/>
    <x:col min="6" max="6" width="24" hidden="0" customWidth="1"/>
    <x:col min="7" max="7" width="60" hidden="0" customWidth="1"/>
  </x:cols>
  <x:sheetData>
    <x:row r="1">
      <x:c r="A1" s="6" t="str">
        <x:v>STT</x:v>
      </x:c>
      <x:c r="B1" s="6" t="str">
        <x:v>Văn bản/nguồn</x:v>
      </x:c>
      <x:c r="C1" s="6" t="str">
        <x:v>File nguồn</x:v>
      </x:c>
      <x:c r="D1" s="6" t="str">
        <x:v>Sheet</x:v>
      </x:c>
      <x:c r="E1" s="6" t="str">
        <x:v>Vùng dữ liệu</x:v>
      </x:c>
      <x:c r="F1" s="6" t="str">
        <x:v>Loại dữ liệu</x:v>
      </x:c>
      <x:c r="G1" s="6" t="str">
        <x:v>Ghi chú/URL</x:v>
      </x:c>
    </x:row>
    <x:row r="2">
      <x:c r="A2" s="12" t="n">
        <x:v>1</x:v>
      </x:c>
      <x:c r="B2" s="12" t="str">
        <x:v>Nghị định 205/2026/NĐ-CP</x:v>
      </x:c>
      <x:c r="C2" s="12" t="str">
        <x:v>Ra_soat_sau_ND205_VATM_ANSP_day_du.xlsx</x:v>
      </x:c>
      <x:c r="D2" s="12" t="str">
        <x:v>00_Tong_quan</x:v>
      </x:c>
      <x:c r="E2" s="12" t="str">
        <x:v>A1:C5</x:v>
      </x:c>
      <x:c r="F2" s="12" t="str">
        <x:v>Sheet trong workbook nguồn</x:v>
      </x:c>
      <x:c r="G2" s="12" t="str">
        <x:v>Dùng làm căn cứ rà soát/đối chiếu.</x:v>
      </x:c>
    </x:row>
    <x:row r="3">
      <x:c r="A3" s="12" t="n">
        <x:v>2</x:v>
      </x:c>
      <x:c r="B3" s="12" t="str">
        <x:v>Nghị định 205/2026/NĐ-CP</x:v>
      </x:c>
      <x:c r="C3" s="12" t="str">
        <x:v>Ra_soat_sau_ND205_VATM_ANSP_day_du.xlsx</x:v>
      </x:c>
      <x:c r="D3" s="12" t="str">
        <x:v>01_Nhiem_vu_chi_tiet</x:v>
      </x:c>
      <x:c r="E3" s="12" t="str">
        <x:v>A1:P150</x:v>
      </x:c>
      <x:c r="F3" s="12" t="str">
        <x:v>Sheet trong workbook nguồn</x:v>
      </x:c>
      <x:c r="G3" s="12" t="str">
        <x:v>Dùng làm căn cứ rà soát/đối chiếu.</x:v>
      </x:c>
    </x:row>
    <x:row r="4">
      <x:c r="A4" s="12" t="n">
        <x:v>3</x:v>
      </x:c>
      <x:c r="B4" s="12" t="str">
        <x:v>Nghị định 205/2026/NĐ-CP</x:v>
      </x:c>
      <x:c r="C4" s="12" t="str">
        <x:v>Ra_soat_sau_ND205_VATM_ANSP_day_du.xlsx</x:v>
      </x:c>
      <x:c r="D4" s="12" t="str">
        <x:v>02_RACI</x:v>
      </x:c>
      <x:c r="E4" s="12" t="str">
        <x:v>A1:H9</x:v>
      </x:c>
      <x:c r="F4" s="12" t="str">
        <x:v>Sheet trong workbook nguồn</x:v>
      </x:c>
      <x:c r="G4" s="12" t="str">
        <x:v>Dùng làm căn cứ rà soát/đối chiếu.</x:v>
      </x:c>
    </x:row>
    <x:row r="5">
      <x:c r="A5" s="12" t="n">
        <x:v>4</x:v>
      </x:c>
      <x:c r="B5" s="12" t="str">
        <x:v>Nghị định 205/2026/NĐ-CP</x:v>
      </x:c>
      <x:c r="C5" s="12" t="str">
        <x:v>Ra_soat_sau_ND205_VATM_ANSP_day_du.xlsx</x:v>
      </x:c>
      <x:c r="D5" s="12" t="str">
        <x:v>03_Thoi_han_Ho_so</x:v>
      </x:c>
      <x:c r="E5" s="12" t="str">
        <x:v>A1:F9</x:v>
      </x:c>
      <x:c r="F5" s="12" t="str">
        <x:v>Sheet trong workbook nguồn</x:v>
      </x:c>
      <x:c r="G5" s="12" t="str">
        <x:v>Dùng làm căn cứ rà soát/đối chiếu.</x:v>
      </x:c>
    </x:row>
    <x:row r="6">
      <x:c r="A6" s="12" t="n">
        <x:v>5</x:v>
      </x:c>
      <x:c r="B6" s="12" t="str">
        <x:v>Nghị định 205/2026/NĐ-CP</x:v>
      </x:c>
      <x:c r="C6" s="12" t="str">
        <x:v>Ra_soat_sau_ND205_VATM_ANSP_day_du.xlsx</x:v>
      </x:c>
      <x:c r="D6" s="12" t="str">
        <x:v>04_Quy_trinh_can_sua</x:v>
      </x:c>
      <x:c r="E6" s="12" t="str">
        <x:v>A1:G11</x:v>
      </x:c>
      <x:c r="F6" s="12" t="str">
        <x:v>Sheet trong workbook nguồn</x:v>
      </x:c>
      <x:c r="G6" s="12" t="str">
        <x:v>Dùng làm căn cứ rà soát/đối chiếu.</x:v>
      </x:c>
    </x:row>
    <x:row r="7">
      <x:c r="A7" s="12" t="n">
        <x:v>6</x:v>
      </x:c>
      <x:c r="B7" s="12" t="str">
        <x:v>Nghị định 205/2026/NĐ-CP</x:v>
      </x:c>
      <x:c r="C7" s="12" t="str">
        <x:v>Ra_soat_sau_ND205_VATM_ANSP_day_du.xlsx</x:v>
      </x:c>
      <x:c r="D7" s="12" t="str">
        <x:v>05_Bieu_mau_HD_ky_thuat</x:v>
      </x:c>
      <x:c r="E7" s="12" t="str">
        <x:v>A1:F11</x:v>
      </x:c>
      <x:c r="F7" s="12" t="str">
        <x:v>Sheet trong workbook nguồn</x:v>
      </x:c>
      <x:c r="G7" s="12" t="str">
        <x:v>Dùng làm căn cứ rà soát/đối chiếu.</x:v>
      </x:c>
    </x:row>
    <x:row r="8">
      <x:c r="A8" s="12" t="n">
        <x:v>7</x:v>
      </x:c>
      <x:c r="B8" s="12" t="str">
        <x:v>Nghị định 205/2026/NĐ-CP</x:v>
      </x:c>
      <x:c r="C8" s="12" t="str">
        <x:v>Ra_soat_sau_ND205_VATM_ANSP_day_du.xlsx</x:v>
      </x:c>
      <x:c r="D8" s="12" t="str">
        <x:v>06_Rui_ro_Uu_tien</x:v>
      </x:c>
      <x:c r="E8" s="12" t="str">
        <x:v>A1:H9</x:v>
      </x:c>
      <x:c r="F8" s="12" t="str">
        <x:v>Sheet trong workbook nguồn</x:v>
      </x:c>
      <x:c r="G8" s="12" t="str">
        <x:v>Dùng làm căn cứ rà soát/đối chiếu.</x:v>
      </x:c>
    </x:row>
    <x:row r="9">
      <x:c r="A9" s="12" t="n">
        <x:v>8</x:v>
      </x:c>
      <x:c r="B9" s="12" t="str">
        <x:v>Nghị định 205/2026/NĐ-CP</x:v>
      </x:c>
      <x:c r="C9" s="12" t="str">
        <x:v>Ra_soat_sau_ND205_VATM_ANSP_day_du.xlsx</x:v>
      </x:c>
      <x:c r="D9" s="12" t="str">
        <x:v>07_Dashboard</x:v>
      </x:c>
      <x:c r="E9" s="12" t="str">
        <x:v>A1:B7</x:v>
      </x:c>
      <x:c r="F9" s="12" t="str">
        <x:v>Sheet trong workbook nguồn</x:v>
      </x:c>
      <x:c r="G9" s="12" t="str">
        <x:v>Dùng làm căn cứ rà soát/đối chiếu.</x:v>
      </x:c>
    </x:row>
    <x:row r="10">
      <x:c r="A10" s="12" t="n">
        <x:v>9</x:v>
      </x:c>
      <x:c r="B10" s="12" t="str">
        <x:v>Thông tư 18/2026/TT-BXD - Chương trình an toàn HKDD</x:v>
      </x:c>
      <x:c r="C10" s="12" t="str">
        <x:v>Tong_hop_nhiem_vu_TT18_2026_TT_BXD_VATM_ANSP.xlsx</x:v>
      </x:c>
      <x:c r="D10" s="12" t="str">
        <x:v>00_Tong_quan</x:v>
      </x:c>
      <x:c r="E10" s="12" t="str">
        <x:v>A1:B18</x:v>
      </x:c>
      <x:c r="F10" s="12" t="str">
        <x:v>Sheet trong workbook nguồn</x:v>
      </x:c>
      <x:c r="G10" s="12" t="str">
        <x:v>Dùng làm căn cứ rà soát/đối chiếu.</x:v>
      </x:c>
    </x:row>
    <x:row r="11">
      <x:c r="A11" s="12" t="n">
        <x:v>10</x:v>
      </x:c>
      <x:c r="B11" s="12" t="str">
        <x:v>Thông tư 18/2026/TT-BXD - Chương trình an toàn HKDD</x:v>
      </x:c>
      <x:c r="C11" s="12" t="str">
        <x:v>Tong_hop_nhiem_vu_TT18_2026_TT_BXD_VATM_ANSP.xlsx</x:v>
      </x:c>
      <x:c r="D11" s="12" t="str">
        <x:v>01_Nhiem_vu_chung</x:v>
      </x:c>
      <x:c r="E11" s="12" t="str">
        <x:v>A1:L34</x:v>
      </x:c>
      <x:c r="F11" s="12" t="str">
        <x:v>Sheet trong workbook nguồn</x:v>
      </x:c>
      <x:c r="G11" s="12" t="str">
        <x:v>Dùng làm căn cứ rà soát/đối chiếu.</x:v>
      </x:c>
    </x:row>
    <x:row r="12">
      <x:c r="A12" s="12" t="n">
        <x:v>11</x:v>
      </x:c>
      <x:c r="B12" s="12" t="str">
        <x:v>Thông tư 18/2026/TT-BXD - Chương trình an toàn HKDD</x:v>
      </x:c>
      <x:c r="C12" s="12" t="str">
        <x:v>Tong_hop_nhiem_vu_TT18_2026_TT_BXD_VATM_ANSP.xlsx</x:v>
      </x:c>
      <x:c r="D12" s="12" t="str">
        <x:v>02_ANSP_VATM</x:v>
      </x:c>
      <x:c r="E12" s="12" t="str">
        <x:v>A1:L21</x:v>
      </x:c>
      <x:c r="F12" s="12" t="str">
        <x:v>Sheet trong workbook nguồn</x:v>
      </x:c>
      <x:c r="G12" s="12" t="str">
        <x:v>Dùng làm căn cứ rà soát/đối chiếu.</x:v>
      </x:c>
    </x:row>
    <x:row r="13">
      <x:c r="A13" s="12" t="n">
        <x:v>12</x:v>
      </x:c>
      <x:c r="B13" s="12" t="str">
        <x:v>Thông tư 18/2026/TT-BXD - Chương trình an toàn HKDD</x:v>
      </x:c>
      <x:c r="C13" s="12" t="str">
        <x:v>Tong_hop_nhiem_vu_TT18_2026_TT_BXD_VATM_ANSP.xlsx</x:v>
      </x:c>
      <x:c r="D13" s="12" t="str">
        <x:v>03_SMS_PL_I</x:v>
      </x:c>
      <x:c r="E13" s="12" t="str">
        <x:v>A1:K28</x:v>
      </x:c>
      <x:c r="F13" s="12" t="str">
        <x:v>Sheet trong workbook nguồn</x:v>
      </x:c>
      <x:c r="G13" s="12" t="str">
        <x:v>Dùng làm căn cứ rà soát/đối chiếu.</x:v>
      </x:c>
    </x:row>
    <x:row r="14">
      <x:c r="A14" s="12" t="n">
        <x:v>13</x:v>
      </x:c>
      <x:c r="B14" s="12" t="str">
        <x:v>Thông tư 18/2026/TT-BXD - Chương trình an toàn HKDD</x:v>
      </x:c>
      <x:c r="C14" s="12" t="str">
        <x:v>Tong_hop_nhiem_vu_TT18_2026_TT_BXD_VATM_ANSP.xlsx</x:v>
      </x:c>
      <x:c r="D14" s="12" t="str">
        <x:v>04_SPI_PL_II</x:v>
      </x:c>
      <x:c r="E14" s="12" t="str">
        <x:v>A1:M73</x:v>
      </x:c>
      <x:c r="F14" s="12" t="str">
        <x:v>Sheet trong workbook nguồn</x:v>
      </x:c>
      <x:c r="G14" s="12" t="str">
        <x:v>Dùng làm căn cứ rà soát/đối chiếu.</x:v>
      </x:c>
    </x:row>
    <x:row r="15">
      <x:c r="A15" s="12" t="n">
        <x:v>14</x:v>
      </x:c>
      <x:c r="B15" s="12" t="str">
        <x:v>Thông tư 18/2026/TT-BXD - Chương trình an toàn HKDD</x:v>
      </x:c>
      <x:c r="C15" s="12" t="str">
        <x:v>Tong_hop_nhiem_vu_TT18_2026_TT_BXD_VATM_ANSP.xlsx</x:v>
      </x:c>
      <x:c r="D15" s="12" t="str">
        <x:v>05_MOR_PL_III</x:v>
      </x:c>
      <x:c r="E15" s="12" t="str">
        <x:v>A1:M164</x:v>
      </x:c>
      <x:c r="F15" s="12" t="str">
        <x:v>Sheet trong workbook nguồn</x:v>
      </x:c>
      <x:c r="G15" s="12" t="str">
        <x:v>Dùng làm căn cứ rà soát/đối chiếu.</x:v>
      </x:c>
    </x:row>
    <x:row r="16">
      <x:c r="A16" s="12" t="n">
        <x:v>15</x:v>
      </x:c>
      <x:c r="B16" s="12" t="str">
        <x:v>Thông tư 18/2026/TT-BXD - Chương trình an toàn HKDD</x:v>
      </x:c>
      <x:c r="C16" s="12" t="str">
        <x:v>Tong_hop_nhiem_vu_TT18_2026_TT_BXD_VATM_ANSP.xlsx</x:v>
      </x:c>
      <x:c r="D16" s="12" t="str">
        <x:v>06_Mau_MOR_PL_IV</x:v>
      </x:c>
      <x:c r="E16" s="12" t="str">
        <x:v>A1:F14</x:v>
      </x:c>
      <x:c r="F16" s="12" t="str">
        <x:v>Sheet trong workbook nguồn</x:v>
      </x:c>
      <x:c r="G16" s="12" t="str">
        <x:v>Dùng làm căn cứ rà soát/đối chiếu.</x:v>
      </x:c>
    </x:row>
    <x:row r="17">
      <x:c r="A17" s="12" t="n">
        <x:v>16</x:v>
      </x:c>
      <x:c r="B17" s="12" t="str">
        <x:v>Thông tư 18/2026/TT-BXD - Chương trình an toàn HKDD</x:v>
      </x:c>
      <x:c r="C17" s="12" t="str">
        <x:v>Tong_hop_nhiem_vu_TT18_2026_TT_BXD_VATM_ANSP.xlsx</x:v>
      </x:c>
      <x:c r="D17" s="12" t="str">
        <x:v>07_Doi_tuong</x:v>
      </x:c>
      <x:c r="E17" s="12" t="str">
        <x:v>A1:G9</x:v>
      </x:c>
      <x:c r="F17" s="12" t="str">
        <x:v>Sheet trong workbook nguồn</x:v>
      </x:c>
      <x:c r="G17" s="12" t="str">
        <x:v>Dùng làm căn cứ rà soát/đối chiếu.</x:v>
      </x:c>
    </x:row>
    <x:row r="18">
      <x:c r="A18" s="12" t="n">
        <x:v>17</x:v>
      </x:c>
      <x:c r="B18" s="12" t="str">
        <x:v>Thông tư 18/2026/TT-BXD - Chương trình an toàn HKDD</x:v>
      </x:c>
      <x:c r="C18" s="12" t="str">
        <x:v>Tong_hop_nhiem_vu_TT18_2026_TT_BXD_VATM_ANSP.xlsx</x:v>
      </x:c>
      <x:c r="D18" s="12" t="str">
        <x:v>08_Can_cu</x:v>
      </x:c>
      <x:c r="E18" s="12" t="str">
        <x:v>A1:E8</x:v>
      </x:c>
      <x:c r="F18" s="12" t="str">
        <x:v>Sheet trong workbook nguồn</x:v>
      </x:c>
      <x:c r="G18" s="12" t="str">
        <x:v>Dùng làm căn cứ rà soát/đối chiếu.</x:v>
      </x:c>
    </x:row>
    <x:row r="19">
      <x:c r="A19" s="12" t="n">
        <x:v>18</x:v>
      </x:c>
      <x:c r="B19" s="12" t="str">
        <x:v>Nghị định 215/2026/NĐ-CP về an ninh hàng không</x:v>
      </x:c>
      <x:c r="C19" s="12" t="str">
        <x:v>Tong_hop_nhiem_vu_VATM_ND215_2026_ANHK.xlsx</x:v>
      </x:c>
      <x:c r="D19" s="12" t="str">
        <x:v>README</x:v>
      </x:c>
      <x:c r="E19" s="12" t="str">
        <x:v>A1:B9</x:v>
      </x:c>
      <x:c r="F19" s="12" t="str">
        <x:v>Sheet trong workbook nguồn</x:v>
      </x:c>
      <x:c r="G19" s="12" t="str">
        <x:v>Dùng làm căn cứ rà soát/đối chiếu.</x:v>
      </x:c>
    </x:row>
    <x:row r="20">
      <x:c r="A20" s="12" t="n">
        <x:v>19</x:v>
      </x:c>
      <x:c r="B20" s="12" t="str">
        <x:v>Nghị định 215/2026/NĐ-CP về an ninh hàng không</x:v>
      </x:c>
      <x:c r="C20" s="12" t="str">
        <x:v>Tong_hop_nhiem_vu_VATM_ND215_2026_ANHK.xlsx</x:v>
      </x:c>
      <x:c r="D20" s="12" t="str">
        <x:v>Nhiem_vu_VATM</x:v>
      </x:c>
      <x:c r="E20" s="12" t="str">
        <x:v>A1:S85</x:v>
      </x:c>
      <x:c r="F20" s="12" t="str">
        <x:v>Sheet trong workbook nguồn</x:v>
      </x:c>
      <x:c r="G20" s="12" t="str">
        <x:v>Dùng làm căn cứ rà soát/đối chiếu.</x:v>
      </x:c>
    </x:row>
    <x:row r="21">
      <x:c r="A21" s="12" t="n">
        <x:v>20</x:v>
      </x:c>
      <x:c r="B21" s="12" t="str">
        <x:v>Nghị định 215/2026/NĐ-CP về an ninh hàng không</x:v>
      </x:c>
      <x:c r="C21" s="12" t="str">
        <x:v>Tong_hop_nhiem_vu_VATM_ND215_2026_ANHK.xlsx</x:v>
      </x:c>
      <x:c r="D21" s="12" t="str">
        <x:v>Tong_hop</x:v>
      </x:c>
      <x:c r="E21" s="12" t="str">
        <x:v>A1:F81</x:v>
      </x:c>
      <x:c r="F21" s="12" t="str">
        <x:v>Sheet trong workbook nguồn</x:v>
      </x:c>
      <x:c r="G21" s="12" t="str">
        <x:v>Dùng làm căn cứ rà soát/đối chiếu.</x:v>
      </x:c>
    </x:row>
    <x:row r="22">
      <x:c r="A22" s="12" t="n">
        <x:v>21</x:v>
      </x:c>
      <x:c r="B22" s="12" t="str">
        <x:v>Nghị định 215/2026/NĐ-CP về an ninh hàng không</x:v>
      </x:c>
      <x:c r="C22" s="12" t="str">
        <x:v>Tong_hop_nhiem_vu_VATM_ND215_2026_ANHK.xlsx</x:v>
      </x:c>
      <x:c r="D22" s="12" t="str">
        <x:v>RACI_tong_hop</x:v>
      </x:c>
      <x:c r="E22" s="12" t="str">
        <x:v>A1:F11</x:v>
      </x:c>
      <x:c r="F22" s="12" t="str">
        <x:v>Sheet trong workbook nguồn</x:v>
      </x:c>
      <x:c r="G22" s="12" t="str">
        <x:v>Dùng làm căn cứ rà soát/đối chiếu.</x:v>
      </x:c>
    </x:row>
    <x:row r="23">
      <x:c r="A23" s="12" t="n">
        <x:v>22</x:v>
      </x:c>
      <x:c r="B23" s="12" t="str">
        <x:v>Nghị định 215/2026/NĐ-CP về an ninh hàng không</x:v>
      </x:c>
      <x:c r="C23" s="12" t="str">
        <x:v>Tong_hop_nhiem_vu_VATM_ND215_2026_ANHK.xlsx</x:v>
      </x:c>
      <x:c r="D23" s="12" t="str">
        <x:v>Quy_trinh_Bieu_mau</x:v>
      </x:c>
      <x:c r="E23" s="12" t="str">
        <x:v>A1:G16</x:v>
      </x:c>
      <x:c r="F23" s="12" t="str">
        <x:v>Sheet trong workbook nguồn</x:v>
      </x:c>
      <x:c r="G23" s="12" t="str">
        <x:v>Dùng làm căn cứ rà soát/đối chiếu.</x:v>
      </x:c>
    </x:row>
    <x:row r="24">
      <x:c r="A24" s="12" t="n">
        <x:v>23</x:v>
      </x:c>
      <x:c r="B24" s="12" t="str">
        <x:v>Nghị định 215/2026/NĐ-CP về an ninh hàng không</x:v>
      </x:c>
      <x:c r="C24" s="12" t="str">
        <x:v>Tong_hop_nhiem_vu_VATM_ND215_2026_ANHK.xlsx</x:v>
      </x:c>
      <x:c r="D24" s="12" t="str">
        <x:v>Ke_hoach_90_ngay</x:v>
      </x:c>
      <x:c r="E24" s="12" t="str">
        <x:v>A1:E7</x:v>
      </x:c>
      <x:c r="F24" s="12" t="str">
        <x:v>Sheet trong workbook nguồn</x:v>
      </x:c>
      <x:c r="G24" s="12" t="str">
        <x:v>Dùng làm căn cứ rà soát/đối chiếu.</x:v>
      </x:c>
    </x:row>
    <x:row r="25">
      <x:c r="A25" s="12" t="n">
        <x:v>24</x:v>
      </x:c>
      <x:c r="B25" s="12" t="str">
        <x:v>Dự thảo Nghị định về hoạt động bay (01/07/2026)</x:v>
      </x:c>
      <x:c r="C25" s="12" t="str">
        <x:v>VATM_Ra_soat_du_thao_ND_hoat_dong_bay_01072026_NANG_CAP.xlsx</x:v>
      </x:c>
      <x:c r="D25" s="12" t="str">
        <x:v>00_Dashboard</x:v>
      </x:c>
      <x:c r="E25" s="12" t="str">
        <x:v>A1:F22</x:v>
      </x:c>
      <x:c r="F25" s="12" t="str">
        <x:v>Sheet trong workbook nguồn</x:v>
      </x:c>
      <x:c r="G25" s="12" t="str">
        <x:v>Dùng làm căn cứ rà soát/đối chiếu.</x:v>
      </x:c>
    </x:row>
    <x:row r="26">
      <x:c r="A26" s="12" t="n">
        <x:v>25</x:v>
      </x:c>
      <x:c r="B26" s="12" t="str">
        <x:v>Dự thảo Nghị định về hoạt động bay (01/07/2026)</x:v>
      </x:c>
      <x:c r="C26" s="12" t="str">
        <x:v>VATM_Ra_soat_du_thao_ND_hoat_dong_bay_01072026_NANG_CAP.xlsx</x:v>
      </x:c>
      <x:c r="D26" s="12" t="str">
        <x:v>01_Nguon</x:v>
      </x:c>
      <x:c r="E26" s="12" t="str">
        <x:v>A1:E9</x:v>
      </x:c>
      <x:c r="F26" s="12" t="str">
        <x:v>Sheet trong workbook nguồn</x:v>
      </x:c>
      <x:c r="G26" s="12" t="str">
        <x:v>Dùng làm căn cứ rà soát/đối chiếu.</x:v>
      </x:c>
    </x:row>
    <x:row r="27">
      <x:c r="A27" s="12" t="n">
        <x:v>26</x:v>
      </x:c>
      <x:c r="B27" s="12" t="str">
        <x:v>Dự thảo Nghị định về hoạt động bay (01/07/2026)</x:v>
      </x:c>
      <x:c r="C27" s="12" t="str">
        <x:v>VATM_Ra_soat_du_thao_ND_hoat_dong_bay_01072026_NANG_CAP.xlsx</x:v>
      </x:c>
      <x:c r="D27" s="12" t="str">
        <x:v>02_Dieu_khoan</x:v>
      </x:c>
      <x:c r="E27" s="12" t="str">
        <x:v>A1:T141</x:v>
      </x:c>
      <x:c r="F27" s="12" t="str">
        <x:v>Sheet trong workbook nguồn</x:v>
      </x:c>
      <x:c r="G27" s="12" t="str">
        <x:v>Dùng làm căn cứ rà soát/đối chiếu.</x:v>
      </x:c>
    </x:row>
    <x:row r="28">
      <x:c r="A28" s="12" t="n">
        <x:v>27</x:v>
      </x:c>
      <x:c r="B28" s="12" t="str">
        <x:v>Dự thảo Nghị định về hoạt động bay (01/07/2026)</x:v>
      </x:c>
      <x:c r="C28" s="12" t="str">
        <x:v>VATM_Ra_soat_du_thao_ND_hoat_dong_bay_01072026_NANG_CAP.xlsx</x:v>
      </x:c>
      <x:c r="D28" s="12" t="str">
        <x:v>03_Phu_luc</x:v>
      </x:c>
      <x:c r="E28" s="12" t="str">
        <x:v>A1:O25</x:v>
      </x:c>
      <x:c r="F28" s="12" t="str">
        <x:v>Sheet trong workbook nguồn</x:v>
      </x:c>
      <x:c r="G28" s="12" t="str">
        <x:v>Dùng làm căn cứ rà soát/đối chiếu.</x:v>
      </x:c>
    </x:row>
    <x:row r="29">
      <x:c r="A29" s="12" t="n">
        <x:v>28</x:v>
      </x:c>
      <x:c r="B29" s="12" t="str">
        <x:v>Dự thảo Nghị định về hoạt động bay (01/07/2026)</x:v>
      </x:c>
      <x:c r="C29" s="12" t="str">
        <x:v>VATM_Ra_soat_du_thao_ND_hoat_dong_bay_01072026_NANG_CAP.xlsx</x:v>
      </x:c>
      <x:c r="D29" s="12" t="str">
        <x:v>04_Nhiem_vu</x:v>
      </x:c>
      <x:c r="E29" s="12" t="str">
        <x:v>A1:N39</x:v>
      </x:c>
      <x:c r="F29" s="12" t="str">
        <x:v>Sheet trong workbook nguồn</x:v>
      </x:c>
      <x:c r="G29" s="12" t="str">
        <x:v>Dùng làm căn cứ rà soát/đối chiếu.</x:v>
      </x:c>
    </x:row>
    <x:row r="30">
      <x:c r="A30" s="12" t="n">
        <x:v>29</x:v>
      </x:c>
      <x:c r="B30" s="12" t="str">
        <x:v>Dự thảo Nghị định về hoạt động bay (01/07/2026)</x:v>
      </x:c>
      <x:c r="C30" s="12" t="str">
        <x:v>VATM_Ra_soat_du_thao_ND_hoat_dong_bay_01072026_NANG_CAP.xlsx</x:v>
      </x:c>
      <x:c r="D30" s="12" t="str">
        <x:v>05_Lo_trinh</x:v>
      </x:c>
      <x:c r="E30" s="12" t="str">
        <x:v>A1:H7</x:v>
      </x:c>
      <x:c r="F30" s="12" t="str">
        <x:v>Sheet trong workbook nguồn</x:v>
      </x:c>
      <x:c r="G30" s="12" t="str">
        <x:v>Dùng làm căn cứ rà soát/đối chiếu.</x:v>
      </x:c>
    </x:row>
    <x:row r="31">
      <x:c r="A31" s="12" t="n">
        <x:v>30</x:v>
      </x:c>
      <x:c r="B31" s="12" t="str">
        <x:v>Dự thảo Nghị định về hoạt động bay (01/07/2026)</x:v>
      </x:c>
      <x:c r="C31" s="12" t="str">
        <x:v>VATM_Ra_soat_du_thao_ND_hoat_dong_bay_01072026_NANG_CAP.xlsx</x:v>
      </x:c>
      <x:c r="D31" s="12" t="str">
        <x:v>06_KPI_CL</x:v>
      </x:c>
      <x:c r="E31" s="12" t="str">
        <x:v>A1:G13</x:v>
      </x:c>
      <x:c r="F31" s="12" t="str">
        <x:v>Sheet trong workbook nguồn</x:v>
      </x:c>
      <x:c r="G31" s="12" t="str">
        <x:v>Dùng làm căn cứ rà soát/đối chiếu.</x:v>
      </x:c>
    </x:row>
    <x:row r="32">
      <x:c r="A32" s="12" t="n">
        <x:v>31</x:v>
      </x:c>
      <x:c r="B32" s="12" t="str">
        <x:v>Dự thảo Nghị định về hoạt động bay (01/07/2026)</x:v>
      </x:c>
      <x:c r="C32" s="12" t="str">
        <x:v>VATM_Ra_soat_du_thao_ND_hoat_dong_bay_01072026_NANG_CAP.xlsx</x:v>
      </x:c>
      <x:c r="D32" s="12" t="str">
        <x:v>07_Diem_moi</x:v>
      </x:c>
      <x:c r="E32" s="12" t="str">
        <x:v>A1:H19</x:v>
      </x:c>
      <x:c r="F32" s="12" t="str">
        <x:v>Sheet trong workbook nguồn</x:v>
      </x:c>
      <x:c r="G32" s="12" t="str">
        <x:v>Dùng làm căn cứ rà soát/đối chiếu.</x:v>
      </x:c>
    </x:row>
    <x:row r="33">
      <x:c r="A33" s="12" t="n">
        <x:v>32</x:v>
      </x:c>
      <x:c r="B33" s="12" t="str">
        <x:v>Dự thảo Nghị định về hoạt động bay (01/07/2026)</x:v>
      </x:c>
      <x:c r="C33" s="12" t="str">
        <x:v>VATM_Ra_soat_du_thao_ND_hoat_dong_bay_01072026_NANG_CAP.xlsx</x:v>
      </x:c>
      <x:c r="D33" s="12" t="str">
        <x:v>08_RACI</x:v>
      </x:c>
      <x:c r="E33" s="12" t="str">
        <x:v>A1:F14</x:v>
      </x:c>
      <x:c r="F33" s="12" t="str">
        <x:v>Sheet trong workbook nguồn</x:v>
      </x:c>
      <x:c r="G33" s="12" t="str">
        <x:v>Dùng làm căn cứ rà soát/đối chiếu.</x:v>
      </x:c>
    </x:row>
    <x:row r="34">
      <x:c r="A34" s="12" t="n">
        <x:v>33</x:v>
      </x:c>
      <x:c r="B34" s="12" t="str">
        <x:v>Dự thảo Nghị định về hoạt động bay (01/07/2026)</x:v>
      </x:c>
      <x:c r="C34" s="12" t="str">
        <x:v>VATM_Ra_soat_du_thao_ND_hoat_dong_bay_01072026_NANG_CAP.xlsx</x:v>
      </x:c>
      <x:c r="D34" s="12" t="str">
        <x:v>09_Checklist</x:v>
      </x:c>
      <x:c r="E34" s="12" t="str">
        <x:v>A1:H23</x:v>
      </x:c>
      <x:c r="F34" s="12" t="str">
        <x:v>Sheet trong workbook nguồn</x:v>
      </x:c>
      <x:c r="G34" s="12" t="str">
        <x:v>Dùng làm căn cứ rà soát/đối chiếu.</x:v>
      </x:c>
    </x:row>
    <x:row r="35">
      <x:c r="A35" s="12" t="n">
        <x:v>34</x:v>
      </x:c>
      <x:c r="B35" s="12" t="str">
        <x:v>Dự thảo Nghị định về hoạt động bay (01/07/2026)</x:v>
      </x:c>
      <x:c r="C35" s="12" t="str">
        <x:v>VATM_Ra_soat_du_thao_ND_hoat_dong_bay_01072026_NANG_CAP.xlsx</x:v>
      </x:c>
      <x:c r="D35" s="12" t="str">
        <x:v>10_Phuong_phap</x:v>
      </x:c>
      <x:c r="E35" s="12" t="str">
        <x:v>A1:B7</x:v>
      </x:c>
      <x:c r="F35" s="12" t="str">
        <x:v>Sheet trong workbook nguồn</x:v>
      </x:c>
      <x:c r="G35" s="12" t="str">
        <x:v>Dùng làm căn cứ rà soát/đối chiếu.</x:v>
      </x:c>
    </x:row>
    <x:row r="36">
      <x:c r="A36" s="12" t="n">
        <x:v>35</x:v>
      </x:c>
      <x:c r="B36" s="12" t="str">
        <x:v>Dự thảo Nghị định về Nhà chức trách HKVN &amp; quản lý an toàn HK (01/07/2026)</x:v>
      </x:c>
      <x:c r="C36" s="12" t="str">
        <x:v>VATM_Ra_soat_du_thao_ND_Nha_chuc_trach_QLAT_01072026.xlsx</x:v>
      </x:c>
      <x:c r="D36" s="12" t="str">
        <x:v>Dashboard</x:v>
      </x:c>
      <x:c r="E36" s="12" t="str">
        <x:v>A1:K24</x:v>
      </x:c>
      <x:c r="F36" s="12" t="str">
        <x:v>Sheet trong workbook nguồn</x:v>
      </x:c>
      <x:c r="G36" s="12" t="str">
        <x:v>Dùng làm căn cứ rà soát/đối chiếu.</x:v>
      </x:c>
    </x:row>
    <x:row r="37">
      <x:c r="A37" s="12" t="n">
        <x:v>36</x:v>
      </x:c>
      <x:c r="B37" s="12" t="str">
        <x:v>Dự thảo Nghị định về Nhà chức trách HKVN &amp; quản lý an toàn HK (01/07/2026)</x:v>
      </x:c>
      <x:c r="C37" s="12" t="str">
        <x:v>VATM_Ra_soat_du_thao_ND_Nha_chuc_trach_QLAT_01072026.xlsx</x:v>
      </x:c>
      <x:c r="D37" s="12" t="str">
        <x:v>Nguon_PL</x:v>
      </x:c>
      <x:c r="E37" s="12" t="str">
        <x:v>A1:F13</x:v>
      </x:c>
      <x:c r="F37" s="12" t="str">
        <x:v>Sheet trong workbook nguồn</x:v>
      </x:c>
      <x:c r="G37" s="12" t="str">
        <x:v>Dùng làm căn cứ rà soát/đối chiếu.</x:v>
      </x:c>
    </x:row>
    <x:row r="38">
      <x:c r="A38" s="12" t="n">
        <x:v>37</x:v>
      </x:c>
      <x:c r="B38" s="12" t="str">
        <x:v>Dự thảo Nghị định về Nhà chức trách HKVN &amp; quản lý an toàn HK (01/07/2026)</x:v>
      </x:c>
      <x:c r="C38" s="12" t="str">
        <x:v>VATM_Ra_soat_du_thao_ND_Nha_chuc_trach_QLAT_01072026.xlsx</x:v>
      </x:c>
      <x:c r="D38" s="12" t="str">
        <x:v>Ra_soat_Dieu</x:v>
      </x:c>
      <x:c r="E38" s="12" t="str">
        <x:v>A1:P87</x:v>
      </x:c>
      <x:c r="F38" s="12" t="str">
        <x:v>Sheet trong workbook nguồn</x:v>
      </x:c>
      <x:c r="G38" s="12" t="str">
        <x:v>Dùng làm căn cứ rà soát/đối chiếu.</x:v>
      </x:c>
    </x:row>
    <x:row r="39">
      <x:c r="A39" s="12" t="n">
        <x:v>38</x:v>
      </x:c>
      <x:c r="B39" s="12" t="str">
        <x:v>Dự thảo Nghị định về Nhà chức trách HKVN &amp; quản lý an toàn HK (01/07/2026)</x:v>
      </x:c>
      <x:c r="C39" s="12" t="str">
        <x:v>VATM_Ra_soat_du_thao_ND_Nha_chuc_trach_QLAT_01072026.xlsx</x:v>
      </x:c>
      <x:c r="D39" s="12" t="str">
        <x:v>Phu_luc_Mau</x:v>
      </x:c>
      <x:c r="E39" s="12" t="str">
        <x:v>A1:J18</x:v>
      </x:c>
      <x:c r="F39" s="12" t="str">
        <x:v>Sheet trong workbook nguồn</x:v>
      </x:c>
      <x:c r="G39" s="12" t="str">
        <x:v>Dùng làm căn cứ rà soát/đối chiếu.</x:v>
      </x:c>
    </x:row>
    <x:row r="40">
      <x:c r="A40" s="12" t="n">
        <x:v>39</x:v>
      </x:c>
      <x:c r="B40" s="12" t="str">
        <x:v>Dự thảo Nghị định về Nhà chức trách HKVN &amp; quản lý an toàn HK (01/07/2026)</x:v>
      </x:c>
      <x:c r="C40" s="12" t="str">
        <x:v>VATM_Ra_soat_du_thao_ND_Nha_chuc_trach_QLAT_01072026.xlsx</x:v>
      </x:c>
      <x:c r="D40" s="12" t="str">
        <x:v>Nhiem_vu_VATM</x:v>
      </x:c>
      <x:c r="E40" s="12" t="str">
        <x:v>A1:K79</x:v>
      </x:c>
      <x:c r="F40" s="12" t="str">
        <x:v>Sheet trong workbook nguồn</x:v>
      </x:c>
      <x:c r="G40" s="12" t="str">
        <x:v>Dùng làm căn cứ rà soát/đối chiếu.</x:v>
      </x:c>
    </x:row>
    <x:row r="41">
      <x:c r="A41" s="12" t="n">
        <x:v>40</x:v>
      </x:c>
      <x:c r="B41" s="12" t="str">
        <x:v>Dự thảo Nghị định về Nhà chức trách HKVN &amp; quản lý an toàn HK (01/07/2026)</x:v>
      </x:c>
      <x:c r="C41" s="12" t="str">
        <x:v>VATM_Ra_soat_du_thao_ND_Nha_chuc_trach_QLAT_01072026.xlsx</x:v>
      </x:c>
      <x:c r="D41" s="12" t="str">
        <x:v>Diem_moi_01072026</x:v>
      </x:c>
      <x:c r="E41" s="12" t="str">
        <x:v>A1:H25</x:v>
      </x:c>
      <x:c r="F41" s="12" t="str">
        <x:v>Sheet trong workbook nguồn</x:v>
      </x:c>
      <x:c r="G41" s="12" t="str">
        <x:v>Dùng làm căn cứ rà soát/đối chiếu.</x:v>
      </x:c>
    </x:row>
    <x:row r="42">
      <x:c r="A42" s="12" t="n">
        <x:v>41</x:v>
      </x:c>
      <x:c r="B42" s="12" t="str">
        <x:v>Dự thảo Nghị định về Nhà chức trách HKVN &amp; quản lý an toàn HK (01/07/2026)</x:v>
      </x:c>
      <x:c r="C42" s="12" t="str">
        <x:v>VATM_Ra_soat_du_thao_ND_Nha_chuc_trach_QLAT_01072026.xlsx</x:v>
      </x:c>
      <x:c r="D42" s="12" t="str">
        <x:v>Lo_trinh</x:v>
      </x:c>
      <x:c r="E42" s="12" t="str">
        <x:v>A1:G7</x:v>
      </x:c>
      <x:c r="F42" s="12" t="str">
        <x:v>Sheet trong workbook nguồn</x:v>
      </x:c>
      <x:c r="G42" s="12" t="str">
        <x:v>Dùng làm căn cứ rà soát/đối chiếu.</x:v>
      </x:c>
    </x:row>
    <x:row r="43">
      <x:c r="A43" s="12" t="n">
        <x:v>42</x:v>
      </x:c>
      <x:c r="B43" s="12" t="str">
        <x:v>Dự thảo Nghị định về Nhà chức trách HKVN &amp; quản lý an toàn HK (01/07/2026)</x:v>
      </x:c>
      <x:c r="C43" s="12" t="str">
        <x:v>VATM_Ra_soat_du_thao_ND_Nha_chuc_trach_QLAT_01072026.xlsx</x:v>
      </x:c>
      <x:c r="D43" s="12" t="str">
        <x:v>RACI_KPI</x:v>
      </x:c>
      <x:c r="E43" s="12" t="str">
        <x:v>A1:H25</x:v>
      </x:c>
      <x:c r="F43" s="12" t="str">
        <x:v>Sheet trong workbook nguồn</x:v>
      </x:c>
      <x:c r="G43" s="12" t="str">
        <x:v>Dùng làm căn cứ rà soát/đối chiếu.</x:v>
      </x:c>
    </x:row>
    <x:row r="44">
      <x:c r="A44" s="12" t="n">
        <x:v>43</x:v>
      </x:c>
      <x:c r="B44" s="12" t="str">
        <x:v>Dự thảo Nghị định về Nhà chức trách HKVN &amp; quản lý an toàn HK (01/07/2026)</x:v>
      </x:c>
      <x:c r="C44" s="12" t="str">
        <x:v>VATM_Ra_soat_du_thao_ND_Nha_chuc_trach_QLAT_01072026.xlsx</x:v>
      </x:c>
      <x:c r="D44" s="12" t="str">
        <x:v>Lien_thong_HDB</x:v>
      </x:c>
      <x:c r="E44" s="12" t="str">
        <x:v>A1:F13</x:v>
      </x:c>
      <x:c r="F44" s="12" t="str">
        <x:v>Sheet trong workbook nguồn</x:v>
      </x:c>
      <x:c r="G44" s="12" t="str">
        <x:v>Dùng làm căn cứ rà soát/đối chiếu.</x:v>
      </x:c>
    </x:row>
    <x:row r="45">
      <x:c r="A45" s="12" t="n">
        <x:v>44</x:v>
      </x:c>
      <x:c r="B45" s="12" t="str">
        <x:v>Dự thảo Nghị định về Nhà chức trách HKVN &amp; quản lý an toàn HK (01/07/2026)</x:v>
      </x:c>
      <x:c r="C45" s="12" t="str">
        <x:v>VATM_Ra_soat_du_thao_ND_Nha_chuc_trach_QLAT_01072026.xlsx</x:v>
      </x:c>
      <x:c r="D45" s="12" t="str">
        <x:v>Checklist</x:v>
      </x:c>
      <x:c r="E45" s="12" t="str">
        <x:v>A1:G21</x:v>
      </x:c>
      <x:c r="F45" s="12" t="str">
        <x:v>Sheet trong workbook nguồn</x:v>
      </x:c>
      <x:c r="G45" s="12" t="str">
        <x:v>Dùng làm căn cứ rà soát/đối chiếu.</x:v>
      </x:c>
    </x:row>
    <x:row r="46">
      <x:c r="A46" s="12" t="n">
        <x:v>45</x:v>
      </x:c>
      <x:c r="B46" s="12" t="str">
        <x:v>Dự thảo Nghị định về Nhà chức trách HKVN &amp; quản lý an toàn HK (01/07/2026)</x:v>
      </x:c>
      <x:c r="C46" s="12" t="str">
        <x:v>VATM_Ra_soat_du_thao_ND_Nha_chuc_trach_QLAT_01072026.xlsx</x:v>
      </x:c>
      <x:c r="D46" s="12" t="str">
        <x:v>Phuong_phap</x:v>
      </x:c>
      <x:c r="E46" s="12" t="str">
        <x:v>A1:G11</x:v>
      </x:c>
      <x:c r="F46" s="12" t="str">
        <x:v>Sheet trong workbook nguồn</x:v>
      </x:c>
      <x:c r="G46" s="12" t="str">
        <x:v>Dùng làm căn cứ rà soát/đối chiếu.</x:v>
      </x:c>
    </x:row>
    <x:row r="47">
      <x:c r="A47" s="12" t="n">
        <x:v>46</x:v>
      </x:c>
      <x:c r="B47" s="12" t="str">
        <x:v>Dự thảo Nghị định về Nhà chức trách HKVN &amp; quản lý an toàn HK (01/07/2026)</x:v>
      </x:c>
      <x:c r="C47" s="12" t="str">
        <x:v>VATM_Ra_soat_du_thao_ND_Nha_chuc_trach_QLAT_01072026.xlsx</x:v>
      </x:c>
      <x:c r="D47" s="12" t="str">
        <x:v>Huong_dan_doc</x:v>
      </x:c>
      <x:c r="E47" s="12" t="str">
        <x:v>A1:B12</x:v>
      </x:c>
      <x:c r="F47" s="12" t="str">
        <x:v>Sheet trong workbook nguồn</x:v>
      </x:c>
      <x:c r="G47" s="12" t="str">
        <x:v>Dùng làm căn cứ rà soát/đối chiếu.</x:v>
      </x:c>
    </x:row>
    <x:row r="48">
      <x:c r="A48" s="12" t="n">
        <x:v>47</x:v>
      </x:c>
      <x:c r="B48" s="12" t="str">
        <x:v>Luật HKDD Việt Nam số 130/2025/QH15</x:v>
      </x:c>
      <x:c r="C48" s="12" t="str">
        <x:v>VATM_Ra_soat_Luat_HKDD_130_2025_QH15_nhiem_vu_01072026.xlsx</x:v>
      </x:c>
      <x:c r="D48" s="12" t="str">
        <x:v>Dashboard</x:v>
      </x:c>
      <x:c r="E48" s="12" t="str">
        <x:v>A1:I19</x:v>
      </x:c>
      <x:c r="F48" s="12" t="str">
        <x:v>Sheet trong workbook nguồn</x:v>
      </x:c>
      <x:c r="G48" s="12" t="str">
        <x:v>Dùng làm căn cứ rà soát/đối chiếu.</x:v>
      </x:c>
    </x:row>
    <x:row r="49">
      <x:c r="A49" s="12" t="n">
        <x:v>48</x:v>
      </x:c>
      <x:c r="B49" s="12" t="str">
        <x:v>Luật HKDD Việt Nam số 130/2025/QH15</x:v>
      </x:c>
      <x:c r="C49" s="12" t="str">
        <x:v>VATM_Ra_soat_Luat_HKDD_130_2025_QH15_nhiem_vu_01072026.xlsx</x:v>
      </x:c>
      <x:c r="D49" s="12" t="str">
        <x:v>Nguon_phap_ly</x:v>
      </x:c>
      <x:c r="E49" s="12" t="str">
        <x:v>A1:E10</x:v>
      </x:c>
      <x:c r="F49" s="12" t="str">
        <x:v>Sheet trong workbook nguồn</x:v>
      </x:c>
      <x:c r="G49" s="12" t="str">
        <x:v>Dùng làm căn cứ rà soát/đối chiếu.</x:v>
      </x:c>
    </x:row>
    <x:row r="50">
      <x:c r="A50" s="12" t="n">
        <x:v>49</x:v>
      </x:c>
      <x:c r="B50" s="12" t="str">
        <x:v>Luật HKDD Việt Nam số 130/2025/QH15</x:v>
      </x:c>
      <x:c r="C50" s="12" t="str">
        <x:v>VATM_Ra_soat_Luat_HKDD_130_2025_QH15_nhiem_vu_01072026.xlsx</x:v>
      </x:c>
      <x:c r="D50" s="12" t="str">
        <x:v>Ra_soat_dieu_khoan</x:v>
      </x:c>
      <x:c r="E50" s="12" t="str">
        <x:v>A1:R111</x:v>
      </x:c>
      <x:c r="F50" s="12" t="str">
        <x:v>Sheet trong workbook nguồn</x:v>
      </x:c>
      <x:c r="G50" s="12" t="str">
        <x:v>Dùng làm căn cứ rà soát/đối chiếu.</x:v>
      </x:c>
    </x:row>
    <x:row r="51">
      <x:c r="A51" s="12" t="n">
        <x:v>50</x:v>
      </x:c>
      <x:c r="B51" s="12" t="str">
        <x:v>Luật HKDD Việt Nam số 130/2025/QH15</x:v>
      </x:c>
      <x:c r="C51" s="12" t="str">
        <x:v>VATM_Ra_soat_Luat_HKDD_130_2025_QH15_nhiem_vu_01072026.xlsx</x:v>
      </x:c>
      <x:c r="D51" s="12" t="str">
        <x:v>Nhiem_vu_VATM</x:v>
      </x:c>
      <x:c r="E51" s="12" t="str">
        <x:v>A1:P63</x:v>
      </x:c>
      <x:c r="F51" s="12" t="str">
        <x:v>Sheet trong workbook nguồn</x:v>
      </x:c>
      <x:c r="G51" s="12" t="str">
        <x:v>Dùng làm căn cứ rà soát/đối chiếu.</x:v>
      </x:c>
    </x:row>
    <x:row r="52">
      <x:c r="A52" s="12" t="n">
        <x:v>51</x:v>
      </x:c>
      <x:c r="B52" s="12" t="str">
        <x:v>Luật HKDD Việt Nam số 130/2025/QH15</x:v>
      </x:c>
      <x:c r="C52" s="12" t="str">
        <x:v>VATM_Ra_soat_Luat_HKDD_130_2025_QH15_nhiem_vu_01072026.xlsx</x:v>
      </x:c>
      <x:c r="D52" s="12" t="str">
        <x:v>Diem_moi_01072026</x:v>
      </x:c>
      <x:c r="E52" s="12" t="str">
        <x:v>A1:I34</x:v>
      </x:c>
      <x:c r="F52" s="12" t="str">
        <x:v>Sheet trong workbook nguồn</x:v>
      </x:c>
      <x:c r="G52" s="12" t="str">
        <x:v>Dùng làm căn cứ rà soát/đối chiếu.</x:v>
      </x:c>
    </x:row>
    <x:row r="53">
      <x:c r="A53" s="12" t="n">
        <x:v>52</x:v>
      </x:c>
      <x:c r="B53" s="12" t="str">
        <x:v>Luật HKDD Việt Nam số 130/2025/QH15</x:v>
      </x:c>
      <x:c r="C53" s="12" t="str">
        <x:v>VATM_Ra_soat_Luat_HKDD_130_2025_QH15_nhiem_vu_01072026.xlsx</x:v>
      </x:c>
      <x:c r="D53" s="12" t="str">
        <x:v>Lo_trinh</x:v>
      </x:c>
      <x:c r="E53" s="12" t="str">
        <x:v>A1:I13</x:v>
      </x:c>
      <x:c r="F53" s="12" t="str">
        <x:v>Sheet trong workbook nguồn</x:v>
      </x:c>
      <x:c r="G53" s="12" t="str">
        <x:v>Dùng làm căn cứ rà soát/đối chiếu.</x:v>
      </x:c>
    </x:row>
    <x:row r="54">
      <x:c r="A54" s="12" t="n">
        <x:v>53</x:v>
      </x:c>
      <x:c r="B54" s="12" t="str">
        <x:v>Luật HKDD Việt Nam số 130/2025/QH15</x:v>
      </x:c>
      <x:c r="C54" s="12" t="str">
        <x:v>VATM_Ra_soat_Luat_HKDD_130_2025_QH15_nhiem_vu_01072026.xlsx</x:v>
      </x:c>
      <x:c r="D54" s="12" t="str">
        <x:v>RACI</x:v>
      </x:c>
      <x:c r="E54" s="12" t="str">
        <x:v>A1:S23</x:v>
      </x:c>
      <x:c r="F54" s="12" t="str">
        <x:v>Sheet trong workbook nguồn</x:v>
      </x:c>
      <x:c r="G54" s="12" t="str">
        <x:v>Dùng làm căn cứ rà soát/đối chiếu.</x:v>
      </x:c>
    </x:row>
    <x:row r="55">
      <x:c r="A55" s="12" t="n">
        <x:v>54</x:v>
      </x:c>
      <x:c r="B55" s="12" t="str">
        <x:v>Luật HKDD Việt Nam số 130/2025/QH15</x:v>
      </x:c>
      <x:c r="C55" s="12" t="str">
        <x:v>VATM_Ra_soat_Luat_HKDD_130_2025_QH15_nhiem_vu_01072026.xlsx</x:v>
      </x:c>
      <x:c r="D55" s="12" t="str">
        <x:v>San_pham_KPI</x:v>
      </x:c>
      <x:c r="E55" s="12" t="str">
        <x:v>A1:I29</x:v>
      </x:c>
      <x:c r="F55" s="12" t="str">
        <x:v>Sheet trong workbook nguồn</x:v>
      </x:c>
      <x:c r="G55" s="12" t="str">
        <x:v>Dùng làm căn cứ rà soát/đối chiếu.</x:v>
      </x:c>
    </x:row>
    <x:row r="56">
      <x:c r="A56" s="12" t="n">
        <x:v>55</x:v>
      </x:c>
      <x:c r="B56" s="12" t="str">
        <x:v>Luật HKDD Việt Nam số 130/2025/QH15</x:v>
      </x:c>
      <x:c r="C56" s="12" t="str">
        <x:v>VATM_Ra_soat_Luat_HKDD_130_2025_QH15_nhiem_vu_01072026.xlsx</x:v>
      </x:c>
      <x:c r="D56" s="12" t="str">
        <x:v>Danh_muc</x:v>
      </x:c>
      <x:c r="E56" s="12" t="str">
        <x:v>A1:D5</x:v>
      </x:c>
      <x:c r="F56" s="12" t="str">
        <x:v>Sheet trong workbook nguồn</x:v>
      </x:c>
      <x:c r="G56" s="12" t="str">
        <x:v>Dùng làm căn cứ rà soát/đối chiếu.</x:v>
      </x:c>
    </x:row>
    <x:row r="57">
      <x:c r="A57" s="12" t="n">
        <x:v>56</x:v>
      </x:c>
      <x:c r="B57" s="12" t="str">
        <x:v>Thông tư 18/2026/TT-BXD - Chương trình an toàn HKDD</x:v>
      </x:c>
      <x:c r="C57" s="12" t="str">
        <x:v>Tong_hop_nhiem_vu_TT18_2026_TT_BXD_VATM_ANSP.xlsx</x:v>
      </x:c>
      <x:c r="D57" s="12" t="str">
        <x:v>01_Nhiem_vu_chung</x:v>
      </x:c>
      <x:c r="E57" s="12" t="str">
        <x:v>Dòng 2</x:v>
      </x:c>
      <x:c r="F57" s="12" t="str">
        <x:v>URL căn cứ pháp lý</x:v>
      </x:c>
      <x:c r="G57" s="12" t="str">
        <x:v>https://datafiles.chinhphu.vn/cpp/files/vbpq/2026/5/18-bxd.pdf</x:v>
      </x:c>
    </x:row>
    <x:row r="58">
      <x:c r="A58" s="12" t="n">
        <x:v>57</x:v>
      </x:c>
      <x:c r="B58" s="12" t="str">
        <x:v>Nghị định 215/2026/NĐ-CP về an ninh hàng không</x:v>
      </x:c>
      <x:c r="C58" s="12" t="str">
        <x:v>Tong_hop_nhiem_vu_VATM_ND215_2026_ANHK.xlsx</x:v>
      </x:c>
      <x:c r="D58" s="12" t="str">
        <x:v>Nhiem_vu_VATM</x:v>
      </x:c>
      <x:c r="E58" s="12" t="str">
        <x:v>Dòng 2</x:v>
      </x:c>
      <x:c r="F58" s="12" t="str">
        <x:v>URL căn cứ pháp lý</x:v>
      </x:c>
      <x:c r="G58" s="12" t="str">
        <x:v>https://thuvienphapluat.vn/van-ban/Giao-thong-Van-tai/Nghi-dinh-215-2026-ND-C%D0%A0-an-ninh-hang-khong-711200.aspx</x:v>
      </x:c>
    </x:row>
    <x:row r="59">
      <x:c r="A59" s="12" t="n">
        <x:v>58</x:v>
      </x:c>
      <x:c r="B59" s="12" t="str">
        <x:v>Luật HKDD Việt Nam số 130/2025/QH15</x:v>
      </x:c>
      <x:c r="C59" s="12" t="str">
        <x:v>VATM_Ra_soat_Luat_HKDD_130_2025_QH15_nhiem_vu_01072026.xlsx</x:v>
      </x:c>
      <x:c r="D59" s="12" t="str">
        <x:v>Nhiem_vu_VATM</x:v>
      </x:c>
      <x:c r="E59" s="12" t="str">
        <x:v>Dòng 5</x:v>
      </x:c>
      <x:c r="F59" s="12" t="str">
        <x:v>URL căn cứ pháp lý</x:v>
      </x:c>
      <x:c r="G59" s="12" t="str">
        <x:v>https://caa.gov.vn/hoat-dong-nganh/ke-hoach-trien-khai-thi-hanh-luat-hang-khong-dan-dung-viet-nam-nam-2025-20260120144224187.htm</x:v>
      </x:c>
    </x:row>
    <x:row r="60">
      <x:c r="A60" s="12" t="n">
        <x:v>59</x:v>
      </x:c>
      <x:c r="B60" s="12" t="str">
        <x:v>Luật HKDD Việt Nam số 130/2025/QH15</x:v>
      </x:c>
      <x:c r="C60" s="12" t="str">
        <x:v>VATM_Ra_soat_Luat_HKDD_130_2025_QH15_nhiem_vu_01072026.xlsx</x:v>
      </x:c>
      <x:c r="D60" s="12" t="str">
        <x:v>Nhiem_vu_VATM</x:v>
      </x:c>
      <x:c r="E60" s="12" t="str">
        <x:v>Dòng 7</x:v>
      </x:c>
      <x:c r="F60" s="12" t="str">
        <x:v>URL căn cứ pháp lý</x:v>
      </x:c>
      <x:c r="G60" s="12" t="str">
        <x:v>https://caa.gov.vn/hoat-dong-nganh/chuong-trinh-xay-dung-van-ban-quy-pham-phap-luat-nam-2026-cua-cuc-hang-khong-viet-nam-20260330103051053.htm</x:v>
      </x:c>
    </x:row>
    <x:row r="61">
      <x:c r="A61" s="12" t="n">
        <x:v>60</x:v>
      </x:c>
      <x:c r="B61" s="12" t="str">
        <x:v>Luật HKDD Việt Nam số 130/2025/QH15</x:v>
      </x:c>
      <x:c r="C61" s="12" t="str">
        <x:v>VATM_Ra_soat_Luat_HKDD_130_2025_QH15_nhiem_vu_01072026.xlsx</x:v>
      </x:c>
      <x:c r="D61" s="12" t="str">
        <x:v>Nhiem_vu_VATM</x:v>
      </x:c>
      <x:c r="E61" s="12" t="str">
        <x:v>Dòng 8</x:v>
      </x:c>
      <x:c r="F61" s="12" t="str">
        <x:v>URL căn cứ pháp lý</x:v>
      </x:c>
      <x:c r="G61" s="12" t="str">
        <x:v>https://thuvienphapluat.vn/van-ban/Giao-thong-Van-tai/Luat-Hang-khong-dan-dung-Viet-Nam-2025-so-130-2025-QH15-687674.aspx</x:v>
      </x:c>
    </x:row>
    <x:row r="62">
      <x:c r="A62" s="12" t="n">
        <x:v>61</x:v>
      </x:c>
      <x:c r="B62" s="12" t="str">
        <x:v>Luật HKDD Việt Nam số 130/2025/QH15</x:v>
      </x:c>
      <x:c r="C62" s="12" t="str">
        <x:v>VATM_Ra_soat_Luat_HKDD_130_2025_QH15_nhiem_vu_01072026.xlsx</x:v>
      </x:c>
      <x:c r="D62" s="12" t="str">
        <x:v>Nhiem_vu_VATM</x:v>
      </x:c>
      <x:c r="E62" s="12" t="str">
        <x:v>Dòng 10</x:v>
      </x:c>
      <x:c r="F62" s="12" t="str">
        <x:v>URL căn cứ pháp lý</x:v>
      </x:c>
      <x:c r="G62" s="12" t="str">
        <x:v>File đính kèm trong cuộc trao đổi: Dự thảo NĐ hoạt động bay 18.6 tiếp thu YK TVCP final.docx</x:v>
      </x:c>
    </x:row>
  </x:sheetData>
  <x:pageMargins left="0.7" right="0.7" top="0.75" bottom="0.75" header="0.3" footer="0.3"/>
  <x:tableParts count="1">
    <x:tablePart xmlns:r="http://schemas.openxmlformats.org/officeDocument/2006/relationships" r:id="R8156a93dfb35459d"/>
  </x:tableParts>
</x:worksheet>
</file>

<file path=xl/worksheets/sheet9.xml><?xml version="1.0" encoding="utf-8"?>
<x:worksheet xmlns:x="http://schemas.openxmlformats.org/spreadsheetml/2006/main">
  <x:sheetFormatPr defaultRowHeight="15"/>
  <x:cols>
    <x:col min="1" max="1" width="22" hidden="0" customWidth="1"/>
    <x:col min="2" max="2" width="14" hidden="0" customWidth="1"/>
    <x:col min="3" max="3" width="32" hidden="0" customWidth="1"/>
    <x:col min="4" max="4" width="38" hidden="0" customWidth="1"/>
    <x:col min="5" max="5" width="46" hidden="0" customWidth="1"/>
    <x:col min="6" max="6" width="24" hidden="0" customWidth="1"/>
    <x:col min="7" max="7" width="26" hidden="0" customWidth="1"/>
  </x:cols>
  <x:sheetData>
    <x:row r="1">
      <x:c r="A1" s="6" t="str">
        <x:v>Trạng thái</x:v>
      </x:c>
      <x:c r="B1" s="6" t="str">
        <x:v>Ưu tiên</x:v>
      </x:c>
      <x:c r="C1" s="6" t="str">
        <x:v>Nhóm lĩnh vực</x:v>
      </x:c>
      <x:c r="D1" s="6" t="str">
        <x:v>Tiểu nhóm</x:v>
      </x:c>
      <x:c r="E1" s="6" t="str">
        <x:v>Đơn vị VATM</x:v>
      </x:c>
      <x:c r="F1" s="6" t="str">
        <x:v>Tình trạng bằng chứng</x:v>
      </x:c>
      <x:c r="G1" s="6" t="str">
        <x:v>Loại bằng chứng</x:v>
      </x:c>
    </x:row>
    <x:row r="2">
      <x:c r="A2" s="12" t="str">
        <x:v>Chưa bắt đầu</x:v>
      </x:c>
      <x:c r="B2" s="12" t="str">
        <x:v>P1</x:v>
      </x:c>
      <x:c r="C2" s="12" t="str">
        <x:v>ANS - AIS/AIM/Tin tức HK</x:v>
      </x:c>
      <x:c r="D2" s="12" t="str">
        <x:v>AIP/NOTAM/dữ liệu hàng không</x:v>
      </x:c>
      <x:c r="E2" s="12" t="str">
        <x:v>Văn phòng - Pháp chế</x:v>
      </x:c>
      <x:c r="F2" s="12" t="str">
        <x:v>Chưa có</x:v>
      </x:c>
      <x:c r="G2" s="12" t="str">
        <x:v>Quyết định/Kế hoạch</x:v>
      </x:c>
    </x:row>
    <x:row r="3">
      <x:c r="A3" s="12" t="str">
        <x:v>Đang thực hiện</x:v>
      </x:c>
      <x:c r="B3" s="12" t="str">
        <x:v>P2</x:v>
      </x:c>
      <x:c r="C3" s="12" t="str">
        <x:v>ANS - ATM/ATS/ATFM</x:v>
      </x:c>
      <x:c r="D3" s="12" t="str">
        <x:v>ATFM, năng lực và điều phối luồng</x:v>
      </x:c>
      <x:c r="E3" s="12" t="str">
        <x:v>Ban Tài chính</x:v>
      </x:c>
      <x:c r="F3" s="12" t="str">
        <x:v>Đang thu thập</x:v>
      </x:c>
      <x:c r="G3" s="12" t="str">
        <x:v>Quy trình/SOP</x:v>
      </x:c>
    </x:row>
    <x:row r="4">
      <x:c r="A4" s="12" t="str">
        <x:v>Đang chờ phối hợp</x:v>
      </x:c>
      <x:c r="B4" s="12" t="str">
        <x:v>P3</x:v>
      </x:c>
      <x:c r="C4" s="12" t="str">
        <x:v>ANS - CNS/IT/Kỹ thuật</x:v>
      </x:c>
      <x:c r="D4" s="12" t="str">
        <x:v>An ninh hệ thống CNS/ATM/CNTT</x:v>
      </x:c>
      <x:c r="E4" s="12" t="str">
        <x:v>Ban Kế hoạch - Đầu tư</x:v>
      </x:c>
      <x:c r="F4" s="12" t="str">
        <x:v>Đã có</x:v>
      </x:c>
      <x:c r="G4" s="12" t="str">
        <x:v>Biểu mẫu/Checklist</x:v>
      </x:c>
    </x:row>
    <x:row r="5">
      <x:c r="A5" s="12" t="str">
        <x:v>Hoàn thành</x:v>
      </x:c>
      <x:c r="B5" s="12" t="str">
        <x:v>Rất cao</x:v>
      </x:c>
      <x:c r="C5" s="12" t="str">
        <x:v>ANS - MET/Khí tượng hàng không</x:v>
      </x:c>
      <x:c r="D5" s="12" t="str">
        <x:v>Báo cáo MOR, sự cố và điều tra</x:v>
      </x:c>
      <x:c r="E5" s="12" t="str">
        <x:v>Ban Kế hoạch doanh nghiệp - Chuyển đổi số</x:v>
      </x:c>
      <x:c r="F5" s="12" t="str">
        <x:v>Cần bổ sung</x:v>
      </x:c>
      <x:c r="G5" s="12" t="str">
        <x:v>Báo cáo</x:v>
      </x:c>
    </x:row>
    <x:row r="6">
      <x:c r="A6" s="12" t="str">
        <x:v>Quá hạn</x:v>
      </x:c>
      <x:c r="B6" s="12" t="str">
        <x:v>Cao</x:v>
      </x:c>
      <x:c r="C6" s="12" t="str">
        <x:v>ANS - Tìm kiếm cứu nạn &amp; khẩn nguy</x:v>
      </x:c>
      <x:c r="D6" s="12" t="str">
        <x:v>Bảo đảm an toàn, giám sát và audit</x:v>
      </x:c>
      <x:c r="E6" s="12" t="str">
        <x:v>Ban Tổ chức cán bộ</x:v>
      </x:c>
      <x:c r="F6" s="12" t="str">
        <x:v>Hết hiệu lực</x:v>
      </x:c>
      <x:c r="G6" s="12" t="str">
        <x:v>Biên bản/nhật ký/log</x:v>
      </x:c>
    </x:row>
    <x:row r="7">
      <x:c r="A7" s="12" t="str">
        <x:v>Không áp dụng</x:v>
      </x:c>
      <x:c r="B7" s="12" t="str">
        <x:v>Trung bình</x:v>
      </x:c>
      <x:c r="C7" s="12" t="str">
        <x:v>An ninh hàng không</x:v>
      </x:c>
      <x:c r="D7" s="12" t="str">
        <x:v>CNS, trang thiết bị và bảo trì kỹ thuật</x:v>
      </x:c>
      <x:c r="E7" s="12" t="str">
        <x:v>Trung tâm Huấn luyện đào tạo</x:v>
      </x:c>
      <x:c r="F7" s="12" t="str">
        <x:v>Không áp dụng</x:v>
      </x:c>
      <x:c r="G7" s="12" t="str">
        <x:v>Hồ sơ phê duyệt</x:v>
      </x:c>
    </x:row>
    <x:row r="8">
      <x:c r="A8" s="12" t="str">
        <x:v>Cần rà soát thêm</x:v>
      </x:c>
      <x:c r="B8" s="12" t="str">
        <x:v>Thấp</x:v>
      </x:c>
      <x:c r="C8" s="12" t="str">
        <x:v>An toàn hàng không / SMS</x:v>
      </x:c>
      <x:c r="D8" s="12" t="str">
        <x:v>Chính sách, mục tiêu và văn hóa an toàn</x:v>
      </x:c>
      <x:c r="E8" s="12" t="str">
        <x:v>Ban Không lưu</x:v>
      </x:c>
      <x:c r="F8" s="12" t="str"/>
      <x:c r="G8" s="12" t="str">
        <x:v>Chứng chỉ/Hồ sơ đào tạo</x:v>
      </x:c>
    </x:row>
    <x:row r="9">
      <x:c r="A9" s="12" t="str"/>
      <x:c r="B9" s="12" t="str"/>
      <x:c r="C9" s="12" t="str">
        <x:v>Huấn luyện đào tạo &amp; nhân viên HK</x:v>
      </x:c>
      <x:c r="D9" s="12" t="str">
        <x:v>Chương trình/cơ sở huấn luyện</x:v>
      </x:c>
      <x:c r="E9" s="12" t="str">
        <x:v>Ban Kỹ thuật - CNS/IT/Môi trường</x:v>
      </x:c>
      <x:c r="F9" s="12" t="str"/>
      <x:c r="G9" s="12" t="str">
        <x:v>Dữ liệu hệ thống</x:v>
      </x:c>
    </x:row>
    <x:row r="10">
      <x:c r="A10" s="12" t="str"/>
      <x:c r="B10" s="12" t="str"/>
      <x:c r="C10" s="12" t="str">
        <x:v>Quản lý khai thác cảng/sân bay</x:v>
      </x:c>
      <x:c r="D10" s="12" t="str">
        <x:v>Chương trình/kế hoạch ANHK VATM</x:v>
      </x:c>
      <x:c r="E10" s="12" t="str">
        <x:v>Ban An toàn - Chất lượng</x:v>
      </x:c>
      <x:c r="F10" s="12" t="str"/>
      <x:c r="G10" s="12" t="str">
        <x:v>Hợp đồng/Tài chính</x:v>
      </x:c>
    </x:row>
    <x:row r="11">
      <x:c r="A11" s="12" t="str"/>
      <x:c r="B11" s="12" t="str"/>
      <x:c r="C11" s="12" t="str">
        <x:v>Tuân thủ, dữ liệu &amp; chuyển đổi số</x:v>
      </x:c>
      <x:c r="D11" s="12" t="str">
        <x:v>Cung cấp ATS/điều hành bay</x:v>
      </x:c>
      <x:c r="E11" s="12" t="str">
        <x:v>Ban An ninh hàng không</x:v>
      </x:c>
      <x:c r="F11" s="12" t="str"/>
      <x:c r="G11" s="12" t="str">
        <x:v>Khác</x:v>
      </x:c>
    </x:row>
    <x:row r="12">
      <x:c r="A12" s="12" t="str"/>
      <x:c r="B12" s="12" t="str"/>
      <x:c r="C12" s="12" t="str">
        <x:v>Tuân thủ, pháp chế &amp; quản trị</x:v>
      </x:c>
      <x:c r="D12" s="12" t="str">
        <x:v>Công trình, chướng ngại và thi công</x:v>
      </x:c>
      <x:c r="E12" s="12" t="str">
        <x:v>Trung tâm Khí tượng hàng không</x:v>
      </x:c>
      <x:c r="F12" s="12" t="str"/>
      <x:c r="G12" s="12" t="str"/>
    </x:row>
    <x:row r="13">
      <x:c r="A13" s="12" t="str"/>
      <x:c r="B13" s="12" t="str"/>
      <x:c r="C13" s="12" t="str">
        <x:v>Tài chính - Kế hoạch đầu tư</x:v>
      </x:c>
      <x:c r="D13" s="12" t="str">
        <x:v>Cấp phép bay, FPL và xử lý hồ sơ bay</x:v>
      </x:c>
      <x:c r="E13" s="12" t="str">
        <x:v>Trung tâm Thông báo tin tức hàng không</x:v>
      </x:c>
      <x:c r="F13" s="12" t="str"/>
      <x:c r="G13" s="12" t="str"/>
    </x:row>
    <x:row r="14">
      <x:c r="A14" s="12" t="str"/>
      <x:c r="B14" s="12" t="str"/>
      <x:c r="C14" s="12" t="str"/>
      <x:c r="D14" s="12" t="str">
        <x:v>Dữ liệu địa hình/chướng ngại và bản đồ</x:v>
      </x:c>
      <x:c r="E14" s="12" t="str">
        <x:v>Trung tâm Quản lý luồng không lưu</x:v>
      </x:c>
      <x:c r="F14" s="12" t="str"/>
      <x:c r="G14" s="12" t="str"/>
    </x:row>
    <x:row r="15">
      <x:c r="A15" s="12" t="str"/>
      <x:c r="B15" s="12" t="str"/>
      <x:c r="C15" s="12" t="str"/>
      <x:c r="D15" s="12" t="str">
        <x:v>Giấy phép, năng định, chứng chỉ</x:v>
      </x:c>
      <x:c r="E15" s="12" t="str">
        <x:v>Trung tâm Tìm kiếm cứu nạn hàng không</x:v>
      </x:c>
      <x:c r="F15" s="12" t="str"/>
      <x:c r="G15" s="12" t="str"/>
    </x:row>
    <x:row r="16">
      <x:c r="A16" s="12" t="str"/>
      <x:c r="B16" s="12" t="str"/>
      <x:c r="C16" s="12" t="str"/>
      <x:c r="D16" s="12" t="str">
        <x:v>Giấy phép/phê chuẩn và register</x:v>
      </x:c>
      <x:c r="E16" s="12" t="str">
        <x:v>Các Công ty Quản lý bay khu vực Bắc/Trung/Nam</x:v>
      </x:c>
      <x:c r="F16" s="12" t="str"/>
      <x:c r="G16" s="12" t="str"/>
    </x:row>
    <x:row r="17">
      <x:c r="A17" s="12" t="str"/>
      <x:c r="B17" s="12" t="str"/>
      <x:c r="C17" s="12" t="str"/>
      <x:c r="D17" s="12" t="str">
        <x:v>Hồ sơ điện tử, CSDL và ký số</x:v>
      </x:c>
      <x:c r="E17" s="12" t="str">
        <x:v>Các đơn vị/cơ sở ANS trực thuộc</x:v>
      </x:c>
      <x:c r="F17" s="12" t="str"/>
      <x:c r="G17" s="12" t="str"/>
    </x:row>
    <x:row r="18">
      <x:c r="A18" s="12" t="str"/>
      <x:c r="B18" s="12" t="str"/>
      <x:c r="C18" s="12" t="str"/>
      <x:c r="D18" s="12" t="str">
        <x:v>Hợp tác quốc tế/đối ngoại chuyên ngành</x:v>
      </x:c>
      <x:c r="E18" s="12" t="str"/>
      <x:c r="F18" s="12" t="str"/>
      <x:c r="G18" s="12" t="str"/>
    </x:row>
    <x:row r="19">
      <x:c r="A19" s="12" t="str"/>
      <x:c r="B19" s="12" t="str"/>
      <x:c r="C19" s="12" t="str"/>
      <x:c r="D19" s="12" t="str">
        <x:v>Khu vực hạn chế/kiểm soát ra vào</x:v>
      </x:c>
      <x:c r="E19" s="12" t="str"/>
      <x:c r="F19" s="12" t="str"/>
      <x:c r="G19" s="12" t="str"/>
    </x:row>
    <x:row r="20">
      <x:c r="A20" s="12" t="str"/>
      <x:c r="B20" s="12" t="str"/>
      <x:c r="C20" s="12" t="str"/>
      <x:c r="D20" s="12" t="str">
        <x:v>Khung SMS và quản trị an toàn</x:v>
      </x:c>
      <x:c r="E20" s="12" t="str"/>
      <x:c r="F20" s="12" t="str"/>
      <x:c r="G20" s="12" t="str"/>
    </x:row>
    <x:row r="21">
      <x:c r="A21" s="12" t="str"/>
      <x:c r="B21" s="12" t="str"/>
      <x:c r="C21" s="12" t="str"/>
      <x:c r="D21" s="12" t="str">
        <x:v>Kế hoạch vốn, đầu tư và mua sắm</x:v>
      </x:c>
      <x:c r="E21" s="12" t="str"/>
      <x:c r="F21" s="12" t="str"/>
      <x:c r="G21" s="12" t="str"/>
    </x:row>
    <x:row r="22">
      <x:c r="A22" s="12" t="str"/>
      <x:c r="B22" s="12" t="str"/>
      <x:c r="C22" s="12" t="str"/>
      <x:c r="D22" s="12" t="str">
        <x:v>Phí, thanh toán, hợp đồng và billing</x:v>
      </x:c>
      <x:c r="E22" s="12" t="str"/>
      <x:c r="F22" s="12" t="str"/>
      <x:c r="G22" s="12" t="str"/>
    </x:row>
    <x:row r="23">
      <x:c r="A23" s="12" t="str"/>
      <x:c r="B23" s="12" t="str"/>
      <x:c r="C23" s="12" t="str"/>
      <x:c r="D23" s="12" t="str">
        <x:v>Phương thức bay, sơ đồ và công bố AIS</x:v>
      </x:c>
      <x:c r="E23" s="12" t="str"/>
      <x:c r="F23" s="12" t="str"/>
      <x:c r="G23" s="12" t="str"/>
    </x:row>
    <x:row r="24">
      <x:c r="A24" s="12" t="str"/>
      <x:c r="B24" s="12" t="str"/>
      <x:c r="C24" s="12" t="str"/>
      <x:c r="D24" s="12" t="str">
        <x:v>Phối hợp ATS với cảng/sân bay</x:v>
      </x:c>
      <x:c r="E24" s="12" t="str"/>
      <x:c r="F24" s="12" t="str"/>
      <x:c r="G24" s="12" t="str"/>
    </x:row>
    <x:row r="25">
      <x:c r="A25" s="12" t="str"/>
      <x:c r="B25" s="12" t="str"/>
      <x:c r="C25" s="12" t="str"/>
      <x:c r="D25" s="12" t="str">
        <x:v>Quan trắc, dự báo và cảnh báo MET</x:v>
      </x:c>
      <x:c r="E25" s="12" t="str"/>
      <x:c r="F25" s="12" t="str"/>
      <x:c r="G25" s="12" t="str"/>
    </x:row>
    <x:row r="26">
      <x:c r="A26" s="12" t="str"/>
      <x:c r="B26" s="12" t="str"/>
      <x:c r="C26" s="12" t="str"/>
      <x:c r="D26" s="12" t="str">
        <x:v>Quy hoạch, mặt bằng và phối hợp cảng</x:v>
      </x:c>
      <x:c r="E26" s="12" t="str"/>
      <x:c r="F26" s="12" t="str"/>
      <x:c r="G26" s="12" t="str"/>
    </x:row>
    <x:row r="27">
      <x:c r="A27" s="12" t="str"/>
      <x:c r="B27" s="12" t="str"/>
      <x:c r="C27" s="12" t="str"/>
      <x:c r="D27" s="12" t="str">
        <x:v>Quản lý năng lực và hồ sơ đào tạo</x:v>
      </x:c>
      <x:c r="E27" s="12" t="str"/>
      <x:c r="F27" s="12" t="str"/>
      <x:c r="G27" s="12" t="str"/>
    </x:row>
    <x:row r="28">
      <x:c r="A28" s="12" t="str"/>
      <x:c r="B28" s="12" t="str"/>
      <x:c r="C28" s="12" t="str"/>
      <x:c r="D28" s="12" t="str">
        <x:v>Quản lý rủi ro và thay đổi</x:v>
      </x:c>
      <x:c r="E28" s="12" t="str"/>
      <x:c r="F28" s="12" t="str"/>
      <x:c r="G28" s="12" t="str"/>
    </x:row>
    <x:row r="29">
      <x:c r="A29" s="12" t="str"/>
      <x:c r="B29" s="12" t="str"/>
      <x:c r="C29" s="12" t="str"/>
      <x:c r="D29" s="12" t="str">
        <x:v>Quản trị triển khai, RACI và báo cáo</x:v>
      </x:c>
      <x:c r="E29" s="12" t="str"/>
      <x:c r="F29" s="12" t="str"/>
      <x:c r="G29" s="12" t="str"/>
    </x:row>
    <x:row r="30">
      <x:c r="A30" s="12" t="str"/>
      <x:c r="B30" s="12" t="str"/>
      <x:c r="C30" s="12" t="str"/>
      <x:c r="D30" s="12" t="str">
        <x:v>Quản trị, phối hợp và giám sát ANHK</x:v>
      </x:c>
      <x:c r="E30" s="12" t="str"/>
      <x:c r="F30" s="12" t="str"/>
      <x:c r="G30" s="12" t="str"/>
    </x:row>
    <x:row r="31">
      <x:c r="A31" s="12" t="str"/>
      <x:c r="B31" s="12" t="str"/>
      <x:c r="C31" s="12" t="str"/>
      <x:c r="D31" s="12" t="str">
        <x:v>Rà soát văn bản, quy trình và GAP</x:v>
      </x:c>
      <x:c r="E31" s="12" t="str"/>
      <x:c r="F31" s="12" t="str"/>
      <x:c r="G31" s="12" t="str"/>
    </x:row>
    <x:row r="32">
      <x:c r="A32" s="12" t="str"/>
      <x:c r="B32" s="12" t="str"/>
      <x:c r="C32" s="12" t="str"/>
      <x:c r="D32" s="12" t="str">
        <x:v>SAR, khẩn nguy và hiệp đồng</x:v>
      </x:c>
      <x:c r="E32" s="12" t="str"/>
      <x:c r="F32" s="12" t="str"/>
      <x:c r="G32" s="12" t="str"/>
    </x:row>
    <x:row r="33">
      <x:c r="A33" s="12" t="str"/>
      <x:c r="B33" s="12" t="str"/>
      <x:c r="C33" s="12" t="str"/>
      <x:c r="D33" s="12" t="str">
        <x:v>SPI/SPT và chỉ số an toàn</x:v>
      </x:c>
      <x:c r="E33" s="12" t="str"/>
      <x:c r="F33" s="12" t="str"/>
      <x:c r="G33" s="12" t="str"/>
    </x:row>
    <x:row r="34">
      <x:c r="A34" s="12" t="str"/>
      <x:c r="B34" s="12" t="str"/>
      <x:c r="C34" s="12" t="str"/>
      <x:c r="D34" s="12" t="str">
        <x:v>Thanh tra, kiểm tra, audit tuân thủ</x:v>
      </x:c>
      <x:c r="E34" s="12" t="str"/>
      <x:c r="F34" s="12" t="str"/>
      <x:c r="G34" s="12" t="str"/>
    </x:row>
    <x:row r="35">
      <x:c r="A35" s="12" t="str"/>
      <x:c r="B35" s="12" t="str"/>
      <x:c r="C35" s="12" t="str"/>
      <x:c r="D35" s="12" t="str">
        <x:v>Vùng trời, phương thức bay và ASM</x:v>
      </x:c>
      <x:c r="E35" s="12" t="str"/>
      <x:c r="F35" s="12" t="str"/>
      <x:c r="G35" s="12" t="str"/>
    </x:row>
    <x:row r="36">
      <x:c r="A36" s="12" t="str"/>
      <x:c r="B36" s="12" t="str"/>
      <x:c r="C36" s="12" t="str"/>
      <x:c r="D36" s="12" t="str">
        <x:v>Điều phối năng lực khai thác cảng</x:v>
      </x:c>
      <x:c r="E36" s="12" t="str"/>
      <x:c r="F36" s="12" t="str"/>
      <x:c r="G36" s="12" t="str"/>
    </x:row>
    <x:row r="37">
      <x:c r="A37" s="12" t="str"/>
      <x:c r="B37" s="12" t="str"/>
      <x:c r="C37" s="12" t="str"/>
      <x:c r="D37" s="12" t="str">
        <x:v>Đào tạo/nhận thức an ninh</x:v>
      </x:c>
      <x:c r="E37" s="12" t="str"/>
      <x:c r="F37" s="12" t="str"/>
      <x:c r="G37" s="12" t="str"/>
    </x:row>
    <x:row r="38">
      <x:c r="A38" s="12" t="str"/>
      <x:c r="B38" s="12" t="str"/>
      <x:c r="C38" s="12" t="str"/>
      <x:c r="D38" s="12" t="str">
        <x:v>Ứng phó sự cố/diễn tập ANHK</x:v>
      </x:c>
      <x:c r="E38" s="12" t="str"/>
      <x:c r="F38" s="12" t="str"/>
      <x:c r="G38" s="12" t="str"/>
    </x:row>
  </x:sheetData>
  <x:pageMargins left="0.7" right="0.7" top="0.75" bottom="0.75" header="0.3" footer="0.3"/>
  <x:tableParts count="1">
    <x:tablePart xmlns:r="http://schemas.openxmlformats.org/officeDocument/2006/relationships" r:id="R839327abf2eb4706"/>
  </x:tableParts>
</x:worksheet>
</file>